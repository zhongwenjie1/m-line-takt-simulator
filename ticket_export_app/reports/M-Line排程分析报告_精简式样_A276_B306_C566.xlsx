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总览" sheetId="1" state="visible" r:id="rId1"/>
    <sheet xmlns:r="http://schemas.openxmlformats.org/officeDocument/2006/relationships" name="车辆时间明细" sheetId="2" state="visible" r:id="rId2"/>
    <sheet xmlns:r="http://schemas.openxmlformats.org/officeDocument/2006/relationships" name="计算口径说明" sheetId="3" state="visible" r:id="rId3"/>
  </sheets>
  <definedNames>
    <definedName name="_xlnm.Print_Area" localSheetId="0">'结果总览'!$A$1:$D$25</definedName>
    <definedName name="_xlnm._FilterDatabase" localSheetId="1" hidden="1">'车辆时间明细'!$A$1:$P$1149</definedName>
    <definedName name="_xlnm.Print_Area" localSheetId="2">'计算口径说明'!$A$1:$C$13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03040"/>
    </font>
    <font>
      <b val="1"/>
      <color rgb="00FFFFFF"/>
      <sz val="13"/>
    </font>
    <font>
      <b val="1"/>
      <color rgb="00356B2F"/>
    </font>
    <font>
      <b val="1"/>
      <color rgb="009C5700"/>
    </font>
    <font>
      <b val="1"/>
      <color rgb="00FFFFFF"/>
    </font>
    <font>
      <b val="1"/>
      <color rgb="00FFFFFF"/>
      <sz val="17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7" fillId="2" borderId="0" pivotButton="0" quotePrefix="0" xfId="0"/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48" customWidth="1" min="3" max="3"/>
    <col width="38" customWidth="1" min="4" max="4"/>
  </cols>
  <sheetData>
    <row r="1" ht="34" customHeight="1">
      <c r="A1" s="1" t="inlineStr">
        <is>
          <t>M-Line 排程分析报告（精简式样）</t>
        </is>
      </c>
      <c r="B1" s="2" t="n"/>
      <c r="C1" s="2" t="n"/>
      <c r="D1" s="2" t="n"/>
    </row>
    <row r="2">
      <c r="A2" s="3" t="inlineStr">
        <is>
          <t>统计范围</t>
        </is>
      </c>
      <c r="B2" s="4" t="inlineStr">
        <is>
          <t>按数量投车｜A276 / B306 / C566｜目标批次1148台｜目标节拍58s/台</t>
        </is>
      </c>
      <c r="C2" s="5" t="n"/>
      <c r="D2" s="5" t="n"/>
    </row>
    <row r="3"/>
    <row r="4">
      <c r="A4" s="6" t="inlineStr">
        <is>
          <t>一、核心结果</t>
        </is>
      </c>
      <c r="B4" s="2" t="n"/>
      <c r="C4" s="2" t="n"/>
      <c r="D4" s="2" t="n"/>
    </row>
    <row r="5">
      <c r="A5" s="7" t="inlineStr">
        <is>
          <t>项目</t>
        </is>
      </c>
      <c r="B5" s="7" t="inlineStr">
        <is>
          <t>结果</t>
        </is>
      </c>
      <c r="C5" s="7" t="inlineStr">
        <is>
          <t>含义</t>
        </is>
      </c>
      <c r="D5" s="7" t="inlineStr">
        <is>
          <t>备注</t>
        </is>
      </c>
    </row>
    <row r="6" ht="30" customHeight="1">
      <c r="A6" s="8" t="inlineStr">
        <is>
          <t>下线车辆</t>
        </is>
      </c>
      <c r="B6" s="9" t="inlineStr">
        <is>
          <t>1148台</t>
        </is>
      </c>
      <c r="C6" s="9" t="inlineStr">
        <is>
          <t>目标批次中已完成最后一道工程的车辆</t>
        </is>
      </c>
      <c r="D6" s="9" t="inlineStr"/>
    </row>
    <row r="7" ht="30" customHeight="1">
      <c r="A7" s="8" t="inlineStr">
        <is>
          <t>批次总完成时刻</t>
        </is>
      </c>
      <c r="B7" s="4" t="inlineStr">
        <is>
          <t>76152.5s</t>
        </is>
      </c>
      <c r="C7" s="4" t="inlineStr">
        <is>
          <t>目标批次内最晚的实际下线时间</t>
        </is>
      </c>
      <c r="D7" s="4" t="inlineStr">
        <is>
          <t>最后完成：Car#1148（C）</t>
        </is>
      </c>
    </row>
    <row r="8" ht="30" customHeight="1">
      <c r="A8" s="8" t="inlineStr">
        <is>
          <t>整体节拍</t>
        </is>
      </c>
      <c r="B8" s="9" t="inlineStr">
        <is>
          <t>65.2/58</t>
        </is>
      </c>
      <c r="C8" s="9" t="inlineStr">
        <is>
          <t>第一台至最后一台的平均下线间隔</t>
        </is>
      </c>
      <c r="D8" s="9" t="inlineStr">
        <is>
          <t>目标58s/台</t>
        </is>
      </c>
    </row>
    <row r="9" ht="30" customHeight="1">
      <c r="A9" s="8" t="inlineStr">
        <is>
          <t>累计实际等待</t>
        </is>
      </c>
      <c r="B9" s="4" t="inlineStr">
        <is>
          <t>239975.5s</t>
        </is>
      </c>
      <c r="C9" s="4" t="inlineStr">
        <is>
          <t>加工完成后等待下一工程接收的累计时间</t>
        </is>
      </c>
      <c r="D9" s="4" t="inlineStr">
        <is>
          <t>已进入下线时间，不能重复相加</t>
        </is>
      </c>
    </row>
    <row r="10" ht="30" customHeight="1">
      <c r="A10" s="8" t="inlineStr">
        <is>
          <t>累计节拍外等待</t>
        </is>
      </c>
      <c r="B10" s="9" t="inlineStr">
        <is>
          <t>5430.0s</t>
        </is>
      </c>
      <c r="C10" s="9" t="inlineStr">
        <is>
          <t>实际等待中超过工程可接纳上限的部分</t>
        </is>
      </c>
      <c r="D10" s="9" t="inlineStr">
        <is>
          <t>用于定位等待压力</t>
        </is>
      </c>
    </row>
    <row r="11"/>
    <row r="12">
      <c r="A12" s="6" t="inlineStr">
        <is>
          <t>二、时间真实性核对</t>
        </is>
      </c>
      <c r="B12" s="2" t="n"/>
      <c r="C12" s="2" t="n"/>
      <c r="D12" s="2" t="n"/>
    </row>
    <row r="13">
      <c r="A13" s="7" t="inlineStr">
        <is>
          <t>核对项</t>
        </is>
      </c>
      <c r="B13" s="7" t="inlineStr">
        <is>
          <t>人工复算式</t>
        </is>
      </c>
      <c r="C13" s="7" t="inlineStr">
        <is>
          <t>状态</t>
        </is>
      </c>
      <c r="D13" s="7" t="inlineStr">
        <is>
          <t>说明</t>
        </is>
      </c>
    </row>
    <row r="14" ht="31" customHeight="1">
      <c r="A14" s="8" t="inlineStr">
        <is>
          <t>单车时间</t>
        </is>
      </c>
      <c r="B14" s="9" t="inlineStr">
        <is>
          <t>74633.0 + 1519.5 = 76152.5s</t>
        </is>
      </c>
      <c r="C14" s="10" t="inlineStr">
        <is>
          <t>一致</t>
        </is>
      </c>
      <c r="D14" s="9" t="inlineStr">
        <is>
          <t>Car#1148：投车 + 贯通 = 下线</t>
        </is>
      </c>
    </row>
    <row r="15" ht="31" customHeight="1">
      <c r="A15" s="8" t="inlineStr">
        <is>
          <t>全部下线间隔</t>
        </is>
      </c>
      <c r="B15" s="4" t="inlineStr">
        <is>
          <t>1423.5 + 74729.0 = 76152.5s</t>
        </is>
      </c>
      <c r="C15" s="10" t="inlineStr">
        <is>
          <t>一致</t>
        </is>
      </c>
      <c r="D15" s="4" t="inlineStr">
        <is>
          <t>第一台下线 + 全部间隔 = 最晚下线</t>
        </is>
      </c>
    </row>
    <row r="16" ht="31" customHeight="1">
      <c r="A16" s="8" t="inlineStr">
        <is>
          <t>批次完成</t>
        </is>
      </c>
      <c r="B16" s="9" t="inlineStr">
        <is>
          <t>MAX（1148台下线时间）= 76152.5s</t>
        </is>
      </c>
      <c r="C16" s="10" t="inlineStr">
        <is>
          <t>一致</t>
        </is>
      </c>
      <c r="D16" s="9" t="inlineStr">
        <is>
          <t>最大值即实际总完成时刻</t>
        </is>
      </c>
    </row>
    <row r="17" ht="32" customHeight="1">
      <c r="A17" s="8" t="inlineStr">
        <is>
          <t>总核对状态</t>
        </is>
      </c>
      <c r="B17" s="4" t="inlineStr">
        <is>
          <t>时间数据核对一致</t>
        </is>
      </c>
      <c r="C17" s="10" t="inlineStr">
        <is>
          <t>一致</t>
        </is>
      </c>
      <c r="D17" s="4" t="inlineStr">
        <is>
          <t>可由车辆时间明细逐行复算</t>
        </is>
      </c>
    </row>
    <row r="18"/>
    <row r="19">
      <c r="A19" s="6" t="inlineStr">
        <is>
          <t>三、等待与工程提示</t>
        </is>
      </c>
      <c r="B19" s="2" t="n"/>
      <c r="C19" s="2" t="n"/>
      <c r="D19" s="2" t="n"/>
    </row>
    <row r="20">
      <c r="A20" s="7" t="inlineStr">
        <is>
          <t>项目</t>
        </is>
      </c>
      <c r="B20" s="7" t="inlineStr">
        <is>
          <t>摘要</t>
        </is>
      </c>
      <c r="C20" s="7" t="inlineStr">
        <is>
          <t>作用</t>
        </is>
      </c>
      <c r="D20" s="7" t="inlineStr">
        <is>
          <t>详细位置</t>
        </is>
      </c>
    </row>
    <row r="21" ht="36" customHeight="1">
      <c r="A21" s="8" t="inlineStr">
        <is>
          <t>主要节拍外等待位置</t>
        </is>
      </c>
      <c r="B21" s="4" t="inlineStr">
        <is>
          <t>电检1 3384.0s｜空气悬挂+快充 1906.0s｜L2++ 140.0s</t>
        </is>
      </c>
      <c r="C21" s="4" t="inlineStr">
        <is>
          <t>定位等待集中工程</t>
        </is>
      </c>
      <c r="D21" s="4" t="inlineStr">
        <is>
          <t>车辆时间明细</t>
        </is>
      </c>
    </row>
    <row r="22" ht="36" customHeight="1">
      <c r="A22" s="8" t="inlineStr">
        <is>
          <t>超节拍工程</t>
        </is>
      </c>
      <c r="B22" s="9" t="inlineStr">
        <is>
          <t>ARHUD+慢充C 27.5s/台｜四轮定位上、下C 4.5s/台｜四轮定位上、下B 4.5s/台</t>
        </is>
      </c>
      <c r="C22" s="9" t="inlineStr">
        <is>
          <t>识别加工工时超过工程能力上限的车型</t>
        </is>
      </c>
      <c r="D22" s="9" t="inlineStr">
        <is>
          <t>计算口径说明</t>
        </is>
      </c>
    </row>
    <row r="23" ht="36" customHeight="1">
      <c r="A23" s="8" t="inlineStr">
        <is>
          <t>节奏净差值</t>
        </is>
      </c>
      <c r="B23" s="4" t="inlineStr">
        <is>
          <t>延误 13636.5s - 提前补偿 5433.5s = 8203.0s</t>
        </is>
      </c>
      <c r="C23" s="4" t="inlineStr">
        <is>
          <t>解释整体节拍与目标节拍的差异</t>
        </is>
      </c>
      <c r="D23" s="4" t="inlineStr">
        <is>
          <t>车辆时间明细</t>
        </is>
      </c>
    </row>
    <row r="24"/>
    <row r="25" ht="38" customHeight="1">
      <c r="A25" s="11" t="inlineStr">
        <is>
          <t>重要说明</t>
        </is>
      </c>
      <c r="B25" s="11" t="inlineStr">
        <is>
          <t>累计等待已经体现在各车下线时间中，不能再次加到总完成时间。</t>
        </is>
      </c>
      <c r="C25" s="11" t="inlineStr">
        <is>
          <t>详细车辆与工程记录见“车辆时间明细”。</t>
        </is>
      </c>
      <c r="D25" s="11" t="inlineStr">
        <is>
          <t>概念解释见“计算口径说明”</t>
        </is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5" customWidth="1" min="4" max="4"/>
    <col width="15" customWidth="1" min="5" max="5"/>
    <col width="18" customWidth="1" min="6" max="6"/>
    <col width="22" customWidth="1" min="7" max="7"/>
    <col width="18" customWidth="1" min="8" max="8"/>
    <col width="18" customWidth="1" min="9" max="9"/>
    <col width="20" customWidth="1" min="10" max="10"/>
    <col width="15" customWidth="1" min="11" max="11"/>
    <col width="15" customWidth="1" min="12" max="12"/>
    <col width="18" customWidth="1" min="13" max="13"/>
    <col width="16" customWidth="1" min="14" max="14"/>
    <col width="34" customWidth="1" min="15" max="15"/>
    <col width="110" customWidth="1" min="16" max="16"/>
  </cols>
  <sheetData>
    <row r="1" ht="42" customHeight="1">
      <c r="A1" s="12" t="inlineStr">
        <is>
          <t>下线顺序</t>
        </is>
      </c>
      <c r="B1" s="12" t="inlineStr">
        <is>
          <t>CAR</t>
        </is>
      </c>
      <c r="C1" s="12" t="inlineStr">
        <is>
          <t>TYPE</t>
        </is>
      </c>
      <c r="D1" s="12" t="inlineStr">
        <is>
          <t>投车时间 IN(s)</t>
        </is>
      </c>
      <c r="E1" s="12" t="inlineStr">
        <is>
          <t>下线时间 OUT(s)</t>
        </is>
      </c>
      <c r="F1" s="12" t="inlineStr">
        <is>
          <t>单车贯通 FLOW(s)</t>
        </is>
      </c>
      <c r="G1" s="12" t="inlineStr">
        <is>
          <t>车辆总等待 WAIT(s)
（含投车前等待）</t>
        </is>
      </c>
      <c r="H1" s="12" t="inlineStr">
        <is>
          <t>前一台下线车辆</t>
        </is>
      </c>
      <c r="I1" s="12" t="inlineStr">
        <is>
          <t>相邻下线间隔(s)</t>
        </is>
      </c>
      <c r="J1" s="12" t="inlineStr">
        <is>
          <t>与目标节拍差值(s)</t>
        </is>
      </c>
      <c r="K1" s="12" t="inlineStr">
        <is>
          <t>延误增量(s)</t>
        </is>
      </c>
      <c r="L1" s="12" t="inlineStr">
        <is>
          <t>提前补偿(s)</t>
        </is>
      </c>
      <c r="M1" s="12" t="inlineStr">
        <is>
          <t>累计下线间隔(s)</t>
        </is>
      </c>
      <c r="N1" s="12" t="inlineStr">
        <is>
          <t>单车等式差(s)</t>
        </is>
      </c>
      <c r="O1" s="12" t="inlineStr">
        <is>
          <t>能力判断</t>
        </is>
      </c>
      <c r="P1" s="12" t="inlineStr">
        <is>
          <t>SEGMENTS</t>
        </is>
      </c>
    </row>
    <row r="2">
      <c r="A2" s="13" t="n">
        <v>1</v>
      </c>
      <c r="B2" s="13" t="inlineStr">
        <is>
          <t>Car#1</t>
        </is>
      </c>
      <c r="C2" s="13" t="inlineStr">
        <is>
          <t>C</t>
        </is>
      </c>
      <c r="D2" s="14" t="n">
        <v>0</v>
      </c>
      <c r="E2" s="14" t="n">
        <v>1423.5</v>
      </c>
      <c r="F2" s="14" t="n">
        <v>1423.5</v>
      </c>
      <c r="G2" s="14" t="n">
        <v>0</v>
      </c>
      <c r="H2" s="13" t="inlineStr">
        <is>
          <t>-</t>
        </is>
      </c>
      <c r="I2" s="13" t="inlineStr">
        <is>
          <t>-</t>
        </is>
      </c>
      <c r="J2" s="13" t="inlineStr">
        <is>
          <t>-</t>
        </is>
      </c>
      <c r="K2" s="13" t="inlineStr">
        <is>
          <t>-</t>
        </is>
      </c>
      <c r="L2" s="13" t="inlineStr">
        <is>
          <t>-</t>
        </is>
      </c>
      <c r="M2" s="14" t="n">
        <v>0</v>
      </c>
      <c r="N2" s="14">
        <f>D2+F2-E2</f>
        <v/>
      </c>
      <c r="O2" s="13" t="inlineStr">
        <is>
          <t>能力超目标：四轮定位上、下、ARHUD+慢充</t>
        </is>
      </c>
      <c r="P2" s="13" t="inlineStr">
        <is>
          <t>ST1 引取(开:0.0s 加:56.0s 等前:0.0s 等后:0.0s) | ST2 集约(开:56.0s 加:111.0s 等前:0.0s 等后:0.0s) | ST3 空气悬挂+快充(开:167.0s 加:108.5s 等前:0.0s 等后:0.0s) | ST4 四轮定位上、下(开:275.5s 加:120.5s 等前:0.0s 等后:0.0s) | ST5 ADAS(开:396.0s 加:107.0s 等前:0.0s 等后:0.0s) | ST6 ARHUD+慢充(开:503.0s 加:143.5s 等前:0.0s 等后:0.0s) | ST7 转毂(开:646.5s 加:114.5s 等前:0.0s 等后:0.0s) | ST8 制动(开:761.0s 加:114.0s 等前:0.0s 等后:0.0s) | ST9 EG漏液/底盘漏液(开:875.0s 加:112.5s 等前:0.0s 等后:0.0s) | ST10 全景/空调检查(开:987.5s 加:0.0s 等前:0.0s 等后:0.0s) | ST11 气囊安装+绝缘(开:987.5s 加:116.0s 等前:0.0s 等后:0.0s) | ST12 L2++(开:1103.5s 加:88.0s 等前:0.0s 等后:0.0s) | ST13 电检1(开:1191.5s 加:84.5s 等前:0.0s 等后:0.0s) | ST14 电检2(开:1276.0s 加:97.5s 等前:0.0s 等后:0.0s) | ST15 小跑道(开:1373.5s 加:50.0s 等前:0.0s 等后:0.0s)</t>
        </is>
      </c>
    </row>
    <row r="3">
      <c r="A3" s="15" t="n">
        <v>2</v>
      </c>
      <c r="B3" s="15" t="inlineStr">
        <is>
          <t>Car#2</t>
        </is>
      </c>
      <c r="C3" s="15" t="inlineStr">
        <is>
          <t>C</t>
        </is>
      </c>
      <c r="D3" s="16" t="n">
        <v>58</v>
      </c>
      <c r="E3" s="16" t="n">
        <v>1481.5</v>
      </c>
      <c r="F3" s="16" t="n">
        <v>1423.5</v>
      </c>
      <c r="G3" s="16" t="n">
        <v>0</v>
      </c>
      <c r="H3" s="15" t="inlineStr">
        <is>
          <t>Car#1</t>
        </is>
      </c>
      <c r="I3" s="16">
        <f>E3-E2</f>
        <v/>
      </c>
      <c r="J3" s="16">
        <f>I3-58</f>
        <v/>
      </c>
      <c r="K3" s="16">
        <f>MAX(0,J3)</f>
        <v/>
      </c>
      <c r="L3" s="16">
        <f>MAX(0,-J3)</f>
        <v/>
      </c>
      <c r="M3" s="16">
        <f>M2+I3</f>
        <v/>
      </c>
      <c r="N3" s="16">
        <f>D3+F3-E3</f>
        <v/>
      </c>
      <c r="O3" s="15" t="inlineStr">
        <is>
          <t>能力超目标：四轮定位上、下、ARHUD+慢充</t>
        </is>
      </c>
      <c r="P3" s="15" t="inlineStr">
        <is>
          <t>ST1 引取(开:58.0s 加:56.0s 等前:0.0s 等后:0.0s) | ST2 集约(开:114.0s 加:111.0s 等前:0.0s 等后:0.0s) | ST3 空气悬挂+快充(开:225.0s 加:108.5s 等前:0.0s 等后:0.0s) | ST4 四轮定位上、下(开:333.5s 加:120.5s 等前:0.0s 等后:0.0s) | ST5 ADAS(开:454.0s 加:107.0s 等前:0.0s 等后:0.0s) | ST6 ARHUD+慢充(开:561.0s 加:143.5s 等前:0.0s 等后:0.0s) | ST7 转毂(开:704.5s 加:114.5s 等前:0.0s 等后:0.0s) | ST8 制动(开:819.0s 加:114.0s 等前:0.0s 等后:0.0s) | ST9 EG漏液/底盘漏液(开:933.0s 加:112.5s 等前:0.0s 等后:0.0s) | ST10 全景/空调检查(开:1045.5s 加:0.0s 等前:0.0s 等后:0.0s) | ST11 气囊安装+绝缘(开:1045.5s 加:116.0s 等前:0.0s 等后:0.0s) | ST12 L2++(开:1161.5s 加:88.0s 等前:0.0s 等后:0.0s) | ST13 电检1(开:1249.5s 加:84.5s 等前:0.0s 等后:0.0s) | ST14 电检2(开:1334.0s 加:97.5s 等前:0.0s 等后:0.0s) | ST15 小跑道(开:1431.5s 加:50.0s 等前:0.0s 等后:0.0s)</t>
        </is>
      </c>
    </row>
    <row r="4">
      <c r="A4" s="13" t="n">
        <v>3</v>
      </c>
      <c r="B4" s="13" t="inlineStr">
        <is>
          <t>Car#3</t>
        </is>
      </c>
      <c r="C4" s="13" t="inlineStr">
        <is>
          <t>C</t>
        </is>
      </c>
      <c r="D4" s="14" t="n">
        <v>116</v>
      </c>
      <c r="E4" s="14" t="n">
        <v>1567</v>
      </c>
      <c r="F4" s="14" t="n">
        <v>1451</v>
      </c>
      <c r="G4" s="14" t="n">
        <v>27.5</v>
      </c>
      <c r="H4" s="13" t="inlineStr">
        <is>
          <t>Car#2</t>
        </is>
      </c>
      <c r="I4" s="14">
        <f>E4-E3</f>
        <v/>
      </c>
      <c r="J4" s="14">
        <f>I4-58</f>
        <v/>
      </c>
      <c r="K4" s="14">
        <f>MAX(0,J4)</f>
        <v/>
      </c>
      <c r="L4" s="14">
        <f>MAX(0,-J4)</f>
        <v/>
      </c>
      <c r="M4" s="14">
        <f>M3+I4</f>
        <v/>
      </c>
      <c r="N4" s="14">
        <f>D4+F4-E4</f>
        <v/>
      </c>
      <c r="O4" s="13" t="inlineStr">
        <is>
          <t>能力超目标：四轮定位上、下、ARHUD+慢充</t>
        </is>
      </c>
      <c r="P4" s="13" t="inlineStr">
        <is>
          <t>ST1 引取(开:116.0s 加:56.0s 等前:0.0s 等后:0.0s) | ST2 集约(开:172.0s 加:111.0s 等前:0.0s 等后:0.0s) | ST3 空气悬挂+快充(开:283.0s 加:108.5s 等前:0.0s 等后:4.5s) | ST4 四轮定位上、下(开:396.0s 加:120.5s 等前:0.0s 等后:0.0s) | ST5 ADAS(开:516.5s 加:107.0s 等前:0.0s 等后:23.0s) | ST6 ARHUD+慢充(开:646.5s 加:143.5s 等前:0.0s 等后:0.0s) | ST7 转毂(开:790.0s 加:114.5s 等前:0.0s 等后:0.0s) | ST8 制动(开:904.5s 加:114.0s 等前:0.0s 等后:0.0s) | ST9 EG漏液/底盘漏液(开:1018.5s 加:112.5s 等前:0.0s 等后:0.0s) | ST10 全景/空调检查(开:1131.0s 加:0.0s 等前:0.0s 等后:0.0s) | ST11 气囊安装+绝缘(开:1131.0s 加:116.0s 等前:0.0s 等后:0.0s) | ST12 L2++(开:1247.0s 加:88.0s 等前:0.0s 等后:0.0s) | ST13 电检1(开:1335.0s 加:84.5s 等前:0.0s 等后:0.0s) | ST14 电检2(开:1419.5s 加:97.5s 等前:0.0s 等后:0.0s) | ST15 小跑道(开:1517.0s 加:50.0s 等前:0.0s 等后:0.0s)</t>
        </is>
      </c>
    </row>
    <row r="5">
      <c r="A5" s="15" t="n">
        <v>4</v>
      </c>
      <c r="B5" s="15" t="inlineStr">
        <is>
          <t>Car#5</t>
        </is>
      </c>
      <c r="C5" s="15" t="inlineStr">
        <is>
          <t>A</t>
        </is>
      </c>
      <c r="D5" s="16" t="n">
        <v>232</v>
      </c>
      <c r="E5" s="16" t="n">
        <v>1618</v>
      </c>
      <c r="F5" s="16" t="n">
        <v>1386</v>
      </c>
      <c r="G5" s="16" t="n">
        <v>525</v>
      </c>
      <c r="H5" s="15" t="inlineStr">
        <is>
          <t>Car#3</t>
        </is>
      </c>
      <c r="I5" s="16">
        <f>E5-E4</f>
        <v/>
      </c>
      <c r="J5" s="16">
        <f>I5-58</f>
        <v/>
      </c>
      <c r="K5" s="16">
        <f>MAX(0,J5)</f>
        <v/>
      </c>
      <c r="L5" s="16">
        <f>MAX(0,-J5)</f>
        <v/>
      </c>
      <c r="M5" s="16">
        <f>M4+I5</f>
        <v/>
      </c>
      <c r="N5" s="16">
        <f>D5+F5-E5</f>
        <v/>
      </c>
      <c r="O5" s="15" t="inlineStr">
        <is>
          <t>能力满足</t>
        </is>
      </c>
      <c r="P5" s="15" t="inlineStr">
        <is>
          <t>ST1 引取(开:232.0s 加:55.0s 等前:0.0s 等后:0.0s) | ST2 集约(开:287.0s 加:106.0s 等前:0.0s 等后:3.0s) | ST3 空气悬挂+快充(开:396.0s 加:0.0s 等前:0.0s 等后:120.5s) | ST4 四轮定位上、下(开:516.5s 加:115.0s 等前:0.0s 等后:15.0s) | ST5 ADAS(开:646.5s 加:97.0s 等前:0.0s 等后:46.5s) | ST6 ARHUD+慢充(开:790.0s 加:0.0s 等前:0.0s 等后:114.5s) | ST7 转毂(开:904.5s 加:116.0s 等前:0.0s 等后:0.0s) | ST8 制动(开:1020.5s 加:108.0s 等前:0.0s 等后:2.5s) | ST9 EG漏液/底盘漏液(开:1131.0s 加:115.0s 等前:0.0s 等后:0.0s) | ST10 全景/空调检查(开:1246.0s 加:98.0s 等前:0.0s 等后:0.0s) | ST11 气囊安装+绝缘(开:1344.0s 加:0.0s 等前:0.0s 等后:0.0s) | ST12 L2++(开:1344.0s 加:0.0s 等前:0.0s 等后:75.5s) | ST13 电检1(开:1419.5s 加:0.0s 等前:0.0s 等后:97.5s) | ST14 电检2(开:1517.0s 加:0.0s 等前:0.0s 等后:50.0s) | ST15 小跑道(开:1567.0s 加:51.0s 等前:0.0s 等后:0.0s)</t>
        </is>
      </c>
    </row>
    <row r="6">
      <c r="A6" s="13" t="n">
        <v>5</v>
      </c>
      <c r="B6" s="13" t="inlineStr">
        <is>
          <t>Car#4</t>
        </is>
      </c>
      <c r="C6" s="13" t="inlineStr">
        <is>
          <t>B</t>
        </is>
      </c>
      <c r="D6" s="14" t="n">
        <v>174</v>
      </c>
      <c r="E6" s="14" t="n">
        <v>1668</v>
      </c>
      <c r="F6" s="14" t="n">
        <v>1494</v>
      </c>
      <c r="G6" s="14" t="n">
        <v>162.5</v>
      </c>
      <c r="H6" s="13" t="inlineStr">
        <is>
          <t>Car#5</t>
        </is>
      </c>
      <c r="I6" s="14">
        <f>E6-E5</f>
        <v/>
      </c>
      <c r="J6" s="14">
        <f>I6-58</f>
        <v/>
      </c>
      <c r="K6" s="14">
        <f>MAX(0,J6)</f>
        <v/>
      </c>
      <c r="L6" s="14">
        <f>MAX(0,-J6)</f>
        <v/>
      </c>
      <c r="M6" s="14">
        <f>M5+I6</f>
        <v/>
      </c>
      <c r="N6" s="14">
        <f>D6+F6-E6</f>
        <v/>
      </c>
      <c r="O6" s="13" t="inlineStr">
        <is>
          <t>能力超目标：四轮定位上、下</t>
        </is>
      </c>
      <c r="P6" s="13" t="inlineStr">
        <is>
          <t>ST1 引取(开:174.0s 加:56.0s 等前:0.0s 等后:0.0s) | ST2 集约(开:230.0s 加:111.0s 等前:0.0s 等后:0.0s) | ST3 空气悬挂+快充(开:341.0s 加:108.5s 等前:0.0s 等后:4.5s) | ST4 四轮定位上、下(开:454.0s 加:120.5s 等前:0.0s 等后:0.0s) | ST5 ADAS(开:574.5s 加:107.0s 等前:0.0s 等后:23.0s) | ST6 ARHUD+慢充(开:704.5s 加:51.5s 等前:0.0s 等后:63.0s) | ST7 转毂(开:819.0s 加:114.5s 等前:0.0s 等后:0.0s) | ST8 制动(开:933.5s 加:114.0s 等前:0.0s 等后:0.0s) | ST9 EG漏液/底盘漏液(开:1047.5s 加:112.5s 等前:0.0s 等后:0.0s) | ST10 全景/空调检查(开:1160.0s 加:0.0s 等前:0.0s 等后:1.5s) | ST11 气囊安装+绝缘(开:1161.5s 加:116.0s 等前:0.0s 等后:0.0s) | ST12 L2++(开:1277.5s 加:88.0s 等前:0.0s 等后:0.0s) | ST13 电检1(开:1365.5s 加:84.5s 等前:0.0s 等后:0.0s) | ST14 电检2(开:1450.0s 加:97.5s 等前:0.0s 等后:70.5s) | ST15 小跑道(开:1618.0s 加:50.0s 等前:0.0s 等后:0.0s)</t>
        </is>
      </c>
    </row>
    <row r="7">
      <c r="A7" s="15" t="n">
        <v>6</v>
      </c>
      <c r="B7" s="15" t="inlineStr">
        <is>
          <t>Car#7</t>
        </is>
      </c>
      <c r="C7" s="15" t="inlineStr">
        <is>
          <t>A</t>
        </is>
      </c>
      <c r="D7" s="16" t="n">
        <v>348</v>
      </c>
      <c r="E7" s="16" t="n">
        <v>1719</v>
      </c>
      <c r="F7" s="16" t="n">
        <v>1371</v>
      </c>
      <c r="G7" s="16" t="n">
        <v>510</v>
      </c>
      <c r="H7" s="15" t="inlineStr">
        <is>
          <t>Car#4</t>
        </is>
      </c>
      <c r="I7" s="16">
        <f>E7-E6</f>
        <v/>
      </c>
      <c r="J7" s="16">
        <f>I7-58</f>
        <v/>
      </c>
      <c r="K7" s="16">
        <f>MAX(0,J7)</f>
        <v/>
      </c>
      <c r="L7" s="16">
        <f>MAX(0,-J7)</f>
        <v/>
      </c>
      <c r="M7" s="16">
        <f>M6+I7</f>
        <v/>
      </c>
      <c r="N7" s="16">
        <f>D7+F7-E7</f>
        <v/>
      </c>
      <c r="O7" s="15" t="inlineStr">
        <is>
          <t>能力满足</t>
        </is>
      </c>
      <c r="P7" s="15" t="inlineStr">
        <is>
          <t>ST1 引取(开:348.0s 加:55.0s 等前:0.0s 等后:0.0s) | ST2 集约(开:403.0s 加:106.0s 等前:0.0s 等后:7.5s) | ST3 空气悬挂+快充(开:516.5s 加:0.0s 等前:0.0s 等后:130.0s) | ST4 四轮定位上、下(开:646.5s 加:115.0s 等前:0.0s 等后:28.5s) | ST5 ADAS(开:790.0s 加:97.0s 等前:0.0s 等后:17.5s) | ST6 ARHUD+慢充(开:904.5s 加:0.0s 等前:0.0s 等后:116.0s) | ST7 转毂(开:1020.5s 加:116.0s 等前:0.0s 等后:0.0s) | ST8 制动(开:1136.5s 加:108.0s 等前:0.0s 等后:1.5s) | ST9 EG漏液/底盘漏液(开:1246.0s 加:115.0s 等前:0.0s 等后:0.0s) | ST10 全景/空调检查(开:1361.0s 加:98.0s 等前:0.0s 等后:0.0s) | ST11 气囊安装+绝缘(开:1459.0s 加:0.0s 等前:0.0s 等后:0.0s) | ST12 L2++(开:1459.0s 加:0.0s 等前:0.0s 等后:58.0s) | ST13 电检1(开:1517.0s 加:0.0s 等前:0.0s 等后:50.0s) | ST14 电检2(开:1567.0s 加:0.0s 等前:0.0s 等后:101.0s) | ST15 小跑道(开:1668.0s 加:51.0s 等前:0.0s 等后:0.0s)</t>
        </is>
      </c>
    </row>
    <row r="8">
      <c r="A8" s="13" t="n">
        <v>7</v>
      </c>
      <c r="B8" s="13" t="inlineStr">
        <is>
          <t>Car#6</t>
        </is>
      </c>
      <c r="C8" s="13" t="inlineStr">
        <is>
          <t>A</t>
        </is>
      </c>
      <c r="D8" s="14" t="n">
        <v>290</v>
      </c>
      <c r="E8" s="14" t="n">
        <v>1770</v>
      </c>
      <c r="F8" s="14" t="n">
        <v>1480</v>
      </c>
      <c r="G8" s="14" t="n">
        <v>619</v>
      </c>
      <c r="H8" s="13" t="inlineStr">
        <is>
          <t>Car#7</t>
        </is>
      </c>
      <c r="I8" s="14">
        <f>E8-E7</f>
        <v/>
      </c>
      <c r="J8" s="14">
        <f>I8-58</f>
        <v/>
      </c>
      <c r="K8" s="14">
        <f>MAX(0,J8)</f>
        <v/>
      </c>
      <c r="L8" s="14">
        <f>MAX(0,-J8)</f>
        <v/>
      </c>
      <c r="M8" s="14">
        <f>M7+I8</f>
        <v/>
      </c>
      <c r="N8" s="14">
        <f>D8+F8-E8</f>
        <v/>
      </c>
      <c r="O8" s="13" t="inlineStr">
        <is>
          <t>能力满足</t>
        </is>
      </c>
      <c r="P8" s="13" t="inlineStr">
        <is>
          <t>ST1 引取(开:290.0s 加:55.0s 等前:0.0s 等后:0.0s) | ST2 集约(开:345.0s 加:106.0s 等前:0.0s 等后:3.0s) | ST3 空气悬挂+快充(开:454.0s 加:0.0s 等前:0.0s 等后:120.5s) | ST4 四轮定位上、下(开:574.5s 加:115.0s 等前:0.0s 等后:15.0s) | ST5 ADAS(开:704.5s 加:97.0s 等前:0.0s 等后:17.5s) | ST6 ARHUD+慢充(开:819.0s 加:0.0s 等前:0.0s 等后:114.5s) | ST7 转毂(开:933.5s 加:116.0s 等前:0.0s 等后:0.0s) | ST8 制动(开:1049.5s 加:108.0s 等前:0.0s 等后:2.5s) | ST9 EG漏液/底盘漏液(开:1160.0s 加:115.0s 等前:0.0s 等后:0.0s) | ST10 全景/空调检查(开:1275.0s 加:98.0s 等前:0.0s 等后:0.0s) | ST11 气囊安装+绝缘(开:1373.0s 加:0.0s 等前:0.0s 等后:0.0s) | ST12 L2++(开:1373.0s 加:0.0s 等前:0.0s 等后:77.0s) | ST13 电检1(开:1450.0s 加:0.0s 等前:0.0s 等后:168.0s) | ST14 电检2(开:1618.0s 加:0.0s 等前:0.0s 等后:101.0s) | ST15 小跑道(开:1719.0s 加:51.0s 等前:0.0s 等后:0.0s)</t>
        </is>
      </c>
    </row>
    <row r="9">
      <c r="A9" s="15" t="n">
        <v>8</v>
      </c>
      <c r="B9" s="15" t="inlineStr">
        <is>
          <t>Car#8</t>
        </is>
      </c>
      <c r="C9" s="15" t="inlineStr">
        <is>
          <t>B</t>
        </is>
      </c>
      <c r="D9" s="16" t="n">
        <v>406</v>
      </c>
      <c r="E9" s="16" t="n">
        <v>1866.5</v>
      </c>
      <c r="F9" s="16" t="n">
        <v>1460.5</v>
      </c>
      <c r="G9" s="16" t="n">
        <v>129</v>
      </c>
      <c r="H9" s="15" t="inlineStr">
        <is>
          <t>Car#6</t>
        </is>
      </c>
      <c r="I9" s="16">
        <f>E9-E8</f>
        <v/>
      </c>
      <c r="J9" s="16">
        <f>I9-58</f>
        <v/>
      </c>
      <c r="K9" s="16">
        <f>MAX(0,J9)</f>
        <v/>
      </c>
      <c r="L9" s="16">
        <f>MAX(0,-J9)</f>
        <v/>
      </c>
      <c r="M9" s="16">
        <f>M8+I9</f>
        <v/>
      </c>
      <c r="N9" s="16">
        <f>D9+F9-E9</f>
        <v/>
      </c>
      <c r="O9" s="15" t="inlineStr">
        <is>
          <t>能力超目标：四轮定位上、下</t>
        </is>
      </c>
      <c r="P9" s="15" t="inlineStr">
        <is>
          <t>ST1 引取(开:406.0s 加:56.0s 等前:0.0s 等后:0.0s) | ST2 集约(开:462.0s 加:111.0s 等前:0.0s 等后:1.5s) | ST3 空气悬挂+快充(开:574.5s 加:108.5s 等前:0.0s 等后:21.5s) | ST4 四轮定位上、下(开:704.5s 加:120.5s 等前:0.0s 等后:0.0s) | ST5 ADAS(开:825.0s 加:107.0s 等前:0.0s 等后:1.5s) | ST6 ARHUD+慢充(开:933.5s 加:51.5s 等前:0.0s 等后:64.5s) | ST7 转毂(开:1049.5s 加:114.5s 等前:0.0s 等后:0.0s) | ST8 制动(开:1164.0s 加:114.0s 等前:0.0s 等后:0.0s) | ST9 EG漏液/底盘漏液(开:1278.0s 加:112.5s 等前:0.0s 等后:0.0s) | ST10 全景/空调检查(开:1390.5s 加:0.0s 等前:0.0s 等后:0.0s) | ST11 气囊安装+绝缘(开:1390.5s 加:116.0s 等前:0.0s 等后:0.0s) | ST12 L2++(开:1506.5s 加:88.0s 等前:0.0s 等后:23.5s) | ST13 电检1(开:1618.0s 加:84.5s 等前:0.0s 等后:16.5s) | ST14 电检2(开:1719.0s 加:97.5s 等前:0.0s 等后:0.0s) | ST15 小跑道(开:1816.5s 加:50.0s 等前:0.0s 等后:0.0s)</t>
        </is>
      </c>
    </row>
    <row r="10">
      <c r="A10" s="13" t="n">
        <v>9</v>
      </c>
      <c r="B10" s="13" t="inlineStr">
        <is>
          <t>Car#9</t>
        </is>
      </c>
      <c r="C10" s="13" t="inlineStr">
        <is>
          <t>C</t>
        </is>
      </c>
      <c r="D10" s="14" t="n">
        <v>464</v>
      </c>
      <c r="E10" s="14" t="n">
        <v>1941</v>
      </c>
      <c r="F10" s="14" t="n">
        <v>1477</v>
      </c>
      <c r="G10" s="14" t="n">
        <v>53.5</v>
      </c>
      <c r="H10" s="13" t="inlineStr">
        <is>
          <t>Car#8</t>
        </is>
      </c>
      <c r="I10" s="14">
        <f>E10-E9</f>
        <v/>
      </c>
      <c r="J10" s="14">
        <f>I10-58</f>
        <v/>
      </c>
      <c r="K10" s="14">
        <f>MAX(0,J10)</f>
        <v/>
      </c>
      <c r="L10" s="14">
        <f>MAX(0,-J10)</f>
        <v/>
      </c>
      <c r="M10" s="14">
        <f>M9+I10</f>
        <v/>
      </c>
      <c r="N10" s="14">
        <f>D10+F10-E10</f>
        <v/>
      </c>
      <c r="O10" s="13" t="inlineStr">
        <is>
          <t>能力超目标：四轮定位上、下、ARHUD+慢充</t>
        </is>
      </c>
      <c r="P10" s="13" t="inlineStr">
        <is>
          <t>ST1 引取(开:464.0s 加:56.0s 等前:0.0s 等后:0.0s) | ST2 集约(开:520.0s 加:111.0s 等前:0.0s 等后:15.5s) | ST3 空气悬挂+快充(开:646.5s 加:108.5s 等前:0.0s 等后:35.0s) | ST4 四轮定位上、下(开:790.0s 加:120.5s 等前:0.0s 等后:0.0s) | ST5 ADAS(开:910.5s 加:107.0s 等前:0.0s 等后:3.0s) | ST6 ARHUD+慢充(开:1020.5s 加:143.5s 等前:0.0s 等后:0.0s) | ST7 转毂(开:1164.0s 加:114.5s 等前:0.0s 等后:0.0s) | ST8 制动(开:1278.5s 加:114.0s 等前:0.0s 等后:0.0s) | ST9 EG漏液/底盘漏液(开:1392.5s 加:112.5s 等前:0.0s 等后:0.0s) | ST10 全景/空调检查(开:1505.0s 加:0.0s 等前:0.0s 等后:0.0s) | ST11 气囊安装+绝缘(开:1505.0s 加:116.0s 等前:0.0s 等后:0.0s) | ST12 L2++(开:1621.0s 加:88.0s 等前:0.0s 等后:0.0s) | ST13 电检1(开:1709.0s 加:84.5s 等前:0.0s 等后:0.0s) | ST14 电检2(开:1793.5s 加:97.5s 等前:0.0s 等后:0.0s) | ST15 小跑道(开:1891.0s 加:50.0s 等前:0.0s 等后:0.0s)</t>
        </is>
      </c>
    </row>
    <row r="11">
      <c r="A11" s="15" t="n">
        <v>10</v>
      </c>
      <c r="B11" s="15" t="inlineStr">
        <is>
          <t>Car#10</t>
        </is>
      </c>
      <c r="C11" s="15" t="inlineStr">
        <is>
          <t>C</t>
        </is>
      </c>
      <c r="D11" s="16" t="n">
        <v>522</v>
      </c>
      <c r="E11" s="16" t="n">
        <v>1991</v>
      </c>
      <c r="F11" s="16" t="n">
        <v>1469</v>
      </c>
      <c r="G11" s="16" t="n">
        <v>45.5</v>
      </c>
      <c r="H11" s="15" t="inlineStr">
        <is>
          <t>Car#9</t>
        </is>
      </c>
      <c r="I11" s="16">
        <f>E11-E10</f>
        <v/>
      </c>
      <c r="J11" s="16">
        <f>I11-58</f>
        <v/>
      </c>
      <c r="K11" s="16">
        <f>MAX(0,J11)</f>
        <v/>
      </c>
      <c r="L11" s="16">
        <f>MAX(0,-J11)</f>
        <v/>
      </c>
      <c r="M11" s="16">
        <f>M10+I11</f>
        <v/>
      </c>
      <c r="N11" s="16">
        <f>D11+F11-E11</f>
        <v/>
      </c>
      <c r="O11" s="15" t="inlineStr">
        <is>
          <t>能力超目标：四轮定位上、下、ARHUD+慢充</t>
        </is>
      </c>
      <c r="P11" s="15" t="inlineStr">
        <is>
          <t>ST1 引取(开:522.0s 加:56.0s 等前:0.0s 等后:0.0s) | ST2 集约(开:578.0s 加:111.0s 等前:0.0s 等后:15.5s) | ST3 空气悬挂+快充(开:704.5s 加:108.5s 等前:0.0s 等后:12.0s) | ST4 四轮定位上、下(开:825.0s 加:120.5s 等前:0.0s 等后:0.0s) | ST5 ADAS(开:945.5s 加:107.0s 等前:0.0s 等后:0.0s) | ST6 ARHUD+慢充(开:1052.5s 加:143.5s 等前:0.0s 等后:0.0s) | ST7 转毂(开:1196.0s 加:114.5s 等前:0.0s 等后:0.0s) | ST8 制动(开:1310.5s 加:114.0s 等前:0.0s 等后:0.0s) | ST9 EG漏液/底盘漏液(开:1424.5s 加:112.5s 等前:0.0s 等后:0.0s) | ST10 全景/空调检查(开:1537.0s 加:0.0s 等前:0.0s 等后:0.0s) | ST11 气囊安装+绝缘(开:1537.0s 加:116.0s 等前:0.0s 等后:0.0s) | ST12 L2++(开:1653.0s 加:88.0s 等前:0.0s 等后:0.0s) | ST13 电检1(开:1741.0s 加:84.5s 等前:0.0s 等后:0.0s) | ST14 电检2(开:1825.5s 加:97.5s 等前:0.0s 等后:18.0s) | ST15 小跑道(开:1941.0s 加:50.0s 等前:0.0s 等后:0.0s)</t>
        </is>
      </c>
    </row>
    <row r="12">
      <c r="A12" s="13" t="n">
        <v>11</v>
      </c>
      <c r="B12" s="13" t="inlineStr">
        <is>
          <t>Car#11</t>
        </is>
      </c>
      <c r="C12" s="13" t="inlineStr">
        <is>
          <t>C</t>
        </is>
      </c>
      <c r="D12" s="14" t="n">
        <v>580</v>
      </c>
      <c r="E12" s="14" t="n">
        <v>2084.5</v>
      </c>
      <c r="F12" s="14" t="n">
        <v>1504.5</v>
      </c>
      <c r="G12" s="14" t="n">
        <v>81</v>
      </c>
      <c r="H12" s="13" t="inlineStr">
        <is>
          <t>Car#10</t>
        </is>
      </c>
      <c r="I12" s="14">
        <f>E12-E11</f>
        <v/>
      </c>
      <c r="J12" s="14">
        <f>I12-58</f>
        <v/>
      </c>
      <c r="K12" s="14">
        <f>MAX(0,J12)</f>
        <v/>
      </c>
      <c r="L12" s="14">
        <f>MAX(0,-J12)</f>
        <v/>
      </c>
      <c r="M12" s="14">
        <f>M11+I12</f>
        <v/>
      </c>
      <c r="N12" s="14">
        <f>D12+F12-E12</f>
        <v/>
      </c>
      <c r="O12" s="13" t="inlineStr">
        <is>
          <t>能力超目标：四轮定位上、下、ARHUD+慢充</t>
        </is>
      </c>
      <c r="P12" s="13" t="inlineStr">
        <is>
          <t>ST1 引取(开:580.0s 加:56.0s 等前:0.0s 等后:10.5s) | ST2 集约(开:646.5s 加:111.0s 等前:0.0s 等后:32.5s) | ST3 空气悬挂+快充(开:790.0s 加:108.5s 等前:0.0s 等后:12.0s) | ST4 四轮定位上、下(开:910.5s 加:120.5s 等前:0.0s 等后:0.0s) | ST5 ADAS(开:1031.0s 加:107.0s 等前:0.0s 等后:26.0s) | ST6 ARHUD+慢充(开:1164.0s 加:143.5s 等前:0.0s 等后:0.0s) | ST7 转毂(开:1307.5s 加:114.5s 等前:0.0s 等后:0.0s) | ST8 制动(开:1422.0s 加:114.0s 等前:0.0s 等后:0.0s) | ST9 EG漏液/底盘漏液(开:1536.0s 加:112.5s 等前:0.0s 等后:0.0s) | ST10 全景/空调检查(开:1648.5s 加:0.0s 等前:0.0s 等后:0.0s) | ST11 气囊安装+绝缘(开:1648.5s 加:116.0s 等前:0.0s 等后:0.0s) | ST12 L2++(开:1764.5s 加:88.0s 等前:0.0s 等后:0.0s) | ST13 电检1(开:1852.5s 加:84.5s 等前:0.0s 等后:0.0s) | ST14 电检2(开:1937.0s 加:97.5s 等前:0.0s 等后:0.0s) | ST15 小跑道(开:2034.5s 加:50.0s 等前:0.0s 等后:0.0s)</t>
        </is>
      </c>
    </row>
    <row r="13">
      <c r="A13" s="15" t="n">
        <v>12</v>
      </c>
      <c r="B13" s="15" t="inlineStr">
        <is>
          <t>Car#12</t>
        </is>
      </c>
      <c r="C13" s="15" t="inlineStr">
        <is>
          <t>B</t>
        </is>
      </c>
      <c r="D13" s="16" t="n">
        <v>646.5</v>
      </c>
      <c r="E13" s="16" t="n">
        <v>2134.5</v>
      </c>
      <c r="F13" s="16" t="n">
        <v>1488</v>
      </c>
      <c r="G13" s="16" t="n">
        <v>165</v>
      </c>
      <c r="H13" s="15" t="inlineStr">
        <is>
          <t>Car#11</t>
        </is>
      </c>
      <c r="I13" s="16">
        <f>E13-E12</f>
        <v/>
      </c>
      <c r="J13" s="16">
        <f>I13-58</f>
        <v/>
      </c>
      <c r="K13" s="16">
        <f>MAX(0,J13)</f>
        <v/>
      </c>
      <c r="L13" s="16">
        <f>MAX(0,-J13)</f>
        <v/>
      </c>
      <c r="M13" s="16">
        <f>M12+I13</f>
        <v/>
      </c>
      <c r="N13" s="16">
        <f>D13+F13-E13</f>
        <v/>
      </c>
      <c r="O13" s="15" t="inlineStr">
        <is>
          <t>能力超目标：四轮定位上、下</t>
        </is>
      </c>
      <c r="P13" s="15" t="inlineStr">
        <is>
          <t>ST1 引取(开:646.5s 加:56.0s 等前:8.5s 等后:2.0s) | ST2 集约(开:704.5s 加:111.0s 等前:0.0s 等后:9.5s) | ST3 空气悬挂+快充(开:825.0s 加:108.5s 等前:0.0s 等后:12.0s) | ST4 四轮定位上、下(开:945.5s 加:120.5s 等前:0.0s 等后:0.0s) | ST5 ADAS(开:1066.0s 加:107.0s 等前:0.0s 等后:23.0s) | ST6 ARHUD+慢充(开:1196.0s 加:51.5s 等前:0.0s 等后:63.0s) | ST7 转毂(开:1310.5s 加:114.5s 等前:0.0s 等后:0.0s) | ST8 制动(开:1425.0s 加:114.0s 等前:0.0s 等后:0.0s) | ST9 EG漏液/底盘漏液(开:1539.0s 加:112.5s 等前:0.0s 等后:0.0s) | ST10 全景/空调检查(开:1651.5s 加:0.0s 等前:0.0s 等后:1.5s) | ST11 气囊安装+绝缘(开:1653.0s 加:116.0s 等前:0.0s 等后:0.0s) | ST12 L2++(开:1769.0s 加:88.0s 等前:0.0s 等后:0.0s) | ST13 电检1(开:1857.0s 加:84.5s 等前:0.0s 等后:0.0s) | ST14 电检2(开:1941.5s 加:97.5s 等前:0.0s 等后:45.5s) | ST15 小跑道(开:2084.5s 加:50.0s 等前:0.0s 等后:0.0s)</t>
        </is>
      </c>
    </row>
    <row r="14">
      <c r="A14" s="13" t="n">
        <v>13</v>
      </c>
      <c r="B14" s="13" t="inlineStr">
        <is>
          <t>Car#13</t>
        </is>
      </c>
      <c r="C14" s="13" t="inlineStr">
        <is>
          <t>B</t>
        </is>
      </c>
      <c r="D14" s="14" t="n">
        <v>704.5</v>
      </c>
      <c r="E14" s="14" t="n">
        <v>2200.5</v>
      </c>
      <c r="F14" s="14" t="n">
        <v>1496</v>
      </c>
      <c r="G14" s="14" t="n">
        <v>173</v>
      </c>
      <c r="H14" s="13" t="inlineStr">
        <is>
          <t>Car#12</t>
        </is>
      </c>
      <c r="I14" s="14">
        <f>E14-E13</f>
        <v/>
      </c>
      <c r="J14" s="14">
        <f>I14-58</f>
        <v/>
      </c>
      <c r="K14" s="14">
        <f>MAX(0,J14)</f>
        <v/>
      </c>
      <c r="L14" s="14">
        <f>MAX(0,-J14)</f>
        <v/>
      </c>
      <c r="M14" s="14">
        <f>M13+I14</f>
        <v/>
      </c>
      <c r="N14" s="14">
        <f>D14+F14-E14</f>
        <v/>
      </c>
      <c r="O14" s="13" t="inlineStr">
        <is>
          <t>能力超目标：四轮定位上、下</t>
        </is>
      </c>
      <c r="P14" s="13" t="inlineStr">
        <is>
          <t>ST1 引取(开:704.5s 加:56.0s 等前:8.5s 等后:29.5s) | ST2 集约(开:790.0s 加:111.0s 等前:0.0s 等后:9.5s) | ST3 空气悬挂+快充(开:910.5s 加:108.5s 等前:0.0s 等后:12.0s) | ST4 四轮定位上、下(开:1031.0s 加:120.5s 等前:0.0s 等后:12.5s) | ST5 ADAS(开:1164.0s 加:107.0s 等前:0.0s 等后:36.5s) | ST6 ARHUD+慢充(开:1307.5s 加:51.5s 等前:0.0s 等后:63.0s) | ST7 转毂(开:1422.0s 加:114.5s 等前:0.0s 等后:0.0s) | ST8 制动(开:1536.5s 加:114.0s 等前:0.0s 等后:0.0s) | ST9 EG漏液/底盘漏液(开:1650.5s 加:112.5s 等前:0.0s 等后:0.0s) | ST10 全景/空调检查(开:1763.0s 加:0.0s 等前:0.0s 等后:1.5s) | ST11 气囊安装+绝缘(开:1764.5s 加:116.0s 等前:0.0s 等后:0.0s) | ST12 L2++(开:1880.5s 加:88.0s 等前:0.0s 等后:0.0s) | ST13 电检1(开:1968.5s 加:84.5s 等前:0.0s 等后:0.0s) | ST14 电检2(开:2053.0s 加:97.5s 等前:0.0s 等后:0.0s) | ST15 小跑道(开:2150.5s 加:50.0s 等前:0.0s 等后:0.0s)</t>
        </is>
      </c>
    </row>
    <row r="15">
      <c r="A15" s="15" t="n">
        <v>14</v>
      </c>
      <c r="B15" s="15" t="inlineStr">
        <is>
          <t>Car#14</t>
        </is>
      </c>
      <c r="C15" s="15" t="inlineStr">
        <is>
          <t>B</t>
        </is>
      </c>
      <c r="D15" s="16" t="n">
        <v>790</v>
      </c>
      <c r="E15" s="16" t="n">
        <v>2250.5</v>
      </c>
      <c r="F15" s="16" t="n">
        <v>1460.5</v>
      </c>
      <c r="G15" s="16" t="n">
        <v>165</v>
      </c>
      <c r="H15" s="15" t="inlineStr">
        <is>
          <t>Car#13</t>
        </is>
      </c>
      <c r="I15" s="16">
        <f>E15-E14</f>
        <v/>
      </c>
      <c r="J15" s="16">
        <f>I15-58</f>
        <v/>
      </c>
      <c r="K15" s="16">
        <f>MAX(0,J15)</f>
        <v/>
      </c>
      <c r="L15" s="16">
        <f>MAX(0,-J15)</f>
        <v/>
      </c>
      <c r="M15" s="16">
        <f>M14+I15</f>
        <v/>
      </c>
      <c r="N15" s="16">
        <f>D15+F15-E15</f>
        <v/>
      </c>
      <c r="O15" s="15" t="inlineStr">
        <is>
          <t>能力超目标：四轮定位上、下</t>
        </is>
      </c>
      <c r="P15" s="15" t="inlineStr">
        <is>
          <t>ST1 引取(开:790.0s 加:56.0s 等前:36.0s 等后:0.0s) | ST2 集约(开:846.0s 加:111.0s 等前:0.0s 等后:0.0s) | ST3 空气悬挂+快充(开:957.0s 加:108.5s 等前:0.0s 等后:0.5s) | ST4 四轮定位上、下(开:1066.0s 加:120.5s 等前:0.0s 等后:9.5s) | ST5 ADAS(开:1196.0s 加:107.0s 等前:0.0s 等后:7.5s) | ST6 ARHUD+慢充(开:1310.5s 加:51.5s 等前:0.0s 等后:63.0s) | ST7 转毂(开:1425.0s 加:114.5s 等前:0.0s 等后:0.0s) | ST8 制动(开:1539.5s 加:114.0s 等前:0.0s 等后:0.0s) | ST9 EG漏液/底盘漏液(开:1653.5s 加:112.5s 等前:0.0s 等后:0.0s) | ST10 全景/空调检查(开:1766.0s 加:0.0s 等前:0.0s 等后:3.0s) | ST11 气囊安装+绝缘(开:1769.0s 加:116.0s 等前:0.0s 等后:0.0s) | ST12 L2++(开:1885.0s 加:88.0s 等前:0.0s 等后:0.0s) | ST13 电检1(开:1973.0s 加:84.5s 等前:0.0s 等后:27.0s) | ST14 电检2(开:2084.5s 加:97.5s 等前:0.0s 等后:18.5s) | ST15 小跑道(开:2200.5s 加:50.0s 等前:0.0s 等后:0.0s)</t>
        </is>
      </c>
    </row>
    <row r="16">
      <c r="A16" s="13" t="n">
        <v>15</v>
      </c>
      <c r="B16" s="13" t="inlineStr">
        <is>
          <t>Car#15</t>
        </is>
      </c>
      <c r="C16" s="13" t="inlineStr">
        <is>
          <t>C</t>
        </is>
      </c>
      <c r="D16" s="14" t="n">
        <v>846</v>
      </c>
      <c r="E16" s="14" t="n">
        <v>2342.5</v>
      </c>
      <c r="F16" s="14" t="n">
        <v>1496.5</v>
      </c>
      <c r="G16" s="14" t="n">
        <v>107</v>
      </c>
      <c r="H16" s="13" t="inlineStr">
        <is>
          <t>Car#14</t>
        </is>
      </c>
      <c r="I16" s="14">
        <f>E16-E15</f>
        <v/>
      </c>
      <c r="J16" s="14">
        <f>I16-58</f>
        <v/>
      </c>
      <c r="K16" s="14">
        <f>MAX(0,J16)</f>
        <v/>
      </c>
      <c r="L16" s="14">
        <f>MAX(0,-J16)</f>
        <v/>
      </c>
      <c r="M16" s="14">
        <f>M15+I16</f>
        <v/>
      </c>
      <c r="N16" s="14">
        <f>D16+F16-E16</f>
        <v/>
      </c>
      <c r="O16" s="13" t="inlineStr">
        <is>
          <t>能力超目标：四轮定位上、下、ARHUD+慢充</t>
        </is>
      </c>
      <c r="P16" s="13" t="inlineStr">
        <is>
          <t>ST1 引取(开:846.0s 加:56.0s 等前:34.0s 等后:8.5s) | ST2 集约(开:910.5s 加:111.0s 等前:0.0s 等后:9.5s) | ST3 空气悬挂+快充(开:1031.0s 加:108.5s 等前:0.0s 等后:24.5s) | ST4 四轮定位上、下(开:1164.0s 加:120.5s 等前:0.0s 等后:23.0s) | ST5 ADAS(开:1307.5s 加:107.0s 等前:0.0s 等后:7.5s) | ST6 ARHUD+慢充(开:1422.0s 加:143.5s 等前:0.0s 等后:0.0s) | ST7 转毂(开:1565.5s 加:114.5s 等前:0.0s 等后:0.0s) | ST8 制动(开:1680.0s 加:114.0s 等前:0.0s 等后:0.0s) | ST9 EG漏液/底盘漏液(开:1794.0s 加:112.5s 等前:0.0s 等后:0.0s) | ST10 全景/空调检查(开:1906.5s 加:0.0s 等前:0.0s 等后:0.0s) | ST11 气囊安装+绝缘(开:1906.5s 加:116.0s 等前:0.0s 等后:0.0s) | ST12 L2++(开:2022.5s 加:88.0s 等前:0.0s 等后:0.0s) | ST13 电检1(开:2110.5s 加:84.5s 等前:0.0s 等后:0.0s) | ST14 电检2(开:2195.0s 加:97.5s 等前:0.0s 等后:0.0s) | ST15 小跑道(开:2292.5s 加:50.0s 等前:0.0s 等后:0.0s)</t>
        </is>
      </c>
    </row>
    <row r="17">
      <c r="A17" s="15" t="n">
        <v>16</v>
      </c>
      <c r="B17" s="15" t="inlineStr">
        <is>
          <t>Car#17</t>
        </is>
      </c>
      <c r="C17" s="15" t="inlineStr">
        <is>
          <t>A</t>
        </is>
      </c>
      <c r="D17" s="16" t="n">
        <v>966.5</v>
      </c>
      <c r="E17" s="16" t="n">
        <v>2393.5</v>
      </c>
      <c r="F17" s="16" t="n">
        <v>1427</v>
      </c>
      <c r="G17" s="16" t="n">
        <v>604.5</v>
      </c>
      <c r="H17" s="15" t="inlineStr">
        <is>
          <t>Car#15</t>
        </is>
      </c>
      <c r="I17" s="16">
        <f>E17-E16</f>
        <v/>
      </c>
      <c r="J17" s="16">
        <f>I17-58</f>
        <v/>
      </c>
      <c r="K17" s="16">
        <f>MAX(0,J17)</f>
        <v/>
      </c>
      <c r="L17" s="16">
        <f>MAX(0,-J17)</f>
        <v/>
      </c>
      <c r="M17" s="16">
        <f>M16+I17</f>
        <v/>
      </c>
      <c r="N17" s="16">
        <f>D17+F17-E17</f>
        <v/>
      </c>
      <c r="O17" s="15" t="inlineStr">
        <is>
          <t>能力满足</t>
        </is>
      </c>
      <c r="P17" s="15" t="inlineStr">
        <is>
          <t>ST1 引取(开:966.5s 加:55.0s 等前:38.5s 等后:9.5s) | ST2 集约(开:1031.0s 加:106.0s 等前:0.0s 等后:27.0s) | ST3 空气悬挂+快充(开:1164.0s 加:0.0s 等前:0.0s 等后:143.5s) | ST4 四轮定位上、下(开:1307.5s 加:115.0s 等前:0.0s 等后:0.0s) | ST5 ADAS(开:1422.5s 加:97.0s 等前:0.0s 等后:46.0s) | ST6 ARHUD+慢充(开:1565.5s 加:0.0s 等前:0.0s 等后:114.5s) | ST7 转毂(开:1680.0s 加:116.0s 等前:0.0s 等后:0.0s) | ST8 制动(开:1796.0s 加:108.0s 等前:0.0s 等后:2.5s) | ST9 EG漏液/底盘漏液(开:1906.5s 加:115.0s 等前:0.0s 等后:0.0s) | ST10 全景/空调检查(开:2021.5s 加:98.0s 等前:0.0s 等后:0.0s) | ST11 气囊安装+绝缘(开:2119.5s 加:0.0s 等前:0.0s 等后:0.0s) | ST12 L2++(开:2119.5s 加:0.0s 等前:0.0s 等后:75.5s) | ST13 电检1(开:2195.0s 加:0.0s 等前:0.0s 等后:97.5s) | ST14 电检2(开:2292.5s 加:0.0s 等前:0.0s 等后:50.0s) | ST15 小跑道(开:2342.5s 加:51.0s 等前:0.0s 等后:0.0s)</t>
        </is>
      </c>
    </row>
    <row r="18">
      <c r="A18" s="13" t="n">
        <v>17</v>
      </c>
      <c r="B18" s="13" t="inlineStr">
        <is>
          <t>Car#16</t>
        </is>
      </c>
      <c r="C18" s="13" t="inlineStr">
        <is>
          <t>C</t>
        </is>
      </c>
      <c r="D18" s="14" t="n">
        <v>910.5</v>
      </c>
      <c r="E18" s="14" t="n">
        <v>2443.5</v>
      </c>
      <c r="F18" s="14" t="n">
        <v>1533</v>
      </c>
      <c r="G18" s="14" t="n">
        <v>150</v>
      </c>
      <c r="H18" s="13" t="inlineStr">
        <is>
          <t>Car#17</t>
        </is>
      </c>
      <c r="I18" s="14">
        <f>E18-E17</f>
        <v/>
      </c>
      <c r="J18" s="14">
        <f>I18-58</f>
        <v/>
      </c>
      <c r="K18" s="14">
        <f>MAX(0,J18)</f>
        <v/>
      </c>
      <c r="L18" s="14">
        <f>MAX(0,-J18)</f>
        <v/>
      </c>
      <c r="M18" s="14">
        <f>M17+I18</f>
        <v/>
      </c>
      <c r="N18" s="14">
        <f>D18+F18-E18</f>
        <v/>
      </c>
      <c r="O18" s="13" t="inlineStr">
        <is>
          <t>能力超目标：四轮定位上、下、ARHUD+慢充</t>
        </is>
      </c>
      <c r="P18" s="13" t="inlineStr">
        <is>
          <t>ST1 引取(开:910.5s 加:56.0s 等前:40.5s 等后:0.0s) | ST2 集约(开:966.5s 加:111.0s 等前:0.0s 等后:0.0s) | ST3 空气悬挂+快充(开:1077.5s 加:108.5s 等前:0.0s 等后:10.0s) | ST4 四轮定位上、下(开:1196.0s 加:120.5s 等前:0.0s 等后:0.0s) | ST5 ADAS(开:1316.5s 加:107.0s 等前:0.0s 等后:1.5s) | ST6 ARHUD+慢充(开:1425.0s 加:143.5s 等前:0.0s 等后:0.0s) | ST7 转毂(开:1568.5s 加:114.5s 等前:0.0s 等后:0.0s) | ST8 制动(开:1683.0s 加:114.0s 等前:0.0s 等后:0.0s) | ST9 EG漏液/底盘漏液(开:1797.0s 加:112.5s 等前:0.0s 等后:0.0s) | ST10 全景/空调检查(开:1909.5s 加:0.0s 等前:0.0s 等后:0.0s) | ST11 气囊安装+绝缘(开:1909.5s 加:116.0s 等前:0.0s 等后:0.0s) | ST12 L2++(开:2025.5s 加:88.0s 等前:0.0s 等后:0.0s) | ST13 电检1(开:2113.5s 加:84.5s 等前:0.0s 等后:2.5s) | ST14 电检2(开:2200.5s 加:97.5s 等前:0.0s 等后:95.5s) | ST15 小跑道(开:2393.5s 加:50.0s 等前:0.0s 等后:0.0s)</t>
        </is>
      </c>
    </row>
    <row r="19">
      <c r="A19" s="15" t="n">
        <v>18</v>
      </c>
      <c r="B19" s="15" t="inlineStr">
        <is>
          <t>Car#18</t>
        </is>
      </c>
      <c r="C19" s="15" t="inlineStr">
        <is>
          <t>A</t>
        </is>
      </c>
      <c r="D19" s="16" t="n">
        <v>1031</v>
      </c>
      <c r="E19" s="16" t="n">
        <v>2494.5</v>
      </c>
      <c r="F19" s="16" t="n">
        <v>1463.5</v>
      </c>
      <c r="G19" s="16" t="n">
        <v>647.5</v>
      </c>
      <c r="H19" s="15" t="inlineStr">
        <is>
          <t>Car#16</t>
        </is>
      </c>
      <c r="I19" s="16">
        <f>E19-E18</f>
        <v/>
      </c>
      <c r="J19" s="16">
        <f>I19-58</f>
        <v/>
      </c>
      <c r="K19" s="16">
        <f>MAX(0,J19)</f>
        <v/>
      </c>
      <c r="L19" s="16">
        <f>MAX(0,-J19)</f>
        <v/>
      </c>
      <c r="M19" s="16">
        <f>M18+I19</f>
        <v/>
      </c>
      <c r="N19" s="16">
        <f>D19+F19-E19</f>
        <v/>
      </c>
      <c r="O19" s="15" t="inlineStr">
        <is>
          <t>能力满足</t>
        </is>
      </c>
      <c r="P19" s="15" t="inlineStr">
        <is>
          <t>ST1 引取(开:1031.0s 加:55.0s 等前:45.0s 等后:0.0s) | ST2 集约(开:1086.0s 加:106.0s 等前:0.0s 等后:4.0s) | ST3 空气悬挂+快充(开:1196.0s 加:0.0s 等前:0.0s 等后:120.5s) | ST4 四轮定位上、下(开:1316.5s 加:115.0s 等前:0.0s 等后:0.0s) | ST5 ADAS(开:1431.5s 加:97.0s 等前:0.0s 等后:40.0s) | ST6 ARHUD+慢充(开:1568.5s 加:0.0s 等前:0.0s 等后:114.5s) | ST7 转毂(开:1683.0s 加:116.0s 等前:0.0s 等后:0.0s) | ST8 制动(开:1799.0s 加:108.0s 等前:0.0s 等后:2.5s) | ST9 EG漏液/底盘漏液(开:1909.5s 加:115.0s 等前:0.0s 等后:0.0s) | ST10 全景/空调检查(开:2024.5s 加:98.0s 等前:0.0s 等后:0.0s) | ST11 气囊安装+绝缘(开:2122.5s 加:0.0s 等前:0.0s 等后:0.0s) | ST12 L2++(开:2122.5s 加:0.0s 等前:0.0s 等后:78.0s) | ST13 电检1(开:2200.5s 加:0.0s 等前:0.0s 等后:193.0s) | ST14 电检2(开:2393.5s 加:0.0s 等前:0.0s 等后:50.0s) | ST15 小跑道(开:2443.5s 加:51.0s 等前:0.0s 等后:0.0s)</t>
        </is>
      </c>
    </row>
    <row r="20">
      <c r="A20" s="13" t="n">
        <v>19</v>
      </c>
      <c r="B20" s="13" t="inlineStr">
        <is>
          <t>Car#19</t>
        </is>
      </c>
      <c r="C20" s="13" t="inlineStr">
        <is>
          <t>C</t>
        </is>
      </c>
      <c r="D20" s="14" t="n">
        <v>1086</v>
      </c>
      <c r="E20" s="14" t="n">
        <v>2600.5</v>
      </c>
      <c r="F20" s="14" t="n">
        <v>1514.5</v>
      </c>
      <c r="G20" s="14" t="n">
        <v>133</v>
      </c>
      <c r="H20" s="13" t="inlineStr">
        <is>
          <t>Car#18</t>
        </is>
      </c>
      <c r="I20" s="14">
        <f>E20-E19</f>
        <v/>
      </c>
      <c r="J20" s="14">
        <f>I20-58</f>
        <v/>
      </c>
      <c r="K20" s="14">
        <f>MAX(0,J20)</f>
        <v/>
      </c>
      <c r="L20" s="14">
        <f>MAX(0,-J20)</f>
        <v/>
      </c>
      <c r="M20" s="14">
        <f>M19+I20</f>
        <v/>
      </c>
      <c r="N20" s="14">
        <f>D20+F20-E20</f>
        <v/>
      </c>
      <c r="O20" s="13" t="inlineStr">
        <is>
          <t>能力超目标：四轮定位上、下、ARHUD+慢充</t>
        </is>
      </c>
      <c r="P20" s="13" t="inlineStr">
        <is>
          <t>ST1 引取(开:1086.0s 加:56.0s 等前:42.0s 等后:22.0s) | ST2 集约(开:1164.0s 加:111.0s 等前:0.0s 等后:32.5s) | ST3 空气悬挂+快充(开:1307.5s 加:108.5s 等前:0.0s 等后:6.5s) | ST4 四轮定位上、下(开:1422.5s 加:120.5s 等前:0.0s 等后:22.5s) | ST5 ADAS(开:1565.5s 加:107.0s 等前:0.0s 等后:7.5s) | ST6 ARHUD+慢充(开:1680.0s 加:143.5s 等前:0.0s 等后:0.0s) | ST7 转毂(开:1823.5s 加:114.5s 等前:0.0s 等后:0.0s) | ST8 制动(开:1938.0s 加:114.0s 等前:0.0s 等后:0.0s) | ST9 EG漏液/底盘漏液(开:2052.0s 加:112.5s 等前:0.0s 等后:0.0s) | ST10 全景/空调检查(开:2164.5s 加:0.0s 等前:0.0s 等后:0.0s) | ST11 气囊安装+绝缘(开:2164.5s 加:116.0s 等前:0.0s 等后:0.0s) | ST12 L2++(开:2280.5s 加:88.0s 等前:0.0s 等后:0.0s) | ST13 电检1(开:2368.5s 加:84.5s 等前:0.0s 等后:0.0s) | ST14 电检2(开:2453.0s 加:97.5s 等前:0.0s 等后:0.0s) | ST15 小跑道(开:2550.5s 加:50.0s 等前:0.0s 等后:0.0s)</t>
        </is>
      </c>
    </row>
    <row r="21">
      <c r="A21" s="15" t="n">
        <v>20</v>
      </c>
      <c r="B21" s="15" t="inlineStr">
        <is>
          <t>Car#20</t>
        </is>
      </c>
      <c r="C21" s="15" t="inlineStr">
        <is>
          <t>C</t>
        </is>
      </c>
      <c r="D21" s="16" t="n">
        <v>1164</v>
      </c>
      <c r="E21" s="16" t="n">
        <v>2650.5</v>
      </c>
      <c r="F21" s="16" t="n">
        <v>1486.5</v>
      </c>
      <c r="G21" s="16" t="n">
        <v>125</v>
      </c>
      <c r="H21" s="15" t="inlineStr">
        <is>
          <t>Car#19</t>
        </is>
      </c>
      <c r="I21" s="16">
        <f>E21-E20</f>
        <v/>
      </c>
      <c r="J21" s="16">
        <f>I21-58</f>
        <v/>
      </c>
      <c r="K21" s="16">
        <f>MAX(0,J21)</f>
        <v/>
      </c>
      <c r="L21" s="16">
        <f>MAX(0,-J21)</f>
        <v/>
      </c>
      <c r="M21" s="16">
        <f>M20+I21</f>
        <v/>
      </c>
      <c r="N21" s="16">
        <f>D21+F21-E21</f>
        <v/>
      </c>
      <c r="O21" s="15" t="inlineStr">
        <is>
          <t>能力超目标：四轮定位上、下、ARHUD+慢充</t>
        </is>
      </c>
      <c r="P21" s="15" t="inlineStr">
        <is>
          <t>ST1 引取(开:1164.0s 加:56.0s 等前:62.0s 等后:0.0s) | ST2 集约(开:1220.0s 加:111.0s 等前:0.0s 等后:0.0s) | ST3 空气悬挂+快充(开:1331.0s 加:108.5s 等前:0.0s 等后:0.0s) | ST4 四轮定位上、下(开:1439.5s 加:120.5s 等前:0.0s 等后:8.5s) | ST5 ADAS(开:1568.5s 加:107.0s 等前:0.0s 等后:7.5s) | ST6 ARHUD+慢充(开:1683.0s 加:143.5s 等前:0.0s 等后:0.0s) | ST7 转毂(开:1826.5s 加:114.5s 等前:0.0s 等后:0.0s) | ST8 制动(开:1941.0s 加:114.0s 等前:0.0s 等后:0.0s) | ST9 EG漏液/底盘漏液(开:2055.0s 加:112.5s 等前:0.0s 等后:0.0s) | ST10 全景/空调检查(开:2167.5s 加:0.0s 等前:0.0s 等后:0.0s) | ST11 气囊安装+绝缘(开:2167.5s 加:116.0s 等前:0.0s 等后:0.0s) | ST12 L2++(开:2283.5s 加:88.0s 等前:0.0s 等后:22.0s) | ST13 电检1(开:2393.5s 加:84.5s 等前:0.0s 等后:0.0s) | ST14 电检2(开:2478.0s 加:97.5s 等前:0.0s 等后:25.0s) | ST15 小跑道(开:2600.5s 加:50.0s 等前:0.0s 等后:0.0s)</t>
        </is>
      </c>
    </row>
    <row r="22">
      <c r="A22" s="13" t="n">
        <v>21</v>
      </c>
      <c r="B22" s="13" t="inlineStr">
        <is>
          <t>Car#21</t>
        </is>
      </c>
      <c r="C22" s="13" t="inlineStr">
        <is>
          <t>C</t>
        </is>
      </c>
      <c r="D22" s="14" t="n">
        <v>1220</v>
      </c>
      <c r="E22" s="14" t="n">
        <v>2744</v>
      </c>
      <c r="F22" s="14" t="n">
        <v>1524</v>
      </c>
      <c r="G22" s="14" t="n">
        <v>160.5</v>
      </c>
      <c r="H22" s="13" t="inlineStr">
        <is>
          <t>Car#20</t>
        </is>
      </c>
      <c r="I22" s="14">
        <f>E22-E21</f>
        <v/>
      </c>
      <c r="J22" s="14">
        <f>I22-58</f>
        <v/>
      </c>
      <c r="K22" s="14">
        <f>MAX(0,J22)</f>
        <v/>
      </c>
      <c r="L22" s="14">
        <f>MAX(0,-J22)</f>
        <v/>
      </c>
      <c r="M22" s="14">
        <f>M21+I22</f>
        <v/>
      </c>
      <c r="N22" s="14">
        <f>D22+F22-E22</f>
        <v/>
      </c>
      <c r="O22" s="13" t="inlineStr">
        <is>
          <t>能力超目标：四轮定位上、下、ARHUD+慢充</t>
        </is>
      </c>
      <c r="P22" s="13" t="inlineStr">
        <is>
          <t>ST1 引取(开:1220.0s 加:56.0s 等前:60.0s 等后:31.5s) | ST2 集约(开:1307.5s 加:111.0s 等前:0.0s 等后:4.0s) | ST3 空气悬挂+快充(开:1422.5s 加:108.5s 等前:0.0s 等后:34.5s) | ST4 四轮定位上、下(开:1565.5s 加:120.5s 等前:0.0s 等后:0.0s) | ST5 ADAS(开:1686.0s 加:107.0s 等前:0.0s 等后:30.5s) | ST6 ARHUD+慢充(开:1823.5s 加:143.5s 等前:0.0s 等后:0.0s) | ST7 转毂(开:1967.0s 加:114.5s 等前:0.0s 等后:0.0s) | ST8 制动(开:2081.5s 加:114.0s 等前:0.0s 等后:0.0s) | ST9 EG漏液/底盘漏液(开:2195.5s 加:112.5s 等前:0.0s 等后:0.0s) | ST10 全景/空调检查(开:2308.0s 加:0.0s 等前:0.0s 等后:0.0s) | ST11 气囊安装+绝缘(开:2308.0s 加:116.0s 等前:0.0s 等后:0.0s) | ST12 L2++(开:2424.0s 加:88.0s 等前:0.0s 等后:0.0s) | ST13 电检1(开:2512.0s 加:84.5s 等前:0.0s 等后:0.0s) | ST14 电检2(开:2596.5s 加:97.5s 等前:0.0s 等后:0.0s) | ST15 小跑道(开:2694.0s 加:50.0s 等前:0.0s 等后:0.0s)</t>
        </is>
      </c>
    </row>
    <row r="23">
      <c r="A23" s="15" t="n">
        <v>22</v>
      </c>
      <c r="B23" s="15" t="inlineStr">
        <is>
          <t>Car#22</t>
        </is>
      </c>
      <c r="C23" s="15" t="inlineStr">
        <is>
          <t>C</t>
        </is>
      </c>
      <c r="D23" s="16" t="n">
        <v>1307.5</v>
      </c>
      <c r="E23" s="16" t="n">
        <v>2794</v>
      </c>
      <c r="F23" s="16" t="n">
        <v>1486.5</v>
      </c>
      <c r="G23" s="16" t="n">
        <v>152.5</v>
      </c>
      <c r="H23" s="15" t="inlineStr">
        <is>
          <t>Car#21</t>
        </is>
      </c>
      <c r="I23" s="16">
        <f>E23-E22</f>
        <v/>
      </c>
      <c r="J23" s="16">
        <f>I23-58</f>
        <v/>
      </c>
      <c r="K23" s="16">
        <f>MAX(0,J23)</f>
        <v/>
      </c>
      <c r="L23" s="16">
        <f>MAX(0,-J23)</f>
        <v/>
      </c>
      <c r="M23" s="16">
        <f>M22+I23</f>
        <v/>
      </c>
      <c r="N23" s="16">
        <f>D23+F23-E23</f>
        <v/>
      </c>
      <c r="O23" s="15" t="inlineStr">
        <is>
          <t>能力超目标：四轮定位上、下、ARHUD+慢充</t>
        </is>
      </c>
      <c r="P23" s="15" t="inlineStr">
        <is>
          <t>ST1 引取(开:1307.5s 加:56.0s 等前:89.5s 等后:0.0s) | ST2 集约(开:1363.5s 加:111.0s 等前:0.0s 等后:0.0s) | ST3 空气悬挂+快充(开:1474.5s 加:108.5s 等前:0.0s 等后:0.0s) | ST4 四轮定位上、下(开:1583.0s 加:120.5s 等前:0.0s 等后:0.0s) | ST5 ADAS(开:1703.5s 加:107.0s 等前:0.0s 等后:16.0s) | ST6 ARHUD+慢充(开:1826.5s 加:143.5s 等前:0.0s 等后:0.0s) | ST7 转毂(开:1970.0s 加:114.5s 等前:0.0s 等后:0.0s) | ST8 制动(开:2084.5s 加:114.0s 等前:0.0s 等后:0.0s) | ST9 EG漏液/底盘漏液(开:2198.5s 加:112.5s 等前:0.0s 等后:0.0s) | ST10 全景/空调检查(开:2311.0s 加:0.0s 等前:0.0s 等后:0.0s) | ST11 气囊安装+绝缘(开:2311.0s 加:116.0s 等前:0.0s 等后:0.0s) | ST12 L2++(开:2427.0s 加:88.0s 等前:0.0s 等后:0.0s) | ST13 电检1(开:2515.0s 加:84.5s 等前:0.0s 等后:1.0s) | ST14 电检2(开:2600.5s 加:97.5s 等前:0.0s 等后:46.0s) | ST15 小跑道(开:2744.0s 加:50.0s 等前:0.0s 等后:0.0s)</t>
        </is>
      </c>
    </row>
    <row r="24">
      <c r="A24" s="13" t="n">
        <v>23</v>
      </c>
      <c r="B24" s="13" t="inlineStr">
        <is>
          <t>Car#23</t>
        </is>
      </c>
      <c r="C24" s="13" t="inlineStr">
        <is>
          <t>B</t>
        </is>
      </c>
      <c r="D24" s="14" t="n">
        <v>1363.5</v>
      </c>
      <c r="E24" s="14" t="n">
        <v>2860</v>
      </c>
      <c r="F24" s="14" t="n">
        <v>1496.5</v>
      </c>
      <c r="G24" s="14" t="n">
        <v>252.5</v>
      </c>
      <c r="H24" s="13" t="inlineStr">
        <is>
          <t>Car#22</t>
        </is>
      </c>
      <c r="I24" s="14">
        <f>E24-E23</f>
        <v/>
      </c>
      <c r="J24" s="14">
        <f>I24-58</f>
        <v/>
      </c>
      <c r="K24" s="14">
        <f>MAX(0,J24)</f>
        <v/>
      </c>
      <c r="L24" s="14">
        <f>MAX(0,-J24)</f>
        <v/>
      </c>
      <c r="M24" s="14">
        <f>M23+I24</f>
        <v/>
      </c>
      <c r="N24" s="14">
        <f>D24+F24-E24</f>
        <v/>
      </c>
      <c r="O24" s="13" t="inlineStr">
        <is>
          <t>能力超目标：四轮定位上、下</t>
        </is>
      </c>
      <c r="P24" s="13" t="inlineStr">
        <is>
          <t>ST1 引取(开:1363.5s 加:56.0s 等前:87.5s 等后:3.0s) | ST2 集约(开:1422.5s 加:111.0s 等前:0.0s 等后:32.0s) | ST3 空气悬挂+快充(开:1565.5s 加:108.5s 等前:0.0s 等后:12.0s) | ST4 四轮定位上、下(开:1686.0s 加:120.5s 等前:0.0s 等后:17.0s) | ST5 ADAS(开:1823.5s 加:107.0s 等前:0.0s 等后:36.5s) | ST6 ARHUD+慢充(开:1967.0s 加:51.5s 等前:0.0s 等后:63.0s) | ST7 转毂(开:2081.5s 加:114.5s 等前:0.0s 等后:0.0s) | ST8 制动(开:2196.0s 加:114.0s 等前:0.0s 等后:0.0s) | ST9 EG漏液/底盘漏液(开:2310.0s 加:112.5s 等前:0.0s 等后:0.0s) | ST10 全景/空调检查(开:2422.5s 加:0.0s 等前:0.0s 等后:1.5s) | ST11 气囊安装+绝缘(开:2424.0s 加:116.0s 等前:0.0s 等后:0.0s) | ST12 L2++(开:2540.0s 加:88.0s 等前:0.0s 等后:0.0s) | ST13 电检1(开:2628.0s 加:84.5s 等前:0.0s 等后:0.0s) | ST14 电检2(开:2712.5s 加:97.5s 等前:0.0s 等后:0.0s) | ST15 小跑道(开:2810.0s 加:50.0s 等前:0.0s 等后:0.0s)</t>
        </is>
      </c>
    </row>
    <row r="25">
      <c r="A25" s="15" t="n">
        <v>24</v>
      </c>
      <c r="B25" s="15" t="inlineStr">
        <is>
          <t>Car#25</t>
        </is>
      </c>
      <c r="C25" s="15" t="inlineStr">
        <is>
          <t>A</t>
        </is>
      </c>
      <c r="D25" s="16" t="n">
        <v>1478.5</v>
      </c>
      <c r="E25" s="16" t="n">
        <v>2911</v>
      </c>
      <c r="F25" s="16" t="n">
        <v>1432.5</v>
      </c>
      <c r="G25" s="16" t="n">
        <v>658</v>
      </c>
      <c r="H25" s="15" t="inlineStr">
        <is>
          <t>Car#23</t>
        </is>
      </c>
      <c r="I25" s="16">
        <f>E25-E24</f>
        <v/>
      </c>
      <c r="J25" s="16">
        <f>I25-58</f>
        <v/>
      </c>
      <c r="K25" s="16">
        <f>MAX(0,J25)</f>
        <v/>
      </c>
      <c r="L25" s="16">
        <f>MAX(0,-J25)</f>
        <v/>
      </c>
      <c r="M25" s="16">
        <f>M24+I25</f>
        <v/>
      </c>
      <c r="N25" s="16">
        <f>D25+F25-E25</f>
        <v/>
      </c>
      <c r="O25" s="15" t="inlineStr">
        <is>
          <t>能力满足</t>
        </is>
      </c>
      <c r="P25" s="15" t="inlineStr">
        <is>
          <t>ST1 引取(开:1478.5s 加:55.0s 等前:86.5s 等后:32.0s) | ST2 集约(开:1565.5s 加:106.0s 等前:0.0s 等后:14.5s) | ST3 空气悬挂+快充(开:1686.0s 加:0.0s 等前:0.0s 等后:137.5s) | ST4 四轮定位上、下(开:1823.5s 加:115.0s 等前:0.0s 等后:28.5s) | ST5 ADAS(开:1967.0s 加:97.0s 等前:0.0s 等后:17.5s) | ST6 ARHUD+慢充(开:2081.5s 加:0.0s 等前:0.0s 等后:114.5s) | ST7 转毂(开:2196.0s 加:116.0s 等前:0.0s 等后:0.0s) | ST8 制动(开:2312.0s 加:108.0s 等前:0.0s 等后:2.5s) | ST9 EG漏液/底盘漏液(开:2422.5s 加:115.0s 等前:0.0s 等后:0.0s) | ST10 全景/空调检查(开:2537.5s 加:98.0s 等前:0.0s 等后:0.0s) | ST11 气囊安装+绝缘(开:2635.5s 加:0.0s 等前:0.0s 等后:0.0s) | ST12 L2++(开:2635.5s 加:0.0s 等前:0.0s 等后:77.0s) | ST13 电检1(开:2712.5s 加:0.0s 等前:0.0s 等后:97.5s) | ST14 电检2(开:2810.0s 加:0.0s 等前:0.0s 等后:50.0s) | ST15 小跑道(开:2860.0s 加:51.0s 等前:0.0s 等后:0.0s)</t>
        </is>
      </c>
    </row>
    <row r="26">
      <c r="A26" s="13" t="n">
        <v>25</v>
      </c>
      <c r="B26" s="13" t="inlineStr">
        <is>
          <t>Car#24</t>
        </is>
      </c>
      <c r="C26" s="13" t="inlineStr">
        <is>
          <t>B</t>
        </is>
      </c>
      <c r="D26" s="14" t="n">
        <v>1422.5</v>
      </c>
      <c r="E26" s="14" t="n">
        <v>2961</v>
      </c>
      <c r="F26" s="14" t="n">
        <v>1538.5</v>
      </c>
      <c r="G26" s="14" t="n">
        <v>295.5</v>
      </c>
      <c r="H26" s="13" t="inlineStr">
        <is>
          <t>Car#25</t>
        </is>
      </c>
      <c r="I26" s="14">
        <f>E26-E25</f>
        <v/>
      </c>
      <c r="J26" s="14">
        <f>I26-58</f>
        <v/>
      </c>
      <c r="K26" s="14">
        <f>MAX(0,J26)</f>
        <v/>
      </c>
      <c r="L26" s="14">
        <f>MAX(0,-J26)</f>
        <v/>
      </c>
      <c r="M26" s="14">
        <f>M25+I26</f>
        <v/>
      </c>
      <c r="N26" s="14">
        <f>D26+F26-E26</f>
        <v/>
      </c>
      <c r="O26" s="13" t="inlineStr">
        <is>
          <t>能力超目标：四轮定位上、下</t>
        </is>
      </c>
      <c r="P26" s="13" t="inlineStr">
        <is>
          <t>ST1 引取(开:1422.5s 加:56.0s 等前:88.5s 等后:0.0s) | ST2 集约(开:1478.5s 加:111.0s 等前:0.0s 等后:0.0s) | ST3 空气悬挂+快充(开:1589.5s 加:108.5s 等前:0.0s 等后:5.5s) | ST4 四轮定位上、下(开:1703.5s 加:120.5s 等前:0.0s 等后:2.5s) | ST5 ADAS(开:1826.5s 加:107.0s 等前:0.0s 等后:36.5s) | ST6 ARHUD+慢充(开:1970.0s 加:51.5s 等前:0.0s 等后:63.0s) | ST7 转毂(开:2084.5s 加:114.5s 等前:0.0s 等后:0.0s) | ST8 制动(开:2199.0s 加:114.0s 等前:0.0s 等后:0.0s) | ST9 EG漏液/底盘漏液(开:2313.0s 加:112.5s 等前:0.0s 等后:0.0s) | ST10 全景/空调检查(开:2425.5s 加:0.0s 等前:0.0s 等后:1.5s) | ST11 气囊安装+绝缘(开:2427.0s 加:116.0s 等前:0.0s 等后:0.0s) | ST12 L2++(开:2543.0s 加:88.0s 等前:0.0s 等后:0.0s) | ST13 电检1(开:2631.0s 加:84.5s 等前:0.0s 等后:28.5s) | ST14 电检2(开:2744.0s 加:97.5s 等前:0.0s 等后:69.5s) | ST15 小跑道(开:2911.0s 加:50.0s 等前:0.0s 等后:0.0s)</t>
        </is>
      </c>
    </row>
    <row r="27">
      <c r="A27" s="15" t="n">
        <v>26</v>
      </c>
      <c r="B27" s="15" t="inlineStr">
        <is>
          <t>Car#26</t>
        </is>
      </c>
      <c r="C27" s="15" t="inlineStr">
        <is>
          <t>A</t>
        </is>
      </c>
      <c r="D27" s="16" t="n">
        <v>1565.5</v>
      </c>
      <c r="E27" s="16" t="n">
        <v>3012</v>
      </c>
      <c r="F27" s="16" t="n">
        <v>1446.5</v>
      </c>
      <c r="G27" s="16" t="n">
        <v>701</v>
      </c>
      <c r="H27" s="15" t="inlineStr">
        <is>
          <t>Car#24</t>
        </is>
      </c>
      <c r="I27" s="16">
        <f>E27-E26</f>
        <v/>
      </c>
      <c r="J27" s="16">
        <f>I27-58</f>
        <v/>
      </c>
      <c r="K27" s="16">
        <f>MAX(0,J27)</f>
        <v/>
      </c>
      <c r="L27" s="16">
        <f>MAX(0,-J27)</f>
        <v/>
      </c>
      <c r="M27" s="16">
        <f>M26+I27</f>
        <v/>
      </c>
      <c r="N27" s="16">
        <f>D27+F27-E27</f>
        <v/>
      </c>
      <c r="O27" s="15" t="inlineStr">
        <is>
          <t>能力满足</t>
        </is>
      </c>
      <c r="P27" s="15" t="inlineStr">
        <is>
          <t>ST1 引取(开:1565.5s 加:55.0s 等前:115.5s 等后:0.0s) | ST2 集约(开:1620.5s 加:106.0s 等前:0.0s 等后:0.0s) | ST3 空气悬挂+快充(开:1726.5s 加:0.0s 等前:0.0s 等后:100.0s) | ST4 四轮定位上、下(开:1826.5s 加:115.0s 等前:0.0s 等后:28.5s) | ST5 ADAS(开:1970.0s 加:97.0s 等前:0.0s 等后:17.5s) | ST6 ARHUD+慢充(开:2084.5s 加:0.0s 等前:0.0s 等后:114.5s) | ST7 转毂(开:2199.0s 加:116.0s 等前:0.0s 等后:0.0s) | ST8 制动(开:2315.0s 加:108.0s 等前:0.0s 等后:2.5s) | ST9 EG漏液/底盘漏液(开:2425.5s 加:115.0s 等前:0.0s 等后:0.0s) | ST10 全景/空调检查(开:2540.5s 加:98.0s 等前:0.0s 等后:0.0s) | ST11 气囊安装+绝缘(开:2638.5s 加:0.0s 等前:0.0s 等后:0.0s) | ST12 L2++(开:2638.5s 加:0.0s 等前:0.0s 等后:105.5s) | ST13 电检1(开:2744.0s 加:0.0s 等前:0.0s 等后:167.0s) | ST14 电检2(开:2911.0s 加:0.0s 等前:0.0s 等后:50.0s) | ST15 小跑道(开:2961.0s 加:51.0s 等前:0.0s 等后:0.0s)</t>
        </is>
      </c>
    </row>
    <row r="28">
      <c r="A28" s="13" t="n">
        <v>27</v>
      </c>
      <c r="B28" s="13" t="inlineStr">
        <is>
          <t>Car#27</t>
        </is>
      </c>
      <c r="C28" s="13" t="inlineStr">
        <is>
          <t>C</t>
        </is>
      </c>
      <c r="D28" s="14" t="n">
        <v>1620.5</v>
      </c>
      <c r="E28" s="14" t="n">
        <v>3116.5</v>
      </c>
      <c r="F28" s="14" t="n">
        <v>1496</v>
      </c>
      <c r="G28" s="14" t="n">
        <v>185</v>
      </c>
      <c r="H28" s="13" t="inlineStr">
        <is>
          <t>Car#26</t>
        </is>
      </c>
      <c r="I28" s="14">
        <f>E28-E27</f>
        <v/>
      </c>
      <c r="J28" s="14">
        <f>I28-58</f>
        <v/>
      </c>
      <c r="K28" s="14">
        <f>MAX(0,J28)</f>
        <v/>
      </c>
      <c r="L28" s="14">
        <f>MAX(0,-J28)</f>
        <v/>
      </c>
      <c r="M28" s="14">
        <f>M27+I28</f>
        <v/>
      </c>
      <c r="N28" s="14">
        <f>D28+F28-E28</f>
        <v/>
      </c>
      <c r="O28" s="13" t="inlineStr">
        <is>
          <t>能力超目标：四轮定位上、下、ARHUD+慢充</t>
        </is>
      </c>
      <c r="P28" s="13" t="inlineStr">
        <is>
          <t>ST1 引取(开:1620.5s 加:56.0s 等前:112.5s 等后:9.5s) | ST2 集约(开:1686.0s 加:111.0s 等前:0.0s 等后:26.5s) | ST3 空气悬挂+快充(开:1823.5s 加:108.5s 等前:0.0s 等后:35.0s) | ST4 四轮定位上、下(开:1967.0s 加:120.5s 等前:0.0s 等后:0.0s) | ST5 ADAS(开:2087.5s 加:107.0s 等前:0.0s 等后:1.5s) | ST6 ARHUD+慢充(开:2196.0s 加:143.5s 等前:0.0s 等后:0.0s) | ST7 转毂(开:2339.5s 加:114.5s 等前:0.0s 等后:0.0s) | ST8 制动(开:2454.0s 加:114.0s 等前:0.0s 等后:0.0s) | ST9 EG漏液/底盘漏液(开:2568.0s 加:112.5s 等前:0.0s 等后:0.0s) | ST10 全景/空调检查(开:2680.5s 加:0.0s 等前:0.0s 等后:0.0s) | ST11 气囊安装+绝缘(开:2680.5s 加:116.0s 等前:0.0s 等后:0.0s) | ST12 L2++(开:2796.5s 加:88.0s 等前:0.0s 等后:0.0s) | ST13 电检1(开:2884.5s 加:84.5s 等前:0.0s 等后:0.0s) | ST14 电检2(开:2969.0s 加:97.5s 等前:0.0s 等后:0.0s) | ST15 小跑道(开:3066.5s 加:50.0s 等前:0.0s 等后:0.0s)</t>
        </is>
      </c>
    </row>
    <row r="29">
      <c r="A29" s="15" t="n">
        <v>28</v>
      </c>
      <c r="B29" s="15" t="inlineStr">
        <is>
          <t>Car#28</t>
        </is>
      </c>
      <c r="C29" s="15" t="inlineStr">
        <is>
          <t>C</t>
        </is>
      </c>
      <c r="D29" s="16" t="n">
        <v>1686</v>
      </c>
      <c r="E29" s="16" t="n">
        <v>3166.5</v>
      </c>
      <c r="F29" s="16" t="n">
        <v>1480.5</v>
      </c>
      <c r="G29" s="16" t="n">
        <v>177</v>
      </c>
      <c r="H29" s="15" t="inlineStr">
        <is>
          <t>Car#27</t>
        </is>
      </c>
      <c r="I29" s="16">
        <f>E29-E28</f>
        <v/>
      </c>
      <c r="J29" s="16">
        <f>I29-58</f>
        <v/>
      </c>
      <c r="K29" s="16">
        <f>MAX(0,J29)</f>
        <v/>
      </c>
      <c r="L29" s="16">
        <f>MAX(0,-J29)</f>
        <v/>
      </c>
      <c r="M29" s="16">
        <f>M28+I29</f>
        <v/>
      </c>
      <c r="N29" s="16">
        <f>D29+F29-E29</f>
        <v/>
      </c>
      <c r="O29" s="15" t="inlineStr">
        <is>
          <t>能力超目标：四轮定位上、下、ARHUD+慢充</t>
        </is>
      </c>
      <c r="P29" s="15" t="inlineStr">
        <is>
          <t>ST1 引取(开:1686.0s 加:56.0s 等前:120.0s 等后:0.0s) | ST2 集约(开:1742.0s 加:111.0s 等前:0.0s 等后:0.0s) | ST3 空气悬挂+快充(开:1853.0s 加:108.5s 等前:0.0s 等后:8.5s) | ST4 四轮定位上、下(开:1970.0s 加:120.5s 等前:0.0s 等后:0.0s) | ST5 ADAS(开:2090.5s 加:107.0s 等前:0.0s 等后:1.5s) | ST6 ARHUD+慢充(开:2199.0s 加:143.5s 等前:0.0s 等后:0.0s) | ST7 转毂(开:2342.5s 加:114.5s 等前:0.0s 等后:0.0s) | ST8 制动(开:2457.0s 加:114.0s 等前:0.0s 等后:0.0s) | ST9 EG漏液/底盘漏液(开:2571.0s 加:112.5s 等前:0.0s 等后:0.0s) | ST10 全景/空调检查(开:2683.5s 加:0.0s 等前:0.0s 等后:0.0s) | ST11 气囊安装+绝缘(开:2683.5s 加:116.0s 等前:0.0s 等后:0.0s) | ST12 L2++(开:2799.5s 加:88.0s 等前:0.0s 等后:23.5s) | ST13 电检1(开:2911.0s 加:84.5s 等前:0.0s 等后:0.0s) | ST14 电检2(开:2995.5s 加:97.5s 等前:0.0s 等后:23.5s) | ST15 小跑道(开:3116.5s 加:50.0s 等前:0.0s 等后:0.0s)</t>
        </is>
      </c>
    </row>
    <row r="30">
      <c r="A30" s="13" t="n">
        <v>29</v>
      </c>
      <c r="B30" s="13" t="inlineStr">
        <is>
          <t>Car#29</t>
        </is>
      </c>
      <c r="C30" s="13" t="inlineStr">
        <is>
          <t>C</t>
        </is>
      </c>
      <c r="D30" s="14" t="n">
        <v>1742</v>
      </c>
      <c r="E30" s="14" t="n">
        <v>3260</v>
      </c>
      <c r="F30" s="14" t="n">
        <v>1518</v>
      </c>
      <c r="G30" s="14" t="n">
        <v>212.5</v>
      </c>
      <c r="H30" s="13" t="inlineStr">
        <is>
          <t>Car#28</t>
        </is>
      </c>
      <c r="I30" s="14">
        <f>E30-E29</f>
        <v/>
      </c>
      <c r="J30" s="14">
        <f>I30-58</f>
        <v/>
      </c>
      <c r="K30" s="14">
        <f>MAX(0,J30)</f>
        <v/>
      </c>
      <c r="L30" s="14">
        <f>MAX(0,-J30)</f>
        <v/>
      </c>
      <c r="M30" s="14">
        <f>M29+I30</f>
        <v/>
      </c>
      <c r="N30" s="14">
        <f>D30+F30-E30</f>
        <v/>
      </c>
      <c r="O30" s="13" t="inlineStr">
        <is>
          <t>能力超目标：四轮定位上、下、ARHUD+慢充</t>
        </is>
      </c>
      <c r="P30" s="13" t="inlineStr">
        <is>
          <t>ST1 引取(开:1742.0s 加:56.0s 等前:118.0s 等后:25.5s) | ST2 集约(开:1823.5s 加:111.0s 等前:0.0s 等后:32.5s) | ST3 空气悬挂+快充(开:1967.0s 加:108.5s 等前:0.0s 等后:12.0s) | ST4 四轮定位上、下(开:2087.5s 加:120.5s 等前:0.0s 等后:0.0s) | ST5 ADAS(开:2208.0s 加:107.0s 等前:0.0s 等后:24.5s) | ST6 ARHUD+慢充(开:2339.5s 加:143.5s 等前:0.0s 等后:0.0s) | ST7 转毂(开:2483.0s 加:114.5s 等前:0.0s 等后:0.0s) | ST8 制动(开:2597.5s 加:114.0s 等前:0.0s 等后:0.0s) | ST9 EG漏液/底盘漏液(开:2711.5s 加:112.5s 等前:0.0s 等后:0.0s) | ST10 全景/空调检查(开:2824.0s 加:0.0s 等前:0.0s 等后:0.0s) | ST11 气囊安装+绝缘(开:2824.0s 加:116.0s 等前:0.0s 等后:0.0s) | ST12 L2++(开:2940.0s 加:88.0s 等前:0.0s 等后:0.0s) | ST13 电检1(开:3028.0s 加:84.5s 等前:0.0s 等后:0.0s) | ST14 电检2(开:3112.5s 加:97.5s 等前:0.0s 等后:0.0s) | ST15 小跑道(开:3210.0s 加:50.0s 等前:0.0s 等后:0.0s)</t>
        </is>
      </c>
    </row>
    <row r="31">
      <c r="A31" s="15" t="n">
        <v>30</v>
      </c>
      <c r="B31" s="15" t="inlineStr">
        <is>
          <t>Car#30</t>
        </is>
      </c>
      <c r="C31" s="15" t="inlineStr">
        <is>
          <t>C</t>
        </is>
      </c>
      <c r="D31" s="16" t="n">
        <v>1823.5</v>
      </c>
      <c r="E31" s="16" t="n">
        <v>3310</v>
      </c>
      <c r="F31" s="16" t="n">
        <v>1486.5</v>
      </c>
      <c r="G31" s="16" t="n">
        <v>204.5</v>
      </c>
      <c r="H31" s="15" t="inlineStr">
        <is>
          <t>Car#29</t>
        </is>
      </c>
      <c r="I31" s="16">
        <f>E31-E30</f>
        <v/>
      </c>
      <c r="J31" s="16">
        <f>I31-58</f>
        <v/>
      </c>
      <c r="K31" s="16">
        <f>MAX(0,J31)</f>
        <v/>
      </c>
      <c r="L31" s="16">
        <f>MAX(0,-J31)</f>
        <v/>
      </c>
      <c r="M31" s="16">
        <f>M30+I31</f>
        <v/>
      </c>
      <c r="N31" s="16">
        <f>D31+F31-E31</f>
        <v/>
      </c>
      <c r="O31" s="15" t="inlineStr">
        <is>
          <t>能力超目标：四轮定位上、下、ARHUD+慢充</t>
        </is>
      </c>
      <c r="P31" s="15" t="inlineStr">
        <is>
          <t>ST1 引取(开:1823.5s 加:56.0s 等前:141.5s 等后:0.0s) | ST2 集约(开:1879.5s 加:111.0s 等前:0.0s 等后:0.0s) | ST3 空气悬挂+快充(开:1990.5s 加:108.5s 等前:0.0s 等后:0.0s) | ST4 四轮定位上、下(开:2099.0s 加:120.5s 等前:0.0s 等后:0.0s) | ST5 ADAS(开:2219.5s 加:107.0s 等前:0.0s 等后:16.0s) | ST6 ARHUD+慢充(开:2342.5s 加:143.5s 等前:0.0s 等后:0.0s) | ST7 转毂(开:2486.0s 加:114.5s 等前:0.0s 等后:0.0s) | ST8 制动(开:2600.5s 加:114.0s 等前:0.0s 等后:0.0s) | ST9 EG漏液/底盘漏液(开:2714.5s 加:112.5s 等前:0.0s 等后:0.0s) | ST10 全景/空调检查(开:2827.0s 加:0.0s 等前:0.0s 等后:0.0s) | ST11 气囊安装+绝缘(开:2827.0s 加:116.0s 等前:0.0s 等后:0.0s) | ST12 L2++(开:2943.0s 加:88.0s 等前:0.0s 等后:0.0s) | ST13 电检1(开:3031.0s 加:84.5s 等前:0.0s 等后:1.0s) | ST14 电检2(开:3116.5s 加:97.5s 等前:0.0s 等后:46.0s) | ST15 小跑道(开:3260.0s 加:50.0s 等前:0.0s 等后:0.0s)</t>
        </is>
      </c>
    </row>
    <row r="32">
      <c r="A32" s="13" t="n">
        <v>31</v>
      </c>
      <c r="B32" s="13" t="inlineStr">
        <is>
          <t>Car#31</t>
        </is>
      </c>
      <c r="C32" s="13" t="inlineStr">
        <is>
          <t>B</t>
        </is>
      </c>
      <c r="D32" s="14" t="n">
        <v>1879.5</v>
      </c>
      <c r="E32" s="14" t="n">
        <v>3376</v>
      </c>
      <c r="F32" s="14" t="n">
        <v>1496.5</v>
      </c>
      <c r="G32" s="14" t="n">
        <v>304.5</v>
      </c>
      <c r="H32" s="13" t="inlineStr">
        <is>
          <t>Car#30</t>
        </is>
      </c>
      <c r="I32" s="14">
        <f>E32-E31</f>
        <v/>
      </c>
      <c r="J32" s="14">
        <f>I32-58</f>
        <v/>
      </c>
      <c r="K32" s="14">
        <f>MAX(0,J32)</f>
        <v/>
      </c>
      <c r="L32" s="14">
        <f>MAX(0,-J32)</f>
        <v/>
      </c>
      <c r="M32" s="14">
        <f>M31+I32</f>
        <v/>
      </c>
      <c r="N32" s="14">
        <f>D32+F32-E32</f>
        <v/>
      </c>
      <c r="O32" s="13" t="inlineStr">
        <is>
          <t>能力超目标：四轮定位上、下</t>
        </is>
      </c>
      <c r="P32" s="13" t="inlineStr">
        <is>
          <t>ST1 引取(开:1879.5s 加:56.0s 等前:139.5s 等后:31.5s) | ST2 集约(开:1967.0s 加:111.0s 等前:0.0s 等后:9.5s) | ST3 空气悬挂+快充(开:2087.5s 加:108.5s 等前:0.0s 等后:12.0s) | ST4 四轮定位上、下(开:2208.0s 加:120.5s 等前:0.0s 等后:11.0s) | ST5 ADAS(开:2339.5s 加:107.0s 等前:0.0s 等后:36.5s) | ST6 ARHUD+慢充(开:2483.0s 加:51.5s 等前:0.0s 等后:63.0s) | ST7 转毂(开:2597.5s 加:114.5s 等前:0.0s 等后:0.0s) | ST8 制动(开:2712.0s 加:114.0s 等前:0.0s 等后:0.0s) | ST9 EG漏液/底盘漏液(开:2826.0s 加:112.5s 等前:0.0s 等后:0.0s) | ST10 全景/空调检查(开:2938.5s 加:0.0s 等前:0.0s 等后:1.5s) | ST11 气囊安装+绝缘(开:2940.0s 加:116.0s 等前:0.0s 等后:0.0s) | ST12 L2++(开:3056.0s 加:88.0s 等前:0.0s 等后:0.0s) | ST13 电检1(开:3144.0s 加:84.5s 等前:0.0s 等后:0.0s) | ST14 电检2(开:3228.5s 加:97.5s 等前:0.0s 等后:0.0s) | ST15 小跑道(开:3326.0s 加:50.0s 等前:0.0s 等后:0.0s)</t>
        </is>
      </c>
    </row>
    <row r="33">
      <c r="A33" s="15" t="n">
        <v>32</v>
      </c>
      <c r="B33" s="15" t="inlineStr">
        <is>
          <t>Car#32</t>
        </is>
      </c>
      <c r="C33" s="15" t="inlineStr">
        <is>
          <t>B</t>
        </is>
      </c>
      <c r="D33" s="16" t="n">
        <v>1967</v>
      </c>
      <c r="E33" s="16" t="n">
        <v>3426</v>
      </c>
      <c r="F33" s="16" t="n">
        <v>1459</v>
      </c>
      <c r="G33" s="16" t="n">
        <v>296.5</v>
      </c>
      <c r="H33" s="15" t="inlineStr">
        <is>
          <t>Car#31</t>
        </is>
      </c>
      <c r="I33" s="16">
        <f>E33-E32</f>
        <v/>
      </c>
      <c r="J33" s="16">
        <f>I33-58</f>
        <v/>
      </c>
      <c r="K33" s="16">
        <f>MAX(0,J33)</f>
        <v/>
      </c>
      <c r="L33" s="16">
        <f>MAX(0,-J33)</f>
        <v/>
      </c>
      <c r="M33" s="16">
        <f>M32+I33</f>
        <v/>
      </c>
      <c r="N33" s="16">
        <f>D33+F33-E33</f>
        <v/>
      </c>
      <c r="O33" s="15" t="inlineStr">
        <is>
          <t>能力超目标：四轮定位上、下</t>
        </is>
      </c>
      <c r="P33" s="15" t="inlineStr">
        <is>
          <t>ST1 引取(开:1967.0s 加:56.0s 等前:169.0s 等后:0.0s) | ST2 集约(开:2023.0s 加:111.0s 等前:0.0s 等后:0.0s) | ST3 空气悬挂+快充(开:2134.0s 加:108.5s 等前:0.0s 等后:0.0s) | ST4 四轮定位上、下(开:2242.5s 加:120.5s 等前:0.0s 等后:0.0s) | ST5 ADAS(开:2363.0s 加:107.0s 等前:0.0s 等后:16.0s) | ST6 ARHUD+慢充(开:2486.0s 加:51.5s 等前:0.0s 等后:63.0s) | ST7 转毂(开:2600.5s 加:114.5s 等前:0.0s 等后:0.0s) | ST8 制动(开:2715.0s 加:114.0s 等前:0.0s 等后:0.0s) | ST9 EG漏液/底盘漏液(开:2829.0s 加:112.5s 等前:0.0s 等后:0.0s) | ST10 全景/空调检查(开:2941.5s 加:0.0s 等前:0.0s 等后:1.5s) | ST11 气囊安装+绝缘(开:2943.0s 加:116.0s 等前:0.0s 等后:0.0s) | ST12 L2++(开:3059.0s 加:88.0s 等前:0.0s 等后:0.0s) | ST13 电检1(开:3147.0s 加:84.5s 等前:0.0s 等后:28.5s) | ST14 电检2(开:3260.0s 加:97.5s 等前:0.0s 等后:18.5s) | ST15 小跑道(开:3376.0s 加:50.0s 等前:0.0s 等后:0.0s)</t>
        </is>
      </c>
    </row>
    <row r="34">
      <c r="A34" s="13" t="n">
        <v>33</v>
      </c>
      <c r="B34" s="13" t="inlineStr">
        <is>
          <t>Car#34</t>
        </is>
      </c>
      <c r="C34" s="13" t="inlineStr">
        <is>
          <t>A</t>
        </is>
      </c>
      <c r="D34" s="14" t="n">
        <v>2087.5</v>
      </c>
      <c r="E34" s="14" t="n">
        <v>3477</v>
      </c>
      <c r="F34" s="14" t="n">
        <v>1389.5</v>
      </c>
      <c r="G34" s="14" t="n">
        <v>702</v>
      </c>
      <c r="H34" s="13" t="inlineStr">
        <is>
          <t>Car#32</t>
        </is>
      </c>
      <c r="I34" s="14">
        <f>E34-E33</f>
        <v/>
      </c>
      <c r="J34" s="14">
        <f>I34-58</f>
        <v/>
      </c>
      <c r="K34" s="14">
        <f>MAX(0,J34)</f>
        <v/>
      </c>
      <c r="L34" s="14">
        <f>MAX(0,-J34)</f>
        <v/>
      </c>
      <c r="M34" s="14">
        <f>M33+I34</f>
        <v/>
      </c>
      <c r="N34" s="14">
        <f>D34+F34-E34</f>
        <v/>
      </c>
      <c r="O34" s="13" t="inlineStr">
        <is>
          <t>能力满足</t>
        </is>
      </c>
      <c r="P34" s="13" t="inlineStr">
        <is>
          <t>ST1 引取(开:2087.5s 加:55.0s 等前:173.5s 等后:0.0s) | ST2 集约(开:2142.5s 加:106.0s 等前:0.0s 等后:0.0s) | ST3 空气悬挂+快充(开:2248.5s 加:0.0s 等前:0.0s 等后:114.5s) | ST4 四轮定位上、下(开:2363.0s 加:115.0s 等前:0.0s 等后:8.0s) | ST5 ADAS(开:2486.0s 加:97.0s 等前:0.0s 等后:17.5s) | ST6 ARHUD+慢充(开:2600.5s 加:0.0s 等前:0.0s 等后:114.5s) | ST7 转毂(开:2715.0s 加:116.0s 等前:0.0s 等后:0.0s) | ST8 制动(开:2831.0s 加:108.0s 等前:0.0s 等后:2.5s) | ST9 EG漏液/底盘漏液(开:2941.5s 加:115.0s 等前:0.0s 等后:0.0s) | ST10 全景/空调检查(开:3056.5s 加:98.0s 等前:0.0s 等后:0.0s) | ST11 气囊安装+绝缘(开:3154.5s 加:0.0s 等前:0.0s 等后:0.0s) | ST12 L2++(开:3154.5s 加:0.0s 等前:0.0s 等后:105.5s) | ST13 电检1(开:3260.0s 加:0.0s 等前:0.0s 等后:116.0s) | ST14 电检2(开:3376.0s 加:0.0s 等前:0.0s 等后:50.0s) | ST15 小跑道(开:3426.0s 加:51.0s 等前:0.0s 等后:0.0s)</t>
        </is>
      </c>
    </row>
    <row r="35">
      <c r="A35" s="15" t="n">
        <v>34</v>
      </c>
      <c r="B35" s="15" t="inlineStr">
        <is>
          <t>Car#33</t>
        </is>
      </c>
      <c r="C35" s="15" t="inlineStr">
        <is>
          <t>B</t>
        </is>
      </c>
      <c r="D35" s="16" t="n">
        <v>2023</v>
      </c>
      <c r="E35" s="16" t="n">
        <v>3527</v>
      </c>
      <c r="F35" s="16" t="n">
        <v>1504</v>
      </c>
      <c r="G35" s="16" t="n">
        <v>339.5</v>
      </c>
      <c r="H35" s="15" t="inlineStr">
        <is>
          <t>Car#34</t>
        </is>
      </c>
      <c r="I35" s="16">
        <f>E35-E34</f>
        <v/>
      </c>
      <c r="J35" s="16">
        <f>I35-58</f>
        <v/>
      </c>
      <c r="K35" s="16">
        <f>MAX(0,J35)</f>
        <v/>
      </c>
      <c r="L35" s="16">
        <f>MAX(0,-J35)</f>
        <v/>
      </c>
      <c r="M35" s="16">
        <f>M34+I35</f>
        <v/>
      </c>
      <c r="N35" s="16">
        <f>D35+F35-E35</f>
        <v/>
      </c>
      <c r="O35" s="15" t="inlineStr">
        <is>
          <t>能力超目标：四轮定位上、下</t>
        </is>
      </c>
      <c r="P35" s="15" t="inlineStr">
        <is>
          <t>ST1 引取(开:2023.0s 加:56.0s 等前:167.0s 等后:8.5s) | ST2 集约(开:2087.5s 加:111.0s 等前:0.0s 等后:9.5s) | ST3 空气悬挂+快充(开:2208.0s 加:108.5s 等前:0.0s 等后:23.0s) | ST4 四轮定位上、下(开:2339.5s 加:120.5s 等前:0.0s 等后:23.0s) | ST5 ADAS(开:2483.0s 加:107.0s 等前:0.0s 等后:7.5s) | ST6 ARHUD+慢充(开:2597.5s 加:51.5s 等前:0.0s 等后:63.0s) | ST7 转毂(开:2712.0s 加:114.5s 等前:0.0s 等后:0.0s) | ST8 制动(开:2826.5s 加:114.0s 等前:0.0s 等后:0.0s) | ST9 EG漏液/底盘漏液(开:2940.5s 加:112.5s 等前:0.0s 等后:0.0s) | ST10 全景/空调检查(开:3053.0s 加:0.0s 等前:0.0s 等后:3.0s) | ST11 气囊安装+绝缘(开:3056.0s 加:116.0s 等前:0.0s 等后:0.0s) | ST12 L2++(开:3172.0s 加:88.0s 等前:0.0s 等后:0.0s) | ST13 电检1(开:3260.0s 加:84.5s 等前:0.0s 等后:0.0s) | ST14 电检2(开:3344.5s 加:97.5s 等前:0.0s 等后:35.0s) | ST15 小跑道(开:3477.0s 加:50.0s 等前:0.0s 等后:0.0s)</t>
        </is>
      </c>
    </row>
    <row r="36">
      <c r="A36" s="13" t="n">
        <v>35</v>
      </c>
      <c r="B36" s="13" t="inlineStr">
        <is>
          <t>Car#35</t>
        </is>
      </c>
      <c r="C36" s="13" t="inlineStr">
        <is>
          <t>C</t>
        </is>
      </c>
      <c r="D36" s="14" t="n">
        <v>2142.5</v>
      </c>
      <c r="E36" s="14" t="n">
        <v>3632.5</v>
      </c>
      <c r="F36" s="14" t="n">
        <v>1490</v>
      </c>
      <c r="G36" s="14" t="n">
        <v>237</v>
      </c>
      <c r="H36" s="13" t="inlineStr">
        <is>
          <t>Car#33</t>
        </is>
      </c>
      <c r="I36" s="14">
        <f>E36-E35</f>
        <v/>
      </c>
      <c r="J36" s="14">
        <f>I36-58</f>
        <v/>
      </c>
      <c r="K36" s="14">
        <f>MAX(0,J36)</f>
        <v/>
      </c>
      <c r="L36" s="14">
        <f>MAX(0,-J36)</f>
        <v/>
      </c>
      <c r="M36" s="14">
        <f>M35+I36</f>
        <v/>
      </c>
      <c r="N36" s="14">
        <f>D36+F36-E36</f>
        <v/>
      </c>
      <c r="O36" s="13" t="inlineStr">
        <is>
          <t>能力超目标：四轮定位上、下、ARHUD+慢充</t>
        </is>
      </c>
      <c r="P36" s="13" t="inlineStr">
        <is>
          <t>ST1 引取(开:2142.5s 加:56.0s 等前:170.5s 等后:9.5s) | ST2 集约(开:2208.0s 加:111.0s 等前:0.0s 等后:20.5s) | ST3 空气悬挂+快充(开:2339.5s 加:108.5s 等前:0.0s 等后:35.0s) | ST4 四轮定位上、下(开:2483.0s 加:120.5s 等前:0.0s 等后:0.0s) | ST5 ADAS(开:2603.5s 加:107.0s 等前:0.0s 等后:1.5s) | ST6 ARHUD+慢充(开:2712.0s 加:143.5s 等前:0.0s 等后:0.0s) | ST7 转毂(开:2855.5s 加:114.5s 等前:0.0s 等后:0.0s) | ST8 制动(开:2970.0s 加:114.0s 等前:0.0s 等后:0.0s) | ST9 EG漏液/底盘漏液(开:3084.0s 加:112.5s 等前:0.0s 等后:0.0s) | ST10 全景/空调检查(开:3196.5s 加:0.0s 等前:0.0s 等后:0.0s) | ST11 气囊安装+绝缘(开:3196.5s 加:116.0s 等前:0.0s 等后:0.0s) | ST12 L2++(开:3312.5s 加:88.0s 等前:0.0s 等后:0.0s) | ST13 电检1(开:3400.5s 加:84.5s 等前:0.0s 等后:0.0s) | ST14 电检2(开:3485.0s 加:97.5s 等前:0.0s 等后:0.0s) | ST15 小跑道(开:3582.5s 加:50.0s 等前:0.0s 等后:0.0s)</t>
        </is>
      </c>
    </row>
    <row r="37">
      <c r="A37" s="15" t="n">
        <v>36</v>
      </c>
      <c r="B37" s="15" t="inlineStr">
        <is>
          <t>Car#36</t>
        </is>
      </c>
      <c r="C37" s="15" t="inlineStr">
        <is>
          <t>C</t>
        </is>
      </c>
      <c r="D37" s="16" t="n">
        <v>2208</v>
      </c>
      <c r="E37" s="16" t="n">
        <v>3682.5</v>
      </c>
      <c r="F37" s="16" t="n">
        <v>1474.5</v>
      </c>
      <c r="G37" s="16" t="n">
        <v>229</v>
      </c>
      <c r="H37" s="15" t="inlineStr">
        <is>
          <t>Car#35</t>
        </is>
      </c>
      <c r="I37" s="16">
        <f>E37-E36</f>
        <v/>
      </c>
      <c r="J37" s="16">
        <f>I37-58</f>
        <v/>
      </c>
      <c r="K37" s="16">
        <f>MAX(0,J37)</f>
        <v/>
      </c>
      <c r="L37" s="16">
        <f>MAX(0,-J37)</f>
        <v/>
      </c>
      <c r="M37" s="16">
        <f>M36+I37</f>
        <v/>
      </c>
      <c r="N37" s="16">
        <f>D37+F37-E37</f>
        <v/>
      </c>
      <c r="O37" s="15" t="inlineStr">
        <is>
          <t>能力超目标：四轮定位上、下、ARHUD+慢充</t>
        </is>
      </c>
      <c r="P37" s="15" t="inlineStr">
        <is>
          <t>ST1 引取(开:2208.0s 加:56.0s 等前:178.0s 等后:0.0s) | ST2 集约(开:2264.0s 加:111.0s 等前:0.0s 等后:0.0s) | ST3 空气悬挂+快充(开:2375.0s 加:108.5s 等前:0.0s 等后:2.5s) | ST4 四轮定位上、下(开:2486.0s 加:120.5s 等前:0.0s 等后:0.0s) | ST5 ADAS(开:2606.5s 加:107.0s 等前:0.0s 等后:1.5s) | ST6 ARHUD+慢充(开:2715.0s 加:143.5s 等前:0.0s 等后:0.0s) | ST7 转毂(开:2858.5s 加:114.5s 等前:0.0s 等后:0.0s) | ST8 制动(开:2973.0s 加:114.0s 等前:0.0s 等后:0.0s) | ST9 EG漏液/底盘漏液(开:3087.0s 加:112.5s 等前:0.0s 等后:0.0s) | ST10 全景/空调检查(开:3199.5s 加:0.0s 等前:0.0s 等后:0.0s) | ST11 气囊安装+绝缘(开:3199.5s 加:116.0s 等前:0.0s 等后:0.0s) | ST12 L2++(开:3315.5s 加:88.0s 等前:0.0s 等后:0.0s) | ST13 电检1(开:3403.5s 加:84.5s 等前:0.0s 等后:0.0s) | ST14 电检2(开:3488.0s 加:97.5s 等前:0.0s 等后:47.0s) | ST15 小跑道(开:3632.5s 加:50.0s 等前:0.0s 等后:0.0s)</t>
        </is>
      </c>
    </row>
    <row r="38">
      <c r="A38" s="13" t="n">
        <v>37</v>
      </c>
      <c r="B38" s="13" t="inlineStr">
        <is>
          <t>Car#38</t>
        </is>
      </c>
      <c r="C38" s="13" t="inlineStr">
        <is>
          <t>A</t>
        </is>
      </c>
      <c r="D38" s="14" t="n">
        <v>2339.5</v>
      </c>
      <c r="E38" s="14" t="n">
        <v>3733.5</v>
      </c>
      <c r="F38" s="14" t="n">
        <v>1394</v>
      </c>
      <c r="G38" s="14" t="n">
        <v>726.5</v>
      </c>
      <c r="H38" s="13" t="inlineStr">
        <is>
          <t>Car#36</t>
        </is>
      </c>
      <c r="I38" s="14">
        <f>E38-E37</f>
        <v/>
      </c>
      <c r="J38" s="14">
        <f>I38-58</f>
        <v/>
      </c>
      <c r="K38" s="14">
        <f>MAX(0,J38)</f>
        <v/>
      </c>
      <c r="L38" s="14">
        <f>MAX(0,-J38)</f>
        <v/>
      </c>
      <c r="M38" s="14">
        <f>M37+I38</f>
        <v/>
      </c>
      <c r="N38" s="14">
        <f>D38+F38-E38</f>
        <v/>
      </c>
      <c r="O38" s="13" t="inlineStr">
        <is>
          <t>能力满足</t>
        </is>
      </c>
      <c r="P38" s="13" t="inlineStr">
        <is>
          <t>ST1 引取(开:2339.5s 加:55.0s 等前:193.5s 等后:0.0s) | ST2 集约(开:2394.5s 加:106.0s 等前:0.0s 等后:0.0s) | ST3 空气悬挂+快充(开:2500.5s 加:0.0s 等前:0.0s 等后:106.0s) | ST4 四轮定位上、下(开:2606.5s 加:115.0s 等前:0.0s 等后:0.0s) | ST5 ADAS(开:2721.5s 加:97.0s 等前:0.0s 等后:40.0s) | ST6 ARHUD+慢充(开:2858.5s 加:0.0s 等前:0.0s 等后:114.5s) | ST7 转毂(开:2973.0s 加:116.0s 等前:0.0s 等后:0.0s) | ST8 制动(开:3089.0s 加:108.0s 等前:0.0s 等后:2.5s) | ST9 EG漏液/底盘漏液(开:3199.5s 加:115.0s 等前:0.0s 等后:0.0s) | ST10 全景/空调检查(开:3314.5s 加:98.0s 等前:0.0s 等后:0.0s) | ST11 气囊安装+绝缘(开:3412.5s 加:0.0s 等前:0.0s 等后:0.0s) | ST12 L2++(开:3412.5s 加:0.0s 等前:0.0s 等后:75.5s) | ST13 电检1(开:3488.0s 加:0.0s 等前:0.0s 等后:144.5s) | ST14 电检2(开:3632.5s 加:0.0s 等前:0.0s 等后:50.0s) | ST15 小跑道(开:3682.5s 加:51.0s 等前:0.0s 等后:0.0s)</t>
        </is>
      </c>
    </row>
    <row r="39">
      <c r="A39" s="15" t="n">
        <v>38</v>
      </c>
      <c r="B39" s="15" t="inlineStr">
        <is>
          <t>Car#40</t>
        </is>
      </c>
      <c r="C39" s="15" t="inlineStr">
        <is>
          <t>A</t>
        </is>
      </c>
      <c r="D39" s="16" t="n">
        <v>2483</v>
      </c>
      <c r="E39" s="16" t="n">
        <v>3784.5</v>
      </c>
      <c r="F39" s="16" t="n">
        <v>1301.5</v>
      </c>
      <c r="G39" s="16" t="n">
        <v>661.5</v>
      </c>
      <c r="H39" s="15" t="inlineStr">
        <is>
          <t>Car#38</t>
        </is>
      </c>
      <c r="I39" s="16">
        <f>E39-E38</f>
        <v/>
      </c>
      <c r="J39" s="16">
        <f>I39-58</f>
        <v/>
      </c>
      <c r="K39" s="16">
        <f>MAX(0,J39)</f>
        <v/>
      </c>
      <c r="L39" s="16">
        <f>MAX(0,-J39)</f>
        <v/>
      </c>
      <c r="M39" s="16">
        <f>M38+I39</f>
        <v/>
      </c>
      <c r="N39" s="16">
        <f>D39+F39-E39</f>
        <v/>
      </c>
      <c r="O39" s="15" t="inlineStr">
        <is>
          <t>能力满足</t>
        </is>
      </c>
      <c r="P39" s="15" t="inlineStr">
        <is>
          <t>ST1 引取(开:2483.0s 加:55.0s 等前:221.0s 等后:0.0s) | ST2 集约(开:2538.0s 加:106.0s 等前:0.0s 等后:0.0s) | ST3 空气悬挂+快充(开:2644.0s 加:0.0s 等前:0.0s 等后:77.5s) | ST4 四轮定位上、下(开:2721.5s 加:115.0s 等前:0.0s 等后:22.0s) | ST5 ADAS(开:2858.5s 加:97.0s 等前:0.0s 等后:17.5s) | ST6 ARHUD+慢充(开:2973.0s 加:0.0s 等前:0.0s 等后:116.0s) | ST7 转毂(开:3089.0s 加:116.0s 等前:0.0s 等后:0.0s) | ST8 制动(开:3205.0s 加:108.0s 等前:0.0s 等后:1.5s) | ST9 EG漏液/底盘漏液(开:3314.5s 加:115.0s 等前:0.0s 等后:0.0s) | ST10 全景/空调检查(开:3429.5s 加:98.0s 等前:0.0s 等后:0.0s) | ST11 气囊安装+绝缘(开:3527.5s 加:0.0s 等前:0.0s 等后:0.0s) | ST12 L2++(开:3527.5s 加:0.0s 等前:0.0s 等后:105.0s) | ST13 电检1(开:3632.5s 加:0.0s 等前:0.0s 等后:50.0s) | ST14 电检2(开:3682.5s 加:0.0s 等前:0.0s 等后:51.0s) | ST15 小跑道(开:3733.5s 加:51.0s 等前:0.0s 等后:0.0s)</t>
        </is>
      </c>
    </row>
    <row r="40">
      <c r="A40" s="13" t="n">
        <v>39</v>
      </c>
      <c r="B40" s="13" t="inlineStr">
        <is>
          <t>Car#37</t>
        </is>
      </c>
      <c r="C40" s="13" t="inlineStr">
        <is>
          <t>C</t>
        </is>
      </c>
      <c r="D40" s="14" t="n">
        <v>2264</v>
      </c>
      <c r="E40" s="14" t="n">
        <v>3834.5</v>
      </c>
      <c r="F40" s="14" t="n">
        <v>1570.5</v>
      </c>
      <c r="G40" s="14" t="n">
        <v>323</v>
      </c>
      <c r="H40" s="13" t="inlineStr">
        <is>
          <t>Car#40</t>
        </is>
      </c>
      <c r="I40" s="14">
        <f>E40-E39</f>
        <v/>
      </c>
      <c r="J40" s="14">
        <f>I40-58</f>
        <v/>
      </c>
      <c r="K40" s="14">
        <f>MAX(0,J40)</f>
        <v/>
      </c>
      <c r="L40" s="14">
        <f>MAX(0,-J40)</f>
        <v/>
      </c>
      <c r="M40" s="14">
        <f>M39+I40</f>
        <v/>
      </c>
      <c r="N40" s="14">
        <f>D40+F40-E40</f>
        <v/>
      </c>
      <c r="O40" s="13" t="inlineStr">
        <is>
          <t>能力超目标：四轮定位上、下、ARHUD+慢充</t>
        </is>
      </c>
      <c r="P40" s="13" t="inlineStr">
        <is>
          <t>ST1 引取(开:2264.0s 加:56.0s 等前:176.0s 等后:19.5s) | ST2 集约(开:2339.5s 加:111.0s 等前:0.0s 等后:32.5s) | ST3 空气悬挂+快充(开:2483.0s 加:108.5s 等前:0.0s 等后:12.0s) | ST4 四轮定位上、下(开:2603.5s 加:120.5s 等前:0.0s 等后:0.0s) | ST5 ADAS(开:2724.0s 加:107.0s 等前:0.0s 等后:24.5s) | ST6 ARHUD+慢充(开:2855.5s 加:143.5s 等前:0.0s 等后:0.0s) | ST7 转毂(开:2999.0s 加:114.5s 等前:0.0s 等后:0.0s) | ST8 制动(开:3113.5s 加:114.0s 等前:0.0s 等后:0.0s) | ST9 EG漏液/底盘漏液(开:3227.5s 加:112.5s 等前:0.0s 等后:0.0s) | ST10 全景/空调检查(开:3340.0s 加:0.0s 等前:0.0s 等后:0.0s) | ST11 气囊安装+绝缘(开:3340.0s 加:116.0s 等前:0.0s 等后:0.0s) | ST12 L2++(开:3456.0s 加:88.0s 等前:0.0s 等后:0.0s) | ST13 电检1(开:3544.0s 加:84.5s 等前:0.0s 等后:0.0s) | ST14 电检2(开:3628.5s 加:97.5s 等前:0.0s 等后:58.5s) | ST15 小跑道(开:3784.5s 加:50.0s 等前:0.0s 等后:0.0s)</t>
        </is>
      </c>
    </row>
    <row r="41">
      <c r="A41" s="15" t="n">
        <v>40</v>
      </c>
      <c r="B41" s="15" t="inlineStr">
        <is>
          <t>Car#39</t>
        </is>
      </c>
      <c r="C41" s="15" t="inlineStr">
        <is>
          <t>A</t>
        </is>
      </c>
      <c r="D41" s="16" t="n">
        <v>2394.5</v>
      </c>
      <c r="E41" s="16" t="n">
        <v>3885.5</v>
      </c>
      <c r="F41" s="16" t="n">
        <v>1491</v>
      </c>
      <c r="G41" s="16" t="n">
        <v>820.5</v>
      </c>
      <c r="H41" s="15" t="inlineStr">
        <is>
          <t>Car#37</t>
        </is>
      </c>
      <c r="I41" s="16">
        <f>E41-E40</f>
        <v/>
      </c>
      <c r="J41" s="16">
        <f>I41-58</f>
        <v/>
      </c>
      <c r="K41" s="16">
        <f>MAX(0,J41)</f>
        <v/>
      </c>
      <c r="L41" s="16">
        <f>MAX(0,-J41)</f>
        <v/>
      </c>
      <c r="M41" s="16">
        <f>M40+I41</f>
        <v/>
      </c>
      <c r="N41" s="16">
        <f>D41+F41-E41</f>
        <v/>
      </c>
      <c r="O41" s="15" t="inlineStr">
        <is>
          <t>能力满足</t>
        </is>
      </c>
      <c r="P41" s="15" t="inlineStr">
        <is>
          <t>ST1 引取(开:2394.5s 加:55.0s 等前:190.5s 等后:33.5s) | ST2 集约(开:2483.0s 加:106.0s 等前:0.0s 等后:14.5s) | ST3 空气悬挂+快充(开:2603.5s 加:0.0s 等前:0.0s 等后:120.5s) | ST4 四轮定位上、下(开:2724.0s 加:115.0s 等前:0.0s 等后:16.5s) | ST5 ADAS(开:2855.5s 加:97.0s 等前:0.0s 等后:46.5s) | ST6 ARHUD+慢充(开:2999.0s 加:0.0s 等前:0.0s 等后:114.5s) | ST7 转毂(开:3113.5s 加:116.0s 等前:0.0s 等后:0.0s) | ST8 制动(开:3229.5s 加:108.0s 等前:0.0s 等后:2.5s) | ST9 EG漏液/底盘漏液(开:3340.0s 加:115.0s 等前:0.0s 等后:0.0s) | ST10 全景/空调检查(开:3455.0s 加:98.0s 等前:0.0s 等后:0.0s) | ST11 气囊安装+绝缘(开:3553.0s 加:0.0s 等前:0.0s 等后:0.0s) | ST12 L2++(开:3553.0s 加:0.0s 等前:0.0s 等后:75.5s) | ST13 电检1(开:3628.5s 加:0.0s 等前:0.0s 等后:156.0s) | ST14 电检2(开:3784.5s 加:0.0s 等前:0.0s 等后:50.0s) | ST15 小跑道(开:3834.5s 加:51.0s 等前:0.0s 等后:0.0s)</t>
        </is>
      </c>
    </row>
    <row r="42">
      <c r="A42" s="13" t="n">
        <v>41</v>
      </c>
      <c r="B42" s="13" t="inlineStr">
        <is>
          <t>Car#42</t>
        </is>
      </c>
      <c r="C42" s="13" t="inlineStr">
        <is>
          <t>B</t>
        </is>
      </c>
      <c r="D42" s="14" t="n">
        <v>2603.5</v>
      </c>
      <c r="E42" s="14" t="n">
        <v>3982</v>
      </c>
      <c r="F42" s="14" t="n">
        <v>1378.5</v>
      </c>
      <c r="G42" s="14" t="n">
        <v>272.5</v>
      </c>
      <c r="H42" s="13" t="inlineStr">
        <is>
          <t>Car#39</t>
        </is>
      </c>
      <c r="I42" s="14">
        <f>E42-E41</f>
        <v/>
      </c>
      <c r="J42" s="14">
        <f>I42-58</f>
        <v/>
      </c>
      <c r="K42" s="14">
        <f>MAX(0,J42)</f>
        <v/>
      </c>
      <c r="L42" s="14">
        <f>MAX(0,-J42)</f>
        <v/>
      </c>
      <c r="M42" s="14">
        <f>M41+I42</f>
        <v/>
      </c>
      <c r="N42" s="14">
        <f>D42+F42-E42</f>
        <v/>
      </c>
      <c r="O42" s="13" t="inlineStr">
        <is>
          <t>能力超目标：四轮定位上、下</t>
        </is>
      </c>
      <c r="P42" s="13" t="inlineStr">
        <is>
          <t>ST1 引取(开:2603.5s 加:56.0s 等前:225.5s 等后:0.0s) | ST2 集约(开:2659.5s 加:111.0s 等前:0.0s 等后:0.0s) | ST3 空气悬挂+快充(开:2770.5s 加:108.5s 等前:0.0s 等后:0.0s) | ST4 四轮定位上、下(开:2879.0s 加:120.5s 等前:0.0s 等后:0.0s) | ST5 ADAS(开:2999.5s 加:107.0s 等前:0.0s 等后:0.0s) | ST6 ARHUD+慢充(开:3106.5s 加:51.5s 等前:0.0s 等后:47.0s) | ST7 转毂(开:3205.0s 加:114.5s 等前:0.0s 等后:0.0s) | ST8 制动(开:3319.5s 加:114.0s 等前:0.0s 等后:0.0s) | ST9 EG漏液/底盘漏液(开:3433.5s 加:112.5s 等前:0.0s 等后:0.0s) | ST10 全景/空调检查(开:3546.0s 加:0.0s 等前:0.0s 等后:0.0s) | ST11 气囊安装+绝缘(开:3546.0s 加:116.0s 等前:0.0s 等后:0.0s) | ST12 L2++(开:3662.0s 加:88.0s 等前:0.0s 等后:0.0s) | ST13 电检1(开:3750.0s 加:84.5s 等前:0.0s 等后:0.0s) | ST14 电检2(开:3834.5s 加:97.5s 等前:0.0s 等后:0.0s) | ST15 小跑道(开:3932.0s 加:50.0s 等前:0.0s 等后:0.0s)</t>
        </is>
      </c>
    </row>
    <row r="43">
      <c r="A43" s="15" t="n">
        <v>42</v>
      </c>
      <c r="B43" s="15" t="inlineStr">
        <is>
          <t>Car#41</t>
        </is>
      </c>
      <c r="C43" s="15" t="inlineStr">
        <is>
          <t>C</t>
        </is>
      </c>
      <c r="D43" s="16" t="n">
        <v>2538</v>
      </c>
      <c r="E43" s="16" t="n">
        <v>4034</v>
      </c>
      <c r="F43" s="16" t="n">
        <v>1496</v>
      </c>
      <c r="G43" s="16" t="n">
        <v>290.5</v>
      </c>
      <c r="H43" s="15" t="inlineStr">
        <is>
          <t>Car#42</t>
        </is>
      </c>
      <c r="I43" s="16">
        <f>E43-E42</f>
        <v/>
      </c>
      <c r="J43" s="16">
        <f>I43-58</f>
        <v/>
      </c>
      <c r="K43" s="16">
        <f>MAX(0,J43)</f>
        <v/>
      </c>
      <c r="L43" s="16">
        <f>MAX(0,-J43)</f>
        <v/>
      </c>
      <c r="M43" s="16">
        <f>M42+I43</f>
        <v/>
      </c>
      <c r="N43" s="16">
        <f>D43+F43-E43</f>
        <v/>
      </c>
      <c r="O43" s="15" t="inlineStr">
        <is>
          <t>能力超目标：四轮定位上、下、ARHUD+慢充</t>
        </is>
      </c>
      <c r="P43" s="15" t="inlineStr">
        <is>
          <t>ST1 引取(开:2538.0s 加:56.0s 等前:218.0s 等后:9.5s) | ST2 集约(开:2603.5s 加:111.0s 等前:0.0s 等后:9.5s) | ST3 空气悬挂+快充(开:2724.0s 加:108.5s 等前:0.0s 等后:23.0s) | ST4 四轮定位上、下(开:2855.5s 加:120.5s 等前:0.0s 等后:23.0s) | ST5 ADAS(开:2999.0s 加:107.0s 等前:0.0s 等后:7.5s) | ST6 ARHUD+慢充(开:3113.5s 加:143.5s 等前:0.0s 等后:0.0s) | ST7 转毂(开:3257.0s 加:114.5s 等前:0.0s 等后:0.0s) | ST8 制动(开:3371.5s 加:114.0s 等前:0.0s 等后:0.0s) | ST9 EG漏液/底盘漏液(开:3485.5s 加:112.5s 等前:0.0s 等后:0.0s) | ST10 全景/空调检查(开:3598.0s 加:0.0s 等前:0.0s 等后:0.0s) | ST11 气囊安装+绝缘(开:3598.0s 加:116.0s 等前:0.0s 等后:0.0s) | ST12 L2++(开:3714.0s 加:88.0s 等前:0.0s 等后:0.0s) | ST13 电检1(开:3802.0s 加:84.5s 等前:0.0s 等后:0.0s) | ST14 电检2(开:3886.5s 加:97.5s 等前:0.0s 等后:0.0s) | ST15 小跑道(开:3984.0s 加:50.0s 等前:0.0s 等后:0.0s)</t>
        </is>
      </c>
    </row>
    <row r="44">
      <c r="A44" s="13" t="n">
        <v>43</v>
      </c>
      <c r="B44" s="13" t="inlineStr">
        <is>
          <t>Car#44</t>
        </is>
      </c>
      <c r="C44" s="13" t="inlineStr">
        <is>
          <t>C</t>
        </is>
      </c>
      <c r="D44" s="14" t="n">
        <v>2724</v>
      </c>
      <c r="E44" s="14" t="n">
        <v>4147.5</v>
      </c>
      <c r="F44" s="14" t="n">
        <v>1423.5</v>
      </c>
      <c r="G44" s="14" t="n">
        <v>230</v>
      </c>
      <c r="H44" s="13" t="inlineStr">
        <is>
          <t>Car#41</t>
        </is>
      </c>
      <c r="I44" s="14">
        <f>E44-E43</f>
        <v/>
      </c>
      <c r="J44" s="14">
        <f>I44-58</f>
        <v/>
      </c>
      <c r="K44" s="14">
        <f>MAX(0,J44)</f>
        <v/>
      </c>
      <c r="L44" s="14">
        <f>MAX(0,-J44)</f>
        <v/>
      </c>
      <c r="M44" s="14">
        <f>M43+I44</f>
        <v/>
      </c>
      <c r="N44" s="14">
        <f>D44+F44-E44</f>
        <v/>
      </c>
      <c r="O44" s="13" t="inlineStr">
        <is>
          <t>能力超目标：四轮定位上、下、ARHUD+慢充</t>
        </is>
      </c>
      <c r="P44" s="13" t="inlineStr">
        <is>
          <t>ST1 引取(开:2724.0s 加:56.0s 等前:230.0s 等后:0.0s) | ST2 集约(开:2780.0s 加:111.0s 等前:0.0s 等后:0.0s) | ST3 空气悬挂+快充(开:2891.0s 加:108.5s 等前:0.0s 等后:0.0s) | ST4 四轮定位上、下(开:2999.5s 加:120.5s 等前:0.0s 等后:0.0s) | ST5 ADAS(开:3120.0s 加:107.0s 等前:0.0s 等后:0.0s) | ST6 ARHUD+慢充(开:3227.0s 加:143.5s 等前:0.0s 等后:0.0s) | ST7 转毂(开:3370.5s 加:114.5s 等前:0.0s 等后:0.0s) | ST8 制动(开:3485.0s 加:114.0s 等前:0.0s 等后:0.0s) | ST9 EG漏液/底盘漏液(开:3599.0s 加:112.5s 等前:0.0s 等后:0.0s) | ST10 全景/空调检查(开:3711.5s 加:0.0s 等前:0.0s 等后:0.0s) | ST11 气囊安装+绝缘(开:3711.5s 加:116.0s 等前:0.0s 等后:0.0s) | ST12 L2++(开:3827.5s 加:88.0s 等前:0.0s 等后:0.0s) | ST13 电检1(开:3915.5s 加:84.5s 等前:0.0s 等后:0.0s) | ST14 电检2(开:4000.0s 加:97.5s 等前:0.0s 等后:0.0s) | ST15 小跑道(开:4097.5s 加:50.0s 等前:0.0s 等后:0.0s)</t>
        </is>
      </c>
    </row>
    <row r="45">
      <c r="A45" s="15" t="n">
        <v>44</v>
      </c>
      <c r="B45" s="15" t="inlineStr">
        <is>
          <t>Car#43</t>
        </is>
      </c>
      <c r="C45" s="15" t="inlineStr">
        <is>
          <t>C</t>
        </is>
      </c>
      <c r="D45" s="16" t="n">
        <v>2659.5</v>
      </c>
      <c r="E45" s="16" t="n">
        <v>4197.5</v>
      </c>
      <c r="F45" s="16" t="n">
        <v>1538</v>
      </c>
      <c r="G45" s="16" t="n">
        <v>338</v>
      </c>
      <c r="H45" s="15" t="inlineStr">
        <is>
          <t>Car#44</t>
        </is>
      </c>
      <c r="I45" s="16">
        <f>E45-E44</f>
        <v/>
      </c>
      <c r="J45" s="16">
        <f>I45-58</f>
        <v/>
      </c>
      <c r="K45" s="16">
        <f>MAX(0,J45)</f>
        <v/>
      </c>
      <c r="L45" s="16">
        <f>MAX(0,-J45)</f>
        <v/>
      </c>
      <c r="M45" s="16">
        <f>M44+I45</f>
        <v/>
      </c>
      <c r="N45" s="16">
        <f>D45+F45-E45</f>
        <v/>
      </c>
      <c r="O45" s="15" t="inlineStr">
        <is>
          <t>能力超目标：四轮定位上、下、ARHUD+慢充</t>
        </is>
      </c>
      <c r="P45" s="15" t="inlineStr">
        <is>
          <t>ST1 引取(开:2659.5s 加:56.0s 等前:223.5s 等后:8.5s) | ST2 集约(开:2724.0s 加:111.0s 等前:0.0s 等后:20.5s) | ST3 空气悬挂+快充(开:2855.5s 加:108.5s 等前:0.0s 等后:35.0s) | ST4 四轮定位上、下(开:2999.0s 加:120.5s 等前:0.0s 等后:0.0s) | ST5 ADAS(开:3119.5s 加:107.0s 等前:0.0s 等后:30.5s) | ST6 ARHUD+慢充(开:3257.0s 加:143.5s 等前:0.0s 等后:0.0s) | ST7 转毂(开:3400.5s 加:114.5s 等前:0.0s 等后:0.0s) | ST8 制动(开:3515.0s 加:114.0s 等前:0.0s 等后:0.0s) | ST9 EG漏液/底盘漏液(开:3629.0s 加:112.5s 等前:0.0s 等后:0.0s) | ST10 全景/空调检查(开:3741.5s 加:0.0s 等前:0.0s 等后:0.0s) | ST11 气囊安装+绝缘(开:3741.5s 加:116.0s 等前:0.0s 等后:0.0s) | ST12 L2++(开:3857.5s 加:88.0s 等前:0.0s 等后:0.0s) | ST13 电检1(开:3945.5s 加:84.5s 等前:0.0s 等后:0.0s) | ST14 电检2(开:4030.0s 加:97.5s 等前:0.0s 等后:20.0s) | ST15 小跑道(开:4147.5s 加:50.0s 等前:0.0s 等后:0.0s)</t>
        </is>
      </c>
    </row>
    <row r="46">
      <c r="A46" s="13" t="n">
        <v>45</v>
      </c>
      <c r="B46" s="13" t="inlineStr">
        <is>
          <t>Car#46</t>
        </is>
      </c>
      <c r="C46" s="13" t="inlineStr">
        <is>
          <t>B</t>
        </is>
      </c>
      <c r="D46" s="14" t="n">
        <v>2855.5</v>
      </c>
      <c r="E46" s="14" t="n">
        <v>4263.5</v>
      </c>
      <c r="F46" s="14" t="n">
        <v>1408</v>
      </c>
      <c r="G46" s="14" t="n">
        <v>322</v>
      </c>
      <c r="H46" s="13" t="inlineStr">
        <is>
          <t>Car#43</t>
        </is>
      </c>
      <c r="I46" s="14">
        <f>E46-E45</f>
        <v/>
      </c>
      <c r="J46" s="14">
        <f>I46-58</f>
        <v/>
      </c>
      <c r="K46" s="14">
        <f>MAX(0,J46)</f>
        <v/>
      </c>
      <c r="L46" s="14">
        <f>MAX(0,-J46)</f>
        <v/>
      </c>
      <c r="M46" s="14">
        <f>M45+I46</f>
        <v/>
      </c>
      <c r="N46" s="14">
        <f>D46+F46-E46</f>
        <v/>
      </c>
      <c r="O46" s="13" t="inlineStr">
        <is>
          <t>能力超目标：四轮定位上、下</t>
        </is>
      </c>
      <c r="P46" s="13" t="inlineStr">
        <is>
          <t>ST1 引取(开:2855.5s 加:56.0s 等前:245.5s 等后:0.0s) | ST2 集约(开:2911.5s 加:111.0s 等前:0.0s 等后:0.0s) | ST3 空气悬挂+快充(开:3022.5s 加:108.5s 等前:0.0s 等后:0.0s) | ST4 四轮定位上、下(开:3131.0s 加:120.5s 等前:0.0s 等后:0.0s) | ST5 ADAS(开:3251.5s 加:107.0s 等前:0.0s 等后:12.0s) | ST6 ARHUD+慢充(开:3370.5s 加:51.5s 等前:0.0s 等后:63.0s) | ST7 转毂(开:3485.0s 加:114.5s 等前:0.0s 等后:0.0s) | ST8 制动(开:3599.5s 加:114.0s 等前:0.0s 等后:0.0s) | ST9 EG漏液/底盘漏液(开:3713.5s 加:112.5s 等前:0.0s 等后:0.0s) | ST10 全景/空调检查(开:3826.0s 加:0.0s 等前:0.0s 等后:1.5s) | ST11 气囊安装+绝缘(开:3827.5s 加:116.0s 等前:0.0s 等后:0.0s) | ST12 L2++(开:3943.5s 加:88.0s 等前:0.0s 等后:0.0s) | ST13 电检1(开:4031.5s 加:84.5s 等前:0.0s 等后:0.0s) | ST14 电检2(开:4116.0s 加:97.5s 等前:0.0s 等后:0.0s) | ST15 小跑道(开:4213.5s 加:50.0s 等前:0.0s 等后:0.0s)</t>
        </is>
      </c>
    </row>
    <row r="47">
      <c r="A47" s="15" t="n">
        <v>46</v>
      </c>
      <c r="B47" s="15" t="inlineStr">
        <is>
          <t>Car#45</t>
        </is>
      </c>
      <c r="C47" s="15" t="inlineStr">
        <is>
          <t>C</t>
        </is>
      </c>
      <c r="D47" s="16" t="n">
        <v>2780</v>
      </c>
      <c r="E47" s="16" t="n">
        <v>4321</v>
      </c>
      <c r="F47" s="16" t="n">
        <v>1541</v>
      </c>
      <c r="G47" s="16" t="n">
        <v>345.5</v>
      </c>
      <c r="H47" s="15" t="inlineStr">
        <is>
          <t>Car#46</t>
        </is>
      </c>
      <c r="I47" s="16">
        <f>E47-E46</f>
        <v/>
      </c>
      <c r="J47" s="16">
        <f>I47-58</f>
        <v/>
      </c>
      <c r="K47" s="16">
        <f>MAX(0,J47)</f>
        <v/>
      </c>
      <c r="L47" s="16">
        <f>MAX(0,-J47)</f>
        <v/>
      </c>
      <c r="M47" s="16">
        <f>M46+I47</f>
        <v/>
      </c>
      <c r="N47" s="16">
        <f>D47+F47-E47</f>
        <v/>
      </c>
      <c r="O47" s="15" t="inlineStr">
        <is>
          <t>能力超目标：四轮定位上、下、ARHUD+慢充</t>
        </is>
      </c>
      <c r="P47" s="15" t="inlineStr">
        <is>
          <t>ST1 引取(开:2780.0s 加:56.0s 等前:228.0s 等后:19.5s) | ST2 集约(开:2855.5s 加:111.0s 等前:0.0s 等后:32.5s) | ST3 空气悬挂+快充(开:2999.0s 加:108.5s 等前:0.0s 等后:12.0s) | ST4 四轮定位上、下(开:3119.5s 加:120.5s 等前:0.0s 等后:17.0s) | ST5 ADAS(开:3257.0s 加:107.0s 等前:0.0s 等后:36.5s) | ST6 ARHUD+慢充(开:3400.5s 加:143.5s 等前:0.0s 等后:0.0s) | ST7 转毂(开:3544.0s 加:114.5s 等前:0.0s 等后:0.0s) | ST8 制动(开:3658.5s 加:114.0s 等前:0.0s 等后:0.0s) | ST9 EG漏液/底盘漏液(开:3772.5s 加:112.5s 等前:0.0s 等后:0.0s) | ST10 全景/空调检查(开:3885.0s 加:0.0s 等前:0.0s 等后:0.0s) | ST11 气囊安装+绝缘(开:3885.0s 加:116.0s 等前:0.0s 等后:0.0s) | ST12 L2++(开:4001.0s 加:88.0s 等前:0.0s 等后:0.0s) | ST13 电检1(开:4089.0s 加:84.5s 等前:0.0s 等后:0.0s) | ST14 电检2(开:4173.5s 加:97.5s 等前:0.0s 等后:0.0s) | ST15 小跑道(开:4271.0s 加:50.0s 等前:0.0s 等后:0.0s)</t>
        </is>
      </c>
    </row>
    <row r="48">
      <c r="A48" s="13" t="n">
        <v>47</v>
      </c>
      <c r="B48" s="13" t="inlineStr">
        <is>
          <t>Car#48</t>
        </is>
      </c>
      <c r="C48" s="13" t="inlineStr">
        <is>
          <t>B</t>
        </is>
      </c>
      <c r="D48" s="14" t="n">
        <v>2999</v>
      </c>
      <c r="E48" s="14" t="n">
        <v>4379.5</v>
      </c>
      <c r="F48" s="14" t="n">
        <v>1380.5</v>
      </c>
      <c r="G48" s="14" t="n">
        <v>322</v>
      </c>
      <c r="H48" s="13" t="inlineStr">
        <is>
          <t>Car#45</t>
        </is>
      </c>
      <c r="I48" s="14">
        <f>E48-E47</f>
        <v/>
      </c>
      <c r="J48" s="14">
        <f>I48-58</f>
        <v/>
      </c>
      <c r="K48" s="14">
        <f>MAX(0,J48)</f>
        <v/>
      </c>
      <c r="L48" s="14">
        <f>MAX(0,-J48)</f>
        <v/>
      </c>
      <c r="M48" s="14">
        <f>M47+I48</f>
        <v/>
      </c>
      <c r="N48" s="14">
        <f>D48+F48-E48</f>
        <v/>
      </c>
      <c r="O48" s="13" t="inlineStr">
        <is>
          <t>能力超目标：四轮定位上、下</t>
        </is>
      </c>
      <c r="P48" s="13" t="inlineStr">
        <is>
          <t>ST1 引取(开:2999.0s 加:56.0s 等前:273.0s 等后:0.0s) | ST2 集约(开:3055.0s 加:111.0s 等前:0.0s 等后:0.0s) | ST3 空气悬挂+快充(开:3166.0s 加:108.5s 等前:0.0s 等后:0.0s) | ST4 四轮定位上、下(开:3274.5s 加:120.5s 等前:0.0s 等后:0.0s) | ST5 ADAS(开:3395.0s 加:107.0s 等前:0.0s 等后:0.0s) | ST6 ARHUD+慢充(开:3502.0s 加:51.5s 等前:0.0s 等后:46.0s) | ST7 转毂(开:3599.5s 加:114.5s 等前:0.0s 等后:0.0s) | ST8 制动(开:3714.0s 加:114.0s 等前:0.0s 等后:0.0s) | ST9 EG漏液/底盘漏液(开:3828.0s 加:112.5s 等前:0.0s 等后:0.0s) | ST10 全景/空调检查(开:3940.5s 加:0.0s 等前:0.0s 等后:3.0s) | ST11 气囊安装+绝缘(开:3943.5s 加:116.0s 等前:0.0s 等后:0.0s) | ST12 L2++(开:4059.5s 加:88.0s 等前:0.0s 等后:0.0s) | ST13 电检1(开:4147.5s 加:84.5s 等前:0.0s 等后:0.0s) | ST14 电检2(开:4232.0s 加:97.5s 等前:0.0s 等后:0.0s) | ST15 小跑道(开:4329.5s 加:50.0s 等前:0.0s 等后:0.0s)</t>
        </is>
      </c>
    </row>
    <row r="49">
      <c r="A49" s="15" t="n">
        <v>48</v>
      </c>
      <c r="B49" s="15" t="inlineStr">
        <is>
          <t>Car#50</t>
        </is>
      </c>
      <c r="C49" s="15" t="inlineStr">
        <is>
          <t>A</t>
        </is>
      </c>
      <c r="D49" s="16" t="n">
        <v>3119.5</v>
      </c>
      <c r="E49" s="16" t="n">
        <v>4430.5</v>
      </c>
      <c r="F49" s="16" t="n">
        <v>1311</v>
      </c>
      <c r="G49" s="16" t="n">
        <v>727.5</v>
      </c>
      <c r="H49" s="15" t="inlineStr">
        <is>
          <t>Car#48</t>
        </is>
      </c>
      <c r="I49" s="16">
        <f>E49-E48</f>
        <v/>
      </c>
      <c r="J49" s="16">
        <f>I49-58</f>
        <v/>
      </c>
      <c r="K49" s="16">
        <f>MAX(0,J49)</f>
        <v/>
      </c>
      <c r="L49" s="16">
        <f>MAX(0,-J49)</f>
        <v/>
      </c>
      <c r="M49" s="16">
        <f>M48+I49</f>
        <v/>
      </c>
      <c r="N49" s="16">
        <f>D49+F49-E49</f>
        <v/>
      </c>
      <c r="O49" s="15" t="inlineStr">
        <is>
          <t>能力满足</t>
        </is>
      </c>
      <c r="P49" s="15" t="inlineStr">
        <is>
          <t>ST1 引取(开:3119.5s 加:55.0s 等前:277.5s 等后:0.0s) | ST2 集约(开:3174.5s 加:106.0s 等前:0.0s 等后:0.0s) | ST3 空气悬挂+快充(开:3280.5s 加:0.0s 等前:0.0s 等后:114.5s) | ST4 四轮定位上、下(开:3395.0s 加:115.0s 等前:0.0s 等后:0.0s) | ST5 ADAS(开:3510.0s 加:97.0s 等前:0.0s 等后:0.0s) | ST6 ARHUD+慢充(开:3607.0s 加:0.0s 等前:0.0s 等后:107.0s) | ST7 转毂(开:3714.0s 加:116.0s 等前:0.0s 等后:0.0s) | ST8 制动(开:3830.0s 加:108.0s 等前:0.0s 等后:2.5s) | ST9 EG漏液/底盘漏液(开:3940.5s 加:115.0s 等前:0.0s 等后:0.0s) | ST10 全景/空调检查(开:4055.5s 加:98.0s 等前:0.0s 等后:0.0s) | ST11 气囊安装+绝缘(开:4153.5s 加:0.0s 等前:0.0s 等后:0.0s) | ST12 L2++(开:4153.5s 加:0.0s 等前:0.0s 等后:78.5s) | ST13 电检1(开:4232.0s 加:0.0s 等前:0.0s 等后:97.5s) | ST14 电检2(开:4329.5s 加:0.0s 等前:0.0s 等后:50.0s) | ST15 小跑道(开:4379.5s 加:51.0s 等前:0.0s 等后:0.0s)</t>
        </is>
      </c>
    </row>
    <row r="50">
      <c r="A50" s="13" t="n">
        <v>49</v>
      </c>
      <c r="B50" s="13" t="inlineStr">
        <is>
          <t>Car#47</t>
        </is>
      </c>
      <c r="C50" s="13" t="inlineStr">
        <is>
          <t>B</t>
        </is>
      </c>
      <c r="D50" s="14" t="n">
        <v>2911.5</v>
      </c>
      <c r="E50" s="14" t="n">
        <v>4480.5</v>
      </c>
      <c r="F50" s="14" t="n">
        <v>1569</v>
      </c>
      <c r="G50" s="14" t="n">
        <v>481</v>
      </c>
      <c r="H50" s="13" t="inlineStr">
        <is>
          <t>Car#50</t>
        </is>
      </c>
      <c r="I50" s="14">
        <f>E50-E49</f>
        <v/>
      </c>
      <c r="J50" s="14">
        <f>I50-58</f>
        <v/>
      </c>
      <c r="K50" s="14">
        <f>MAX(0,J50)</f>
        <v/>
      </c>
      <c r="L50" s="14">
        <f>MAX(0,-J50)</f>
        <v/>
      </c>
      <c r="M50" s="14">
        <f>M49+I50</f>
        <v/>
      </c>
      <c r="N50" s="14">
        <f>D50+F50-E50</f>
        <v/>
      </c>
      <c r="O50" s="13" t="inlineStr">
        <is>
          <t>能力超目标：四轮定位上、下</t>
        </is>
      </c>
      <c r="P50" s="13" t="inlineStr">
        <is>
          <t>ST1 引取(开:2911.5s 加:56.0s 等前:243.5s 等后:31.5s) | ST2 集约(开:2999.0s 加:111.0s 等前:0.0s 等后:9.5s) | ST3 空气悬挂+快充(开:3119.5s 加:108.5s 等前:0.0s 等后:29.0s) | ST4 四轮定位上、下(开:3257.0s 加:120.5s 等前:0.0s 等后:23.0s) | ST5 ADAS(开:3400.5s 加:107.0s 等前:0.0s 等后:36.5s) | ST6 ARHUD+慢充(开:3544.0s 加:51.5s 等前:0.0s 等后:63.0s) | ST7 转毂(开:3658.5s 加:114.5s 等前:0.0s 等后:0.0s) | ST8 制动(开:3773.0s 加:114.0s 等前:0.0s 等后:0.0s) | ST9 EG漏液/底盘漏液(开:3887.0s 加:112.5s 等前:0.0s 等后:0.0s) | ST10 全景/空调检查(开:3999.5s 加:0.0s 等前:0.0s 等后:1.5s) | ST11 气囊安装+绝缘(开:4001.0s 加:116.0s 等前:0.0s 等后:0.0s) | ST12 L2++(开:4117.0s 加:88.0s 等前:0.0s 等后:0.0s) | ST13 电检1(开:4205.0s 加:84.5s 等前:0.0s 等后:0.0s) | ST14 电检2(开:4289.5s 加:97.5s 等前:0.0s 等后:43.5s) | ST15 小跑道(开:4430.5s 加:50.0s 等前:0.0s 等后:0.0s)</t>
        </is>
      </c>
    </row>
    <row r="51">
      <c r="A51" s="15" t="n">
        <v>50</v>
      </c>
      <c r="B51" s="15" t="inlineStr">
        <is>
          <t>Car#49</t>
        </is>
      </c>
      <c r="C51" s="15" t="inlineStr">
        <is>
          <t>C</t>
        </is>
      </c>
      <c r="D51" s="16" t="n">
        <v>3055</v>
      </c>
      <c r="E51" s="16" t="n">
        <v>4579</v>
      </c>
      <c r="F51" s="16" t="n">
        <v>1524</v>
      </c>
      <c r="G51" s="16" t="n">
        <v>371.5</v>
      </c>
      <c r="H51" s="15" t="inlineStr">
        <is>
          <t>Car#47</t>
        </is>
      </c>
      <c r="I51" s="16">
        <f>E51-E50</f>
        <v/>
      </c>
      <c r="J51" s="16">
        <f>I51-58</f>
        <v/>
      </c>
      <c r="K51" s="16">
        <f>MAX(0,J51)</f>
        <v/>
      </c>
      <c r="L51" s="16">
        <f>MAX(0,-J51)</f>
        <v/>
      </c>
      <c r="M51" s="16">
        <f>M50+I51</f>
        <v/>
      </c>
      <c r="N51" s="16">
        <f>D51+F51-E51</f>
        <v/>
      </c>
      <c r="O51" s="15" t="inlineStr">
        <is>
          <t>能力超目标：四轮定位上、下、ARHUD+慢充</t>
        </is>
      </c>
      <c r="P51" s="15" t="inlineStr">
        <is>
          <t>ST1 引取(开:3055.0s 加:56.0s 等前:271.0s 等后:8.5s) | ST2 集约(开:3119.5s 加:111.0s 等前:0.0s 等后:26.5s) | ST3 空气悬挂+快充(开:3257.0s 加:108.5s 等前:0.0s 等后:35.0s) | ST4 四轮定位上、下(开:3400.5s 加:120.5s 等前:0.0s 等后:23.0s) | ST5 ADAS(开:3544.0s 加:107.0s 等前:0.0s 等后:7.5s) | ST6 ARHUD+慢充(开:3658.5s 加:143.5s 等前:0.0s 等后:0.0s) | ST7 转毂(开:3802.0s 加:114.5s 等前:0.0s 等后:0.0s) | ST8 制动(开:3916.5s 加:114.0s 等前:0.0s 等后:0.0s) | ST9 EG漏液/底盘漏液(开:4030.5s 加:112.5s 等前:0.0s 等后:0.0s) | ST10 全景/空调检查(开:4143.0s 加:0.0s 等前:0.0s 等后:0.0s) | ST11 气囊安装+绝缘(开:4143.0s 加:116.0s 等前:0.0s 等后:0.0s) | ST12 L2++(开:4259.0s 加:88.0s 等前:0.0s 等后:0.0s) | ST13 电检1(开:4347.0s 加:84.5s 等前:0.0s 等后:0.0s) | ST14 电检2(开:4431.5s 加:97.5s 等前:0.0s 等后:0.0s) | ST15 小跑道(开:4529.0s 加:50.0s 等前:0.0s 等后:0.0s)</t>
        </is>
      </c>
    </row>
    <row r="52">
      <c r="A52" s="13" t="n">
        <v>51</v>
      </c>
      <c r="B52" s="13" t="inlineStr">
        <is>
          <t>Car#52</t>
        </is>
      </c>
      <c r="C52" s="13" t="inlineStr">
        <is>
          <t>C</t>
        </is>
      </c>
      <c r="D52" s="14" t="n">
        <v>3257</v>
      </c>
      <c r="E52" s="14" t="n">
        <v>4680.5</v>
      </c>
      <c r="F52" s="14" t="n">
        <v>1423.5</v>
      </c>
      <c r="G52" s="14" t="n">
        <v>299</v>
      </c>
      <c r="H52" s="13" t="inlineStr">
        <is>
          <t>Car#49</t>
        </is>
      </c>
      <c r="I52" s="14">
        <f>E52-E51</f>
        <v/>
      </c>
      <c r="J52" s="14">
        <f>I52-58</f>
        <v/>
      </c>
      <c r="K52" s="14">
        <f>MAX(0,J52)</f>
        <v/>
      </c>
      <c r="L52" s="14">
        <f>MAX(0,-J52)</f>
        <v/>
      </c>
      <c r="M52" s="14">
        <f>M51+I52</f>
        <v/>
      </c>
      <c r="N52" s="14">
        <f>D52+F52-E52</f>
        <v/>
      </c>
      <c r="O52" s="13" t="inlineStr">
        <is>
          <t>能力超目标：四轮定位上、下、ARHUD+慢充</t>
        </is>
      </c>
      <c r="P52" s="13" t="inlineStr">
        <is>
          <t>ST1 引取(开:3257.0s 加:56.0s 等前:299.0s 等后:0.0s) | ST2 集约(开:3313.0s 加:111.0s 等前:0.0s 等后:0.0s) | ST3 空气悬挂+快充(开:3424.0s 加:108.5s 等前:0.0s 等后:0.0s) | ST4 四轮定位上、下(开:3532.5s 加:120.5s 等前:0.0s 等后:0.0s) | ST5 ADAS(开:3653.0s 加:107.0s 等前:0.0s 等后:0.0s) | ST6 ARHUD+慢充(开:3760.0s 加:143.5s 等前:0.0s 等后:0.0s) | ST7 转毂(开:3903.5s 加:114.5s 等前:0.0s 等后:0.0s) | ST8 制动(开:4018.0s 加:114.0s 等前:0.0s 等后:0.0s) | ST9 EG漏液/底盘漏液(开:4132.0s 加:112.5s 等前:0.0s 等后:0.0s) | ST10 全景/空调检查(开:4244.5s 加:0.0s 等前:0.0s 等后:0.0s) | ST11 气囊安装+绝缘(开:4244.5s 加:116.0s 等前:0.0s 等后:0.0s) | ST12 L2++(开:4360.5s 加:88.0s 等前:0.0s 等后:0.0s) | ST13 电检1(开:4448.5s 加:84.5s 等前:0.0s 等后:0.0s) | ST14 电检2(开:4533.0s 加:97.5s 等前:0.0s 等后:0.0s) | ST15 小跑道(开:4630.5s 加:50.0s 等前:0.0s 等后:0.0s)</t>
        </is>
      </c>
    </row>
    <row r="53">
      <c r="A53" s="15" t="n">
        <v>52</v>
      </c>
      <c r="B53" s="15" t="inlineStr">
        <is>
          <t>Car#51</t>
        </is>
      </c>
      <c r="C53" s="15" t="inlineStr">
        <is>
          <t>C</t>
        </is>
      </c>
      <c r="D53" s="16" t="n">
        <v>3174.5</v>
      </c>
      <c r="E53" s="16" t="n">
        <v>4730.5</v>
      </c>
      <c r="F53" s="16" t="n">
        <v>1556</v>
      </c>
      <c r="G53" s="16" t="n">
        <v>407</v>
      </c>
      <c r="H53" s="15" t="inlineStr">
        <is>
          <t>Car#52</t>
        </is>
      </c>
      <c r="I53" s="16">
        <f>E53-E52</f>
        <v/>
      </c>
      <c r="J53" s="16">
        <f>I53-58</f>
        <v/>
      </c>
      <c r="K53" s="16">
        <f>MAX(0,J53)</f>
        <v/>
      </c>
      <c r="L53" s="16">
        <f>MAX(0,-J53)</f>
        <v/>
      </c>
      <c r="M53" s="16">
        <f>M52+I53</f>
        <v/>
      </c>
      <c r="N53" s="16">
        <f>D53+F53-E53</f>
        <v/>
      </c>
      <c r="O53" s="15" t="inlineStr">
        <is>
          <t>能力超目标：四轮定位上、下、ARHUD+慢充</t>
        </is>
      </c>
      <c r="P53" s="15" t="inlineStr">
        <is>
          <t>ST1 引取(开:3174.5s 加:56.0s 等前:274.5s 等后:26.5s) | ST2 集约(开:3257.0s 加:111.0s 等前:0.0s 等后:32.5s) | ST3 空气悬挂+快充(开:3400.5s 加:108.5s 等前:0.0s 等后:35.0s) | ST4 四轮定位上、下(开:3544.0s 加:120.5s 等前:0.0s 等后:0.0s) | ST5 ADAS(开:3664.5s 加:107.0s 等前:0.0s 等后:30.5s) | ST6 ARHUD+慢充(开:3802.0s 加:143.5s 等前:0.0s 等后:0.0s) | ST7 转毂(开:3945.5s 加:114.5s 等前:0.0s 等后:0.0s) | ST8 制动(开:4060.0s 加:114.0s 等前:0.0s 等后:0.0s) | ST9 EG漏液/底盘漏液(开:4174.0s 加:112.5s 等前:0.0s 等后:0.0s) | ST10 全景/空调检查(开:4286.5s 加:0.0s 等前:0.0s 等后:0.0s) | ST11 气囊安装+绝缘(开:4286.5s 加:116.0s 等前:0.0s 等后:0.0s) | ST12 L2++(开:4402.5s 加:88.0s 等前:0.0s 等后:0.0s) | ST13 电检1(开:4490.5s 加:84.5s 等前:0.0s 等后:0.0s) | ST14 电检2(开:4575.0s 加:97.5s 等前:0.0s 等后:8.0s) | ST15 小跑道(开:4680.5s 加:50.0s 等前:0.0s 等后:0.0s)</t>
        </is>
      </c>
    </row>
    <row r="54">
      <c r="A54" s="13" t="n">
        <v>53</v>
      </c>
      <c r="B54" s="13" t="inlineStr">
        <is>
          <t>Car#54</t>
        </is>
      </c>
      <c r="C54" s="13" t="inlineStr">
        <is>
          <t>C</t>
        </is>
      </c>
      <c r="D54" s="14" t="n">
        <v>3400.5</v>
      </c>
      <c r="E54" s="14" t="n">
        <v>4824</v>
      </c>
      <c r="F54" s="14" t="n">
        <v>1423.5</v>
      </c>
      <c r="G54" s="14" t="n">
        <v>326.5</v>
      </c>
      <c r="H54" s="13" t="inlineStr">
        <is>
          <t>Car#51</t>
        </is>
      </c>
      <c r="I54" s="14">
        <f>E54-E53</f>
        <v/>
      </c>
      <c r="J54" s="14">
        <f>I54-58</f>
        <v/>
      </c>
      <c r="K54" s="14">
        <f>MAX(0,J54)</f>
        <v/>
      </c>
      <c r="L54" s="14">
        <f>MAX(0,-J54)</f>
        <v/>
      </c>
      <c r="M54" s="14">
        <f>M53+I54</f>
        <v/>
      </c>
      <c r="N54" s="14">
        <f>D54+F54-E54</f>
        <v/>
      </c>
      <c r="O54" s="13" t="inlineStr">
        <is>
          <t>能力超目标：四轮定位上、下、ARHUD+慢充</t>
        </is>
      </c>
      <c r="P54" s="13" t="inlineStr">
        <is>
          <t>ST1 引取(开:3400.5s 加:56.0s 等前:326.5s 等后:0.0s) | ST2 集约(开:3456.5s 加:111.0s 等前:0.0s 等后:0.0s) | ST3 空气悬挂+快充(开:3567.5s 加:108.5s 等前:0.0s 等后:0.0s) | ST4 四轮定位上、下(开:3676.0s 加:120.5s 等前:0.0s 等后:0.0s) | ST5 ADAS(开:3796.5s 加:107.0s 等前:0.0s 等后:0.0s) | ST6 ARHUD+慢充(开:3903.5s 加:143.5s 等前:0.0s 等后:0.0s) | ST7 转毂(开:4047.0s 加:114.5s 等前:0.0s 等后:0.0s) | ST8 制动(开:4161.5s 加:114.0s 等前:0.0s 等后:0.0s) | ST9 EG漏液/底盘漏液(开:4275.5s 加:112.5s 等前:0.0s 等后:0.0s) | ST10 全景/空调检查(开:4388.0s 加:0.0s 等前:0.0s 等后:0.0s) | ST11 气囊安装+绝缘(开:4388.0s 加:116.0s 等前:0.0s 等后:0.0s) | ST12 L2++(开:4504.0s 加:88.0s 等前:0.0s 等后:0.0s) | ST13 电检1(开:4592.0s 加:84.5s 等前:0.0s 等后:0.0s) | ST14 电检2(开:4676.5s 加:97.5s 等前:0.0s 等后:0.0s) | ST15 小跑道(开:4774.0s 加:50.0s 等前:0.0s 等后:0.0s)</t>
        </is>
      </c>
    </row>
    <row r="55">
      <c r="A55" s="15" t="n">
        <v>54</v>
      </c>
      <c r="B55" s="15" t="inlineStr">
        <is>
          <t>Car#56</t>
        </is>
      </c>
      <c r="C55" s="15" t="inlineStr">
        <is>
          <t>A</t>
        </is>
      </c>
      <c r="D55" s="16" t="n">
        <v>3544</v>
      </c>
      <c r="E55" s="16" t="n">
        <v>4875</v>
      </c>
      <c r="F55" s="16" t="n">
        <v>1331</v>
      </c>
      <c r="G55" s="16" t="n">
        <v>824</v>
      </c>
      <c r="H55" s="15" t="inlineStr">
        <is>
          <t>Car#54</t>
        </is>
      </c>
      <c r="I55" s="16">
        <f>E55-E54</f>
        <v/>
      </c>
      <c r="J55" s="16">
        <f>I55-58</f>
        <v/>
      </c>
      <c r="K55" s="16">
        <f>MAX(0,J55)</f>
        <v/>
      </c>
      <c r="L55" s="16">
        <f>MAX(0,-J55)</f>
        <v/>
      </c>
      <c r="M55" s="16">
        <f>M54+I55</f>
        <v/>
      </c>
      <c r="N55" s="16">
        <f>D55+F55-E55</f>
        <v/>
      </c>
      <c r="O55" s="15" t="inlineStr">
        <is>
          <t>能力满足</t>
        </is>
      </c>
      <c r="P55" s="15" t="inlineStr">
        <is>
          <t>ST1 引取(开:3544.0s 加:55.0s 等前:354.0s 等后:0.0s) | ST2 集约(开:3599.0s 加:106.0s 等前:0.0s 等后:0.0s) | ST3 空气悬挂+快充(开:3705.0s 加:0.0s 等前:0.0s 等后:91.5s) | ST4 四轮定位上、下(开:3796.5s 加:115.0s 等前:0.0s 等后:0.0s) | ST5 ADAS(开:3911.5s 加:97.0s 等前:0.0s 等后:38.5s) | ST6 ARHUD+慢充(开:4047.0s 加:0.0s 等前:0.0s 等后:114.5s) | ST7 转毂(开:4161.5s 加:116.0s 等前:0.0s 等后:0.0s) | ST8 制动(开:4277.5s 加:108.0s 等前:0.0s 等后:2.5s) | ST9 EG漏液/底盘漏液(开:4388.0s 加:115.0s 等前:0.0s 等后:0.0s) | ST10 全景/空调检查(开:4503.0s 加:98.0s 等前:0.0s 等后:0.0s) | ST11 气囊安装+绝缘(开:4601.0s 加:0.0s 等前:0.0s 等后:0.0s) | ST12 L2++(开:4601.0s 加:0.0s 等前:0.0s 等后:75.5s) | ST13 电检1(开:4676.5s 加:0.0s 等前:0.0s 等后:97.5s) | ST14 电检2(开:4774.0s 加:0.0s 等前:0.0s 等后:50.0s) | ST15 小跑道(开:4824.0s 加:51.0s 等前:0.0s 等后:0.0s)</t>
        </is>
      </c>
    </row>
    <row r="56">
      <c r="A56" s="13" t="n">
        <v>55</v>
      </c>
      <c r="B56" s="13" t="inlineStr">
        <is>
          <t>Car#53</t>
        </is>
      </c>
      <c r="C56" s="13" t="inlineStr">
        <is>
          <t>C</t>
        </is>
      </c>
      <c r="D56" s="14" t="n">
        <v>3313</v>
      </c>
      <c r="E56" s="14" t="n">
        <v>4925</v>
      </c>
      <c r="F56" s="14" t="n">
        <v>1612</v>
      </c>
      <c r="G56" s="14" t="n">
        <v>485.5</v>
      </c>
      <c r="H56" s="13" t="inlineStr">
        <is>
          <t>Car#56</t>
        </is>
      </c>
      <c r="I56" s="14">
        <f>E56-E55</f>
        <v/>
      </c>
      <c r="J56" s="14">
        <f>I56-58</f>
        <v/>
      </c>
      <c r="K56" s="14">
        <f>MAX(0,J56)</f>
        <v/>
      </c>
      <c r="L56" s="14">
        <f>MAX(0,-J56)</f>
        <v/>
      </c>
      <c r="M56" s="14">
        <f>M55+I56</f>
        <v/>
      </c>
      <c r="N56" s="14">
        <f>D56+F56-E56</f>
        <v/>
      </c>
      <c r="O56" s="13" t="inlineStr">
        <is>
          <t>能力超目标：四轮定位上、下、ARHUD+慢充</t>
        </is>
      </c>
      <c r="P56" s="13" t="inlineStr">
        <is>
          <t>ST1 引取(开:3313.0s 加:56.0s 等前:297.0s 等后:31.5s) | ST2 集约(开:3400.5s 加:111.0s 等前:0.0s 等后:32.5s) | ST3 空气悬挂+快充(开:3544.0s 加:108.5s 等前:0.0s 等后:12.0s) | ST4 四轮定位上、下(开:3664.5s 加:120.5s 等前:0.0s 等后:17.0s) | ST5 ADAS(开:3802.0s 加:107.0s 等前:0.0s 等后:36.5s) | ST6 ARHUD+慢充(开:3945.5s 加:143.5s 等前:0.0s 等后:0.0s) | ST7 转毂(开:4089.0s 加:114.5s 等前:0.0s 等后:0.0s) | ST8 制动(开:4203.5s 加:114.0s 等前:0.0s 等后:0.0s) | ST9 EG漏液/底盘漏液(开:4317.5s 加:112.5s 等前:0.0s 等后:0.0s) | ST10 全景/空调检查(开:4430.0s 加:0.0s 等前:0.0s 等后:0.0s) | ST11 气囊安装+绝缘(开:4430.0s 加:116.0s 等前:0.0s 等后:0.0s) | ST12 L2++(开:4546.0s 加:88.0s 等前:0.0s 等后:0.0s) | ST13 电检1(开:4634.0s 加:84.5s 等前:0.0s 等后:0.0s) | ST14 电检2(开:4718.5s 加:97.5s 等前:0.0s 等后:59.0s) | ST15 小跑道(开:4875.0s 加:50.0s 等前:0.0s 等后:0.0s)</t>
        </is>
      </c>
    </row>
    <row r="57">
      <c r="A57" s="15" t="n">
        <v>56</v>
      </c>
      <c r="B57" s="15" t="inlineStr">
        <is>
          <t>Car#55</t>
        </is>
      </c>
      <c r="C57" s="15" t="inlineStr">
        <is>
          <t>A</t>
        </is>
      </c>
      <c r="D57" s="16" t="n">
        <v>3456.5</v>
      </c>
      <c r="E57" s="16" t="n">
        <v>4976</v>
      </c>
      <c r="F57" s="16" t="n">
        <v>1519.5</v>
      </c>
      <c r="G57" s="16" t="n">
        <v>983</v>
      </c>
      <c r="H57" s="15" t="inlineStr">
        <is>
          <t>Car#53</t>
        </is>
      </c>
      <c r="I57" s="16">
        <f>E57-E56</f>
        <v/>
      </c>
      <c r="J57" s="16">
        <f>I57-58</f>
        <v/>
      </c>
      <c r="K57" s="16">
        <f>MAX(0,J57)</f>
        <v/>
      </c>
      <c r="L57" s="16">
        <f>MAX(0,-J57)</f>
        <v/>
      </c>
      <c r="M57" s="16">
        <f>M56+I57</f>
        <v/>
      </c>
      <c r="N57" s="16">
        <f>D57+F57-E57</f>
        <v/>
      </c>
      <c r="O57" s="15" t="inlineStr">
        <is>
          <t>能力满足</t>
        </is>
      </c>
      <c r="P57" s="15" t="inlineStr">
        <is>
          <t>ST1 引取(开:3456.5s 加:55.0s 等前:324.5s 等后:32.5s) | ST2 集约(开:3544.0s 加:106.0s 等前:0.0s 等后:14.5s) | ST3 空气悬挂+快充(开:3664.5s 加:0.0s 等前:0.0s 等后:137.5s) | ST4 四轮定位上、下(开:3802.0s 加:115.0s 等前:0.0s 等后:28.5s) | ST5 ADAS(开:3945.5s 加:97.0s 等前:0.0s 等后:46.5s) | ST6 ARHUD+慢充(开:4089.0s 加:0.0s 等前:0.0s 等后:114.5s) | ST7 转毂(开:4203.5s 加:116.0s 等前:0.0s 等后:0.0s) | ST8 制动(开:4319.5s 加:108.0s 等前:0.0s 等后:2.5s) | ST9 EG漏液/底盘漏液(开:4430.0s 加:115.0s 等前:0.0s 等后:0.0s) | ST10 全景/空调检查(开:4545.0s 加:98.0s 等前:0.0s 等后:0.0s) | ST11 气囊安装+绝缘(开:4643.0s 加:0.0s 等前:0.0s 等后:0.0s) | ST12 L2++(开:4643.0s 加:0.0s 等前:0.0s 等后:75.5s) | ST13 电检1(开:4718.5s 加:0.0s 等前:0.0s 等后:156.5s) | ST14 电检2(开:4875.0s 加:0.0s 等前:0.0s 等后:50.0s) | ST15 小跑道(开:4925.0s 加:51.0s 等前:0.0s 等后:0.0s)</t>
        </is>
      </c>
    </row>
    <row r="58">
      <c r="A58" s="13" t="n">
        <v>57</v>
      </c>
      <c r="B58" s="13" t="inlineStr">
        <is>
          <t>Car#58</t>
        </is>
      </c>
      <c r="C58" s="13" t="inlineStr">
        <is>
          <t>B</t>
        </is>
      </c>
      <c r="D58" s="14" t="n">
        <v>3664.5</v>
      </c>
      <c r="E58" s="14" t="n">
        <v>5054.5</v>
      </c>
      <c r="F58" s="14" t="n">
        <v>1390</v>
      </c>
      <c r="G58" s="14" t="n">
        <v>417</v>
      </c>
      <c r="H58" s="13" t="inlineStr">
        <is>
          <t>Car#55</t>
        </is>
      </c>
      <c r="I58" s="14">
        <f>E58-E57</f>
        <v/>
      </c>
      <c r="J58" s="14">
        <f>I58-58</f>
        <v/>
      </c>
      <c r="K58" s="14">
        <f>MAX(0,J58)</f>
        <v/>
      </c>
      <c r="L58" s="14">
        <f>MAX(0,-J58)</f>
        <v/>
      </c>
      <c r="M58" s="14">
        <f>M57+I58</f>
        <v/>
      </c>
      <c r="N58" s="14">
        <f>D58+F58-E58</f>
        <v/>
      </c>
      <c r="O58" s="13" t="inlineStr">
        <is>
          <t>能力超目标：四轮定位上、下</t>
        </is>
      </c>
      <c r="P58" s="13" t="inlineStr">
        <is>
          <t>ST1 引取(开:3664.5s 加:56.0s 等前:358.5s 等后:0.0s) | ST2 集约(开:3720.5s 加:111.0s 等前:0.0s 等后:0.0s) | ST3 空气悬挂+快充(开:3831.5s 加:108.5s 等前:0.0s 等后:0.0s) | ST4 四轮定位上、下(开:3940.0s 加:120.5s 等前:0.0s 等后:0.0s) | ST5 ADAS(开:4060.5s 加:107.0s 等前:0.0s 等后:0.0s) | ST6 ARHUD+慢充(开:4167.5s 加:51.5s 等前:0.0s 等后:58.5s) | ST7 转毂(开:4277.5s 加:114.5s 等前:0.0s 等后:0.0s) | ST8 制动(开:4392.0s 加:114.0s 等前:0.0s 等后:0.0s) | ST9 EG漏液/底盘漏液(开:4506.0s 加:112.5s 等前:0.0s 等后:0.0s) | ST10 全景/空调检查(开:4618.5s 加:0.0s 等前:0.0s 等后:0.0s) | ST11 气囊安装+绝缘(开:4618.5s 加:116.0s 等前:0.0s 等后:0.0s) | ST12 L2++(开:4734.5s 加:88.0s 等前:0.0s 等后:0.0s) | ST13 电检1(开:4822.5s 加:84.5s 等前:0.0s 等后:0.0s) | ST14 电检2(开:4907.0s 加:97.5s 等前:0.0s 等后:0.0s) | ST15 小跑道(开:5004.5s 加:50.0s 等前:0.0s 等后:0.0s)</t>
        </is>
      </c>
    </row>
    <row r="59">
      <c r="A59" s="15" t="n">
        <v>58</v>
      </c>
      <c r="B59" s="15" t="inlineStr">
        <is>
          <t>Car#57</t>
        </is>
      </c>
      <c r="C59" s="15" t="inlineStr">
        <is>
          <t>B</t>
        </is>
      </c>
      <c r="D59" s="16" t="n">
        <v>3599</v>
      </c>
      <c r="E59" s="16" t="n">
        <v>5107</v>
      </c>
      <c r="F59" s="16" t="n">
        <v>1508</v>
      </c>
      <c r="G59" s="16" t="n">
        <v>527.5</v>
      </c>
      <c r="H59" s="15" t="inlineStr">
        <is>
          <t>Car#58</t>
        </is>
      </c>
      <c r="I59" s="16">
        <f>E59-E58</f>
        <v/>
      </c>
      <c r="J59" s="16">
        <f>I59-58</f>
        <v/>
      </c>
      <c r="K59" s="16">
        <f>MAX(0,J59)</f>
        <v/>
      </c>
      <c r="L59" s="16">
        <f>MAX(0,-J59)</f>
        <v/>
      </c>
      <c r="M59" s="16">
        <f>M58+I59</f>
        <v/>
      </c>
      <c r="N59" s="16">
        <f>D59+F59-E59</f>
        <v/>
      </c>
      <c r="O59" s="15" t="inlineStr">
        <is>
          <t>能力超目标：四轮定位上、下</t>
        </is>
      </c>
      <c r="P59" s="15" t="inlineStr">
        <is>
          <t>ST1 引取(开:3599.0s 加:56.0s 等前:351.0s 等后:9.5s) | ST2 集约(开:3664.5s 加:111.0s 等前:0.0s 等后:26.5s) | ST3 空气悬挂+快充(开:3802.0s 加:108.5s 等前:0.0s 等后:35.0s) | ST4 四轮定位上、下(开:3945.5s 加:120.5s 等前:0.0s 等后:23.0s) | ST5 ADAS(开:4089.0s 加:107.0s 等前:0.0s 等后:7.5s) | ST6 ARHUD+慢充(开:4203.5s 加:51.5s 等前:0.0s 等后:64.5s) | ST7 转毂(开:4319.5s 加:114.5s 等前:0.0s 等后:0.0s) | ST8 制动(开:4434.0s 加:114.0s 等前:0.0s 等后:0.0s) | ST9 EG漏液/底盘漏液(开:4548.0s 加:112.5s 等前:0.0s 等后:0.0s) | ST10 全景/空调检查(开:4660.5s 加:0.0s 等前:0.0s 等后:0.0s) | ST11 气囊安装+绝缘(开:4660.5s 加:116.0s 等前:0.0s 等后:0.0s) | ST12 L2++(开:4776.5s 加:88.0s 等前:0.0s 等后:10.5s) | ST13 电检1(开:4875.0s 加:84.5s 等前:0.0s 等后:0.0s) | ST14 电检2(开:4959.5s 加:97.5s 等前:0.0s 等后:0.0s) | ST15 小跑道(开:5057.0s 加:50.0s 等前:0.0s 等后:0.0s)</t>
        </is>
      </c>
    </row>
    <row r="60">
      <c r="A60" s="13" t="n">
        <v>59</v>
      </c>
      <c r="B60" s="13" t="inlineStr">
        <is>
          <t>Car#60</t>
        </is>
      </c>
      <c r="C60" s="13" t="inlineStr">
        <is>
          <t>C</t>
        </is>
      </c>
      <c r="D60" s="14" t="n">
        <v>3802</v>
      </c>
      <c r="E60" s="14" t="n">
        <v>5225.5</v>
      </c>
      <c r="F60" s="14" t="n">
        <v>1423.5</v>
      </c>
      <c r="G60" s="14" t="n">
        <v>380</v>
      </c>
      <c r="H60" s="13" t="inlineStr">
        <is>
          <t>Car#57</t>
        </is>
      </c>
      <c r="I60" s="14">
        <f>E60-E59</f>
        <v/>
      </c>
      <c r="J60" s="14">
        <f>I60-58</f>
        <v/>
      </c>
      <c r="K60" s="14">
        <f>MAX(0,J60)</f>
        <v/>
      </c>
      <c r="L60" s="14">
        <f>MAX(0,-J60)</f>
        <v/>
      </c>
      <c r="M60" s="14">
        <f>M59+I60</f>
        <v/>
      </c>
      <c r="N60" s="14">
        <f>D60+F60-E60</f>
        <v/>
      </c>
      <c r="O60" s="13" t="inlineStr">
        <is>
          <t>能力超目标：四轮定位上、下、ARHUD+慢充</t>
        </is>
      </c>
      <c r="P60" s="13" t="inlineStr">
        <is>
          <t>ST1 引取(开:3802.0s 加:56.0s 等前:380.0s 等后:0.0s) | ST2 集约(开:3858.0s 加:111.0s 等前:0.0s 等后:0.0s) | ST3 空气悬挂+快充(开:3969.0s 加:108.5s 等前:0.0s 等后:0.0s) | ST4 四轮定位上、下(开:4077.5s 加:120.5s 等前:0.0s 等后:0.0s) | ST5 ADAS(开:4198.0s 加:107.0s 等前:0.0s 等后:0.0s) | ST6 ARHUD+慢充(开:4305.0s 加:143.5s 等前:0.0s 等后:0.0s) | ST7 转毂(开:4448.5s 加:114.5s 等前:0.0s 等后:0.0s) | ST8 制动(开:4563.0s 加:114.0s 等前:0.0s 等后:0.0s) | ST9 EG漏液/底盘漏液(开:4677.0s 加:112.5s 等前:0.0s 等后:0.0s) | ST10 全景/空调检查(开:4789.5s 加:0.0s 等前:0.0s 等后:0.0s) | ST11 气囊安装+绝缘(开:4789.5s 加:116.0s 等前:0.0s 等后:0.0s) | ST12 L2++(开:4905.5s 加:88.0s 等前:0.0s 等后:0.0s) | ST13 电检1(开:4993.5s 加:84.5s 等前:0.0s 等后:0.0s) | ST14 电检2(开:5078.0s 加:97.5s 等前:0.0s 等后:0.0s) | ST15 小跑道(开:5175.5s 加:50.0s 等前:0.0s 等后:0.0s)</t>
        </is>
      </c>
    </row>
    <row r="61">
      <c r="A61" s="15" t="n">
        <v>60</v>
      </c>
      <c r="B61" s="15" t="inlineStr">
        <is>
          <t>Car#59</t>
        </is>
      </c>
      <c r="C61" s="15" t="inlineStr">
        <is>
          <t>C</t>
        </is>
      </c>
      <c r="D61" s="16" t="n">
        <v>3720.5</v>
      </c>
      <c r="E61" s="16" t="n">
        <v>5275.5</v>
      </c>
      <c r="F61" s="16" t="n">
        <v>1555</v>
      </c>
      <c r="G61" s="16" t="n">
        <v>488</v>
      </c>
      <c r="H61" s="15" t="inlineStr">
        <is>
          <t>Car#60</t>
        </is>
      </c>
      <c r="I61" s="16">
        <f>E61-E60</f>
        <v/>
      </c>
      <c r="J61" s="16">
        <f>I61-58</f>
        <v/>
      </c>
      <c r="K61" s="16">
        <f>MAX(0,J61)</f>
        <v/>
      </c>
      <c r="L61" s="16">
        <f>MAX(0,-J61)</f>
        <v/>
      </c>
      <c r="M61" s="16">
        <f>M60+I61</f>
        <v/>
      </c>
      <c r="N61" s="16">
        <f>D61+F61-E61</f>
        <v/>
      </c>
      <c r="O61" s="15" t="inlineStr">
        <is>
          <t>能力超目标：四轮定位上、下、ARHUD+慢充</t>
        </is>
      </c>
      <c r="P61" s="15" t="inlineStr">
        <is>
          <t>ST1 引取(开:3720.5s 加:56.0s 等前:356.5s 等后:25.5s) | ST2 集约(开:3802.0s 加:111.0s 等前:0.0s 等后:32.5s) | ST3 空气悬挂+快充(开:3945.5s 加:108.5s 等前:0.0s 等后:35.0s) | ST4 四轮定位上、下(开:4089.0s 加:120.5s 等前:0.0s 等后:0.0s) | ST5 ADAS(开:4209.5s 加:107.0s 等前:0.0s 等后:3.0s) | ST6 ARHUD+慢充(开:4319.5s 加:143.5s 等前:0.0s 等后:0.0s) | ST7 转毂(开:4463.0s 加:114.5s 等前:0.0s 等后:0.0s) | ST8 制动(开:4577.5s 加:114.0s 等前:0.0s 等后:0.0s) | ST9 EG漏液/底盘漏液(开:4691.5s 加:112.5s 等前:0.0s 等后:0.0s) | ST10 全景/空调检查(开:4804.0s 加:0.0s 等前:0.0s 等后:0.0s) | ST11 气囊安装+绝缘(开:4804.0s 加:116.0s 等前:0.0s 等后:0.0s) | ST12 L2++(开:4920.0s 加:88.0s 等前:0.0s 等后:0.0s) | ST13 电检1(开:5008.0s 加:84.5s 等前:0.0s 等后:0.0s) | ST14 电检2(开:5092.5s 加:97.5s 等前:0.0s 等后:35.5s) | ST15 小跑道(开:5225.5s 加:50.0s 等前:0.0s 等后:0.0s)</t>
        </is>
      </c>
    </row>
    <row r="62">
      <c r="A62" s="13" t="n">
        <v>61</v>
      </c>
      <c r="B62" s="13" t="inlineStr">
        <is>
          <t>Car#62</t>
        </is>
      </c>
      <c r="C62" s="13" t="inlineStr">
        <is>
          <t>C</t>
        </is>
      </c>
      <c r="D62" s="14" t="n">
        <v>3945.5</v>
      </c>
      <c r="E62" s="14" t="n">
        <v>5369</v>
      </c>
      <c r="F62" s="14" t="n">
        <v>1423.5</v>
      </c>
      <c r="G62" s="14" t="n">
        <v>407.5</v>
      </c>
      <c r="H62" s="13" t="inlineStr">
        <is>
          <t>Car#59</t>
        </is>
      </c>
      <c r="I62" s="14">
        <f>E62-E61</f>
        <v/>
      </c>
      <c r="J62" s="14">
        <f>I62-58</f>
        <v/>
      </c>
      <c r="K62" s="14">
        <f>MAX(0,J62)</f>
        <v/>
      </c>
      <c r="L62" s="14">
        <f>MAX(0,-J62)</f>
        <v/>
      </c>
      <c r="M62" s="14">
        <f>M61+I62</f>
        <v/>
      </c>
      <c r="N62" s="14">
        <f>D62+F62-E62</f>
        <v/>
      </c>
      <c r="O62" s="13" t="inlineStr">
        <is>
          <t>能力超目标：四轮定位上、下、ARHUD+慢充</t>
        </is>
      </c>
      <c r="P62" s="13" t="inlineStr">
        <is>
          <t>ST1 引取(开:3945.5s 加:56.0s 等前:407.5s 等后:0.0s) | ST2 集约(开:4001.5s 加:111.0s 等前:0.0s 等后:0.0s) | ST3 空气悬挂+快充(开:4112.5s 加:108.5s 等前:0.0s 等后:0.0s) | ST4 四轮定位上、下(开:4221.0s 加:120.5s 等前:0.0s 等后:0.0s) | ST5 ADAS(开:4341.5s 加:107.0s 等前:0.0s 等后:0.0s) | ST6 ARHUD+慢充(开:4448.5s 加:143.5s 等前:0.0s 等后:0.0s) | ST7 转毂(开:4592.0s 加:114.5s 等前:0.0s 等后:0.0s) | ST8 制动(开:4706.5s 加:114.0s 等前:0.0s 等后:0.0s) | ST9 EG漏液/底盘漏液(开:4820.5s 加:112.5s 等前:0.0s 等后:0.0s) | ST10 全景/空调检查(开:4933.0s 加:0.0s 等前:0.0s 等后:0.0s) | ST11 气囊安装+绝缘(开:4933.0s 加:116.0s 等前:0.0s 等后:0.0s) | ST12 L2++(开:5049.0s 加:88.0s 等前:0.0s 等后:0.0s) | ST13 电检1(开:5137.0s 加:84.5s 等前:0.0s 等后:0.0s) | ST14 电检2(开:5221.5s 加:97.5s 等前:0.0s 等后:0.0s) | ST15 小跑道(开:5319.0s 加:50.0s 等前:0.0s 等后:0.0s)</t>
        </is>
      </c>
    </row>
    <row r="63">
      <c r="A63" s="15" t="n">
        <v>62</v>
      </c>
      <c r="B63" s="15" t="inlineStr">
        <is>
          <t>Car#61</t>
        </is>
      </c>
      <c r="C63" s="15" t="inlineStr">
        <is>
          <t>C</t>
        </is>
      </c>
      <c r="D63" s="16" t="n">
        <v>3858</v>
      </c>
      <c r="E63" s="16" t="n">
        <v>5419</v>
      </c>
      <c r="F63" s="16" t="n">
        <v>1561</v>
      </c>
      <c r="G63" s="16" t="n">
        <v>515.5</v>
      </c>
      <c r="H63" s="15" t="inlineStr">
        <is>
          <t>Car#62</t>
        </is>
      </c>
      <c r="I63" s="16">
        <f>E63-E62</f>
        <v/>
      </c>
      <c r="J63" s="16">
        <f>I63-58</f>
        <v/>
      </c>
      <c r="K63" s="16">
        <f>MAX(0,J63)</f>
        <v/>
      </c>
      <c r="L63" s="16">
        <f>MAX(0,-J63)</f>
        <v/>
      </c>
      <c r="M63" s="16">
        <f>M62+I63</f>
        <v/>
      </c>
      <c r="N63" s="16">
        <f>D63+F63-E63</f>
        <v/>
      </c>
      <c r="O63" s="15" t="inlineStr">
        <is>
          <t>能力超目标：四轮定位上、下、ARHUD+慢充</t>
        </is>
      </c>
      <c r="P63" s="15" t="inlineStr">
        <is>
          <t>ST1 引取(开:3858.0s 加:56.0s 等前:378.0s 等后:31.5s) | ST2 集约(开:3945.5s 加:111.0s 等前:0.0s 等后:32.5s) | ST3 空气悬挂+快充(开:4089.0s 加:108.5s 等前:0.0s 等后:12.0s) | ST4 四轮定位上、下(开:4209.5s 加:120.5s 等前:0.0s 等后:0.0s) | ST5 ADAS(开:4330.0s 加:107.0s 等前:0.0s 等后:26.0s) | ST6 ARHUD+慢充(开:4463.0s 加:143.5s 等前:0.0s 等后:0.0s) | ST7 转毂(开:4606.5s 加:114.5s 等前:0.0s 等后:0.0s) | ST8 制动(开:4721.0s 加:114.0s 等前:0.0s 等后:0.0s) | ST9 EG漏液/底盘漏液(开:4835.0s 加:112.5s 等前:0.0s 等后:0.0s) | ST10 全景/空调检查(开:4947.5s 加:0.0s 等前:0.0s 等后:0.0s) | ST11 气囊安装+绝缘(开:4947.5s 加:116.0s 等前:0.0s 等后:0.0s) | ST12 L2++(开:5063.5s 加:88.0s 等前:0.0s 等后:0.0s) | ST13 电检1(开:5151.5s 加:84.5s 等前:0.0s 等后:0.0s) | ST14 电检2(开:5236.0s 加:97.5s 等前:0.0s 等后:35.5s) | ST15 小跑道(开:5369.0s 加:50.0s 等前:0.0s 等后:0.0s)</t>
        </is>
      </c>
    </row>
    <row r="64">
      <c r="A64" s="13" t="n">
        <v>63</v>
      </c>
      <c r="B64" s="13" t="inlineStr">
        <is>
          <t>Car#63</t>
        </is>
      </c>
      <c r="C64" s="13" t="inlineStr">
        <is>
          <t>A</t>
        </is>
      </c>
      <c r="D64" s="14" t="n">
        <v>4001.5</v>
      </c>
      <c r="E64" s="14" t="n">
        <v>5470</v>
      </c>
      <c r="F64" s="14" t="n">
        <v>1468.5</v>
      </c>
      <c r="G64" s="14" t="n">
        <v>1013</v>
      </c>
      <c r="H64" s="13" t="inlineStr">
        <is>
          <t>Car#61</t>
        </is>
      </c>
      <c r="I64" s="14">
        <f>E64-E63</f>
        <v/>
      </c>
      <c r="J64" s="14">
        <f>I64-58</f>
        <v/>
      </c>
      <c r="K64" s="14">
        <f>MAX(0,J64)</f>
        <v/>
      </c>
      <c r="L64" s="14">
        <f>MAX(0,-J64)</f>
        <v/>
      </c>
      <c r="M64" s="14">
        <f>M63+I64</f>
        <v/>
      </c>
      <c r="N64" s="14">
        <f>D64+F64-E64</f>
        <v/>
      </c>
      <c r="O64" s="13" t="inlineStr">
        <is>
          <t>能力满足</t>
        </is>
      </c>
      <c r="P64" s="13" t="inlineStr">
        <is>
          <t>ST1 引取(开:4001.5s 加:55.0s 等前:405.5s 等后:32.5s) | ST2 集约(开:4089.0s 加:106.0s 等前:0.0s 等后:14.5s) | ST3 空气悬挂+快充(开:4209.5s 加:0.0s 等前:0.0s 等后:120.5s) | ST4 四轮定位上、下(开:4330.0s 加:115.0s 等前:0.0s 等后:18.0s) | ST5 ADAS(开:4463.0s 加:97.0s 等前:0.0s 等后:46.5s) | ST6 ARHUD+慢充(开:4606.5s 加:0.0s 等前:0.0s 等后:114.5s) | ST7 转毂(开:4721.0s 加:116.0s 等前:0.0s 等后:0.0s) | ST8 制动(开:4837.0s 加:108.0s 等前:0.0s 等后:2.5s) | ST9 EG漏液/底盘漏液(开:4947.5s 加:115.0s 等前:0.0s 等后:0.0s) | ST10 全景/空调检查(开:5062.5s 加:98.0s 等前:0.0s 等后:0.0s) | ST11 气囊安装+绝缘(开:5160.5s 加:0.0s 等前:0.0s 等后:0.0s) | ST12 L2++(开:5160.5s 加:0.0s 等前:0.0s 等后:75.5s) | ST13 电检1(开:5236.0s 加:0.0s 等前:0.0s 等后:133.0s) | ST14 电检2(开:5369.0s 加:0.0s 等前:0.0s 等后:50.0s) | ST15 小跑道(开:5419.0s 加:51.0s 等前:0.0s 等后:0.0s)</t>
        </is>
      </c>
    </row>
    <row r="65">
      <c r="A65" s="15" t="n">
        <v>64</v>
      </c>
      <c r="B65" s="15" t="inlineStr">
        <is>
          <t>Car#64</t>
        </is>
      </c>
      <c r="C65" s="15" t="inlineStr">
        <is>
          <t>B</t>
        </is>
      </c>
      <c r="D65" s="16" t="n">
        <v>4089</v>
      </c>
      <c r="E65" s="16" t="n">
        <v>5520</v>
      </c>
      <c r="F65" s="16" t="n">
        <v>1431</v>
      </c>
      <c r="G65" s="16" t="n">
        <v>534.5</v>
      </c>
      <c r="H65" s="15" t="inlineStr">
        <is>
          <t>Car#63</t>
        </is>
      </c>
      <c r="I65" s="16">
        <f>E65-E64</f>
        <v/>
      </c>
      <c r="J65" s="16">
        <f>I65-58</f>
        <v/>
      </c>
      <c r="K65" s="16">
        <f>MAX(0,J65)</f>
        <v/>
      </c>
      <c r="L65" s="16">
        <f>MAX(0,-J65)</f>
        <v/>
      </c>
      <c r="M65" s="16">
        <f>M64+I65</f>
        <v/>
      </c>
      <c r="N65" s="16">
        <f>D65+F65-E65</f>
        <v/>
      </c>
      <c r="O65" s="15" t="inlineStr">
        <is>
          <t>能力超目标：四轮定位上、下</t>
        </is>
      </c>
      <c r="P65" s="15" t="inlineStr">
        <is>
          <t>ST1 引取(开:4089.0s 加:56.0s 等前:435.0s 等后:0.0s) | ST2 集约(开:4145.0s 加:111.0s 等前:0.0s 等后:0.0s) | ST3 空气悬挂+快充(开:4256.0s 加:108.5s 等前:0.0s 等后:0.0s) | ST4 四轮定位上、下(开:4364.5s 加:120.5s 等前:0.0s 等后:0.0s) | ST5 ADAS(开:4485.0s 加:107.0s 等前:0.0s 等后:0.0s) | ST6 ARHUD+慢充(开:4592.0s 加:51.5s 等前:0.0s 等后:63.0s) | ST7 转毂(开:4706.5s 加:114.5s 等前:0.0s 等后:0.0s) | ST8 制动(开:4821.0s 加:114.0s 等前:0.0s 等后:0.0s) | ST9 EG漏液/底盘漏液(开:4935.0s 加:112.5s 等前:0.0s 等后:0.0s) | ST10 全景/空调检查(开:5047.5s 加:0.0s 等前:0.0s 等后:1.5s) | ST11 气囊安装+绝缘(开:5049.0s 加:116.0s 等前:0.0s 等后:0.0s) | ST12 L2++(开:5165.0s 加:88.0s 等前:0.0s 等后:0.0s) | ST13 电检1(开:5253.0s 加:84.5s 等前:0.0s 等后:0.0s) | ST14 电检2(开:5337.5s 加:97.5s 等前:0.0s 等后:35.0s) | ST15 小跑道(开:5470.0s 加:50.0s 等前:0.0s 等后:0.0s)</t>
        </is>
      </c>
    </row>
    <row r="66">
      <c r="A66" s="13" t="n">
        <v>65</v>
      </c>
      <c r="B66" s="13" t="inlineStr">
        <is>
          <t>Car#65</t>
        </is>
      </c>
      <c r="C66" s="13" t="inlineStr">
        <is>
          <t>B</t>
        </is>
      </c>
      <c r="D66" s="14" t="n">
        <v>4145</v>
      </c>
      <c r="E66" s="14" t="n">
        <v>5614</v>
      </c>
      <c r="F66" s="14" t="n">
        <v>1469</v>
      </c>
      <c r="G66" s="14" t="n">
        <v>570.5</v>
      </c>
      <c r="H66" s="13" t="inlineStr">
        <is>
          <t>Car#64</t>
        </is>
      </c>
      <c r="I66" s="14">
        <f>E66-E65</f>
        <v/>
      </c>
      <c r="J66" s="14">
        <f>I66-58</f>
        <v/>
      </c>
      <c r="K66" s="14">
        <f>MAX(0,J66)</f>
        <v/>
      </c>
      <c r="L66" s="14">
        <f>MAX(0,-J66)</f>
        <v/>
      </c>
      <c r="M66" s="14">
        <f>M65+I66</f>
        <v/>
      </c>
      <c r="N66" s="14">
        <f>D66+F66-E66</f>
        <v/>
      </c>
      <c r="O66" s="13" t="inlineStr">
        <is>
          <t>能力超目标：四轮定位上、下</t>
        </is>
      </c>
      <c r="P66" s="13" t="inlineStr">
        <is>
          <t>ST1 引取(开:4145.0s 加:56.0s 等前:433.0s 等后:8.5s) | ST2 集约(开:4209.5s 加:111.0s 等前:0.0s 等后:9.5s) | ST3 空气悬挂+快充(开:4330.0s 加:108.5s 等前:0.0s 等后:24.5s) | ST4 四轮定位上、下(开:4463.0s 加:120.5s 等前:0.0s 等后:23.0s) | ST5 ADAS(开:4606.5s 加:107.0s 等前:0.0s 等后:7.5s) | ST6 ARHUD+慢充(开:4721.0s 加:51.5s 等前:0.0s 等后:64.5s) | ST7 转毂(开:4837.0s 加:114.5s 等前:0.0s 等后:0.0s) | ST8 制动(开:4951.5s 加:114.0s 等前:0.0s 等后:0.0s) | ST9 EG漏液/底盘漏液(开:5065.5s 加:112.5s 等前:0.0s 等后:0.0s) | ST10 全景/空调检查(开:5178.0s 加:0.0s 等前:0.0s 等后:0.0s) | ST11 气囊安装+绝缘(开:5178.0s 加:116.0s 等前:0.0s 等后:0.0s) | ST12 L2++(开:5294.0s 加:88.0s 等前:0.0s 等后:0.0s) | ST13 电检1(开:5382.0s 加:84.5s 等前:0.0s 等后:0.0s) | ST14 电检2(开:5466.5s 加:97.5s 等前:0.0s 等后:0.0s) | ST15 小跑道(开:5564.0s 加:50.0s 等前:0.0s 等后:0.0s)</t>
        </is>
      </c>
    </row>
    <row r="67">
      <c r="A67" s="15" t="n">
        <v>66</v>
      </c>
      <c r="B67" s="15" t="inlineStr">
        <is>
          <t>Car#67</t>
        </is>
      </c>
      <c r="C67" s="15" t="inlineStr">
        <is>
          <t>A</t>
        </is>
      </c>
      <c r="D67" s="16" t="n">
        <v>4265.5</v>
      </c>
      <c r="E67" s="16" t="n">
        <v>5665</v>
      </c>
      <c r="F67" s="16" t="n">
        <v>1399.5</v>
      </c>
      <c r="G67" s="16" t="n">
        <v>976</v>
      </c>
      <c r="H67" s="15" t="inlineStr">
        <is>
          <t>Car#65</t>
        </is>
      </c>
      <c r="I67" s="16">
        <f>E67-E66</f>
        <v/>
      </c>
      <c r="J67" s="16">
        <f>I67-58</f>
        <v/>
      </c>
      <c r="K67" s="16">
        <f>MAX(0,J67)</f>
        <v/>
      </c>
      <c r="L67" s="16">
        <f>MAX(0,-J67)</f>
        <v/>
      </c>
      <c r="M67" s="16">
        <f>M66+I67</f>
        <v/>
      </c>
      <c r="N67" s="16">
        <f>D67+F67-E67</f>
        <v/>
      </c>
      <c r="O67" s="15" t="inlineStr">
        <is>
          <t>能力满足</t>
        </is>
      </c>
      <c r="P67" s="15" t="inlineStr">
        <is>
          <t>ST1 引取(开:4265.5s 加:55.0s 等前:437.5s 等后:9.5s) | ST2 集约(开:4330.0s 加:106.0s 等前:0.0s 等后:27.0s) | ST3 空气悬挂+快充(开:4463.0s 加:0.0s 等前:0.0s 等后:143.5s) | ST4 四轮定位上、下(开:4606.5s 加:115.0s 等前:0.0s 等后:0.0s) | ST5 ADAS(开:4721.5s 加:97.0s 等前:0.0s 等后:18.5s) | ST6 ARHUD+慢充(开:4837.0s 加:0.0s 等前:0.0s 等后:114.5s) | ST7 转毂(开:4951.5s 加:116.0s 等前:0.0s 等后:0.0s) | ST8 制动(开:5067.5s 加:108.0s 等前:0.0s 等后:2.5s) | ST9 EG漏液/底盘漏液(开:5178.0s 加:115.0s 等前:0.0s 等后:0.0s) | ST10 全景/空调检查(开:5293.0s 加:98.0s 等前:0.0s 等后:0.0s) | ST11 气囊安装+绝缘(开:5391.0s 加:0.0s 等前:0.0s 等后:0.0s) | ST12 L2++(开:5391.0s 加:0.0s 等前:0.0s 等后:75.5s) | ST13 电检1(开:5466.5s 加:0.0s 等前:0.0s 等后:97.5s) | ST14 电检2(开:5564.0s 加:0.0s 等前:0.0s 等后:50.0s) | ST15 小跑道(开:5614.0s 加:51.0s 等前:0.0s 等后:0.0s)</t>
        </is>
      </c>
    </row>
    <row r="68">
      <c r="A68" s="13" t="n">
        <v>67</v>
      </c>
      <c r="B68" s="13" t="inlineStr">
        <is>
          <t>Car#66</t>
        </is>
      </c>
      <c r="C68" s="13" t="inlineStr">
        <is>
          <t>B</t>
        </is>
      </c>
      <c r="D68" s="14" t="n">
        <v>4209.5</v>
      </c>
      <c r="E68" s="14" t="n">
        <v>5715</v>
      </c>
      <c r="F68" s="14" t="n">
        <v>1505.5</v>
      </c>
      <c r="G68" s="14" t="n">
        <v>613.5</v>
      </c>
      <c r="H68" s="13" t="inlineStr">
        <is>
          <t>Car#67</t>
        </is>
      </c>
      <c r="I68" s="14">
        <f>E68-E67</f>
        <v/>
      </c>
      <c r="J68" s="14">
        <f>I68-58</f>
        <v/>
      </c>
      <c r="K68" s="14">
        <f>MAX(0,J68)</f>
        <v/>
      </c>
      <c r="L68" s="14">
        <f>MAX(0,-J68)</f>
        <v/>
      </c>
      <c r="M68" s="14">
        <f>M67+I68</f>
        <v/>
      </c>
      <c r="N68" s="14">
        <f>D68+F68-E68</f>
        <v/>
      </c>
      <c r="O68" s="13" t="inlineStr">
        <is>
          <t>能力超目标：四轮定位上、下</t>
        </is>
      </c>
      <c r="P68" s="13" t="inlineStr">
        <is>
          <t>ST1 引取(开:4209.5s 加:56.0s 等前:439.5s 等后:0.0s) | ST2 集约(开:4265.5s 加:111.0s 等前:0.0s 等后:0.0s) | ST3 空气悬挂+快充(开:4376.5s 加:108.5s 等前:0.0s 等后:0.0s) | ST4 四轮定位上、下(开:4485.0s 加:120.5s 等前:0.0s 等后:0.0s) | ST5 ADAS(开:4605.5s 加:107.0s 等前:0.0s 等后:0.0s) | ST6 ARHUD+慢充(开:4712.5s 加:51.5s 等前:0.0s 等后:57.0s) | ST7 转毂(开:4821.0s 加:114.5s 等前:0.0s 等后:0.0s) | ST8 制动(开:4935.5s 加:114.0s 等前:0.0s 等后:0.0s) | ST9 EG漏液/底盘漏液(开:5049.5s 加:112.5s 等前:0.0s 等后:0.0s) | ST10 全景/空调检查(开:5162.0s 加:0.0s 等前:0.0s 等后:3.0s) | ST11 气囊安装+绝缘(开:5165.0s 加:116.0s 等前:0.0s 等后:0.0s) | ST12 L2++(开:5281.0s 加:88.0s 等前:0.0s 等后:0.0s) | ST13 电检1(开:5369.0s 加:84.5s 等前:0.0s 等后:16.5s) | ST14 电检2(开:5470.0s 加:97.5s 等前:0.0s 等后:97.5s) | ST15 小跑道(开:5665.0s 加:50.0s 等前:0.0s 等后:0.0s)</t>
        </is>
      </c>
    </row>
    <row r="69">
      <c r="A69" s="15" t="n">
        <v>68</v>
      </c>
      <c r="B69" s="15" t="inlineStr">
        <is>
          <t>Car#68</t>
        </is>
      </c>
      <c r="C69" s="15" t="inlineStr">
        <is>
          <t>C</t>
        </is>
      </c>
      <c r="D69" s="16" t="n">
        <v>4330</v>
      </c>
      <c r="E69" s="16" t="n">
        <v>5812.5</v>
      </c>
      <c r="F69" s="16" t="n">
        <v>1482.5</v>
      </c>
      <c r="G69" s="16" t="n">
        <v>503</v>
      </c>
      <c r="H69" s="15" t="inlineStr">
        <is>
          <t>Car#66</t>
        </is>
      </c>
      <c r="I69" s="16">
        <f>E69-E68</f>
        <v/>
      </c>
      <c r="J69" s="16">
        <f>I69-58</f>
        <v/>
      </c>
      <c r="K69" s="16">
        <f>MAX(0,J69)</f>
        <v/>
      </c>
      <c r="L69" s="16">
        <f>MAX(0,-J69)</f>
        <v/>
      </c>
      <c r="M69" s="16">
        <f>M68+I69</f>
        <v/>
      </c>
      <c r="N69" s="16">
        <f>D69+F69-E69</f>
        <v/>
      </c>
      <c r="O69" s="15" t="inlineStr">
        <is>
          <t>能力超目标：四轮定位上、下、ARHUD+慢充</t>
        </is>
      </c>
      <c r="P69" s="15" t="inlineStr">
        <is>
          <t>ST1 引取(开:4330.0s 加:56.0s 等前:444.0s 等后:0.0s) | ST2 集约(开:4386.0s 加:111.0s 等前:0.0s 等后:0.0s) | ST3 空气悬挂+快充(开:4497.0s 加:108.5s 等前:0.0s 等后:0.0s) | ST4 四轮定位上、下(开:4605.5s 加:120.5s 等前:0.0s 等后:0.0s) | ST5 ADAS(开:4726.0s 加:107.0s 等前:0.0s 等后:0.0s) | ST6 ARHUD+慢充(开:4833.0s 加:143.5s 等前:0.0s 等后:0.0s) | ST7 转毂(开:4976.5s 加:114.5s 等前:0.0s 等后:0.0s) | ST8 制动(开:5091.0s 加:114.0s 等前:0.0s 等后:0.0s) | ST9 EG漏液/底盘漏液(开:5205.0s 加:112.5s 等前:0.0s 等后:0.0s) | ST10 全景/空调检查(开:5317.5s 加:0.0s 等前:0.0s 等后:0.0s) | ST11 气囊安装+绝缘(开:5317.5s 加:116.0s 等前:0.0s 等后:0.0s) | ST12 L2++(开:5433.5s 加:88.0s 等前:0.0s 等后:0.0s) | ST13 电检1(开:5521.5s 加:84.5s 等前:0.0s 等后:59.0s) | ST14 电检2(开:5665.0s 加:97.5s 等前:0.0s 等后:0.0s) | ST15 小跑道(开:5762.5s 加:50.0s 等前:0.0s 等后:0.0s)</t>
        </is>
      </c>
    </row>
    <row r="70">
      <c r="A70" s="13" t="n">
        <v>69</v>
      </c>
      <c r="B70" s="13" t="inlineStr">
        <is>
          <t>Car#69</t>
        </is>
      </c>
      <c r="C70" s="13" t="inlineStr">
        <is>
          <t>C</t>
        </is>
      </c>
      <c r="D70" s="14" t="n">
        <v>4386</v>
      </c>
      <c r="E70" s="14" t="n">
        <v>5872</v>
      </c>
      <c r="F70" s="14" t="n">
        <v>1486</v>
      </c>
      <c r="G70" s="14" t="n">
        <v>504.5</v>
      </c>
      <c r="H70" s="13" t="inlineStr">
        <is>
          <t>Car#68</t>
        </is>
      </c>
      <c r="I70" s="14">
        <f>E70-E69</f>
        <v/>
      </c>
      <c r="J70" s="14">
        <f>I70-58</f>
        <v/>
      </c>
      <c r="K70" s="14">
        <f>MAX(0,J70)</f>
        <v/>
      </c>
      <c r="L70" s="14">
        <f>MAX(0,-J70)</f>
        <v/>
      </c>
      <c r="M70" s="14">
        <f>M69+I70</f>
        <v/>
      </c>
      <c r="N70" s="14">
        <f>D70+F70-E70</f>
        <v/>
      </c>
      <c r="O70" s="13" t="inlineStr">
        <is>
          <t>能力超目标：四轮定位上、下、ARHUD+慢充</t>
        </is>
      </c>
      <c r="P70" s="13" t="inlineStr">
        <is>
          <t>ST1 引取(开:4386.0s 加:56.0s 等前:442.0s 等后:21.0s) | ST2 集约(开:4463.0s 加:111.0s 等前:0.0s 等后:32.5s) | ST3 空气悬挂+快充(开:4606.5s 加:108.5s 等前:0.0s 等后:6.5s) | ST4 四轮定位上、下(开:4721.5s 加:120.5s 等前:0.0s 等后:0.0s) | ST5 ADAS(开:4842.0s 加:107.0s 等前:0.0s 等后:2.5s) | ST6 ARHUD+慢充(开:4951.5s 加:143.5s 等前:0.0s 等后:0.0s) | ST7 转毂(开:5095.0s 加:114.5s 等前:0.0s 等后:0.0s) | ST8 制动(开:5209.5s 加:114.0s 等前:0.0s 等后:0.0s) | ST9 EG漏液/底盘漏液(开:5323.5s 加:112.5s 等前:0.0s 等后:0.0s) | ST10 全景/空调检查(开:5436.0s 加:0.0s 等前:0.0s 等后:0.0s) | ST11 气囊安装+绝缘(开:5436.0s 加:116.0s 等前:0.0s 等后:0.0s) | ST12 L2++(开:5552.0s 加:88.0s 等前:0.0s 等后:0.0s) | ST13 电检1(开:5640.0s 加:84.5s 等前:0.0s 等后:0.0s) | ST14 电检2(开:5724.5s 加:97.5s 等前:0.0s 等后:0.0s) | ST15 小跑道(开:5822.0s 加:50.0s 等前:0.0s 等后:0.0s)</t>
        </is>
      </c>
    </row>
    <row r="71">
      <c r="A71" s="15" t="n">
        <v>70</v>
      </c>
      <c r="B71" s="15" t="inlineStr">
        <is>
          <t>Car#71</t>
        </is>
      </c>
      <c r="C71" s="15" t="inlineStr">
        <is>
          <t>A</t>
        </is>
      </c>
      <c r="D71" s="16" t="n">
        <v>4519</v>
      </c>
      <c r="E71" s="16" t="n">
        <v>5923</v>
      </c>
      <c r="F71" s="16" t="n">
        <v>1404</v>
      </c>
      <c r="G71" s="16" t="n">
        <v>1002</v>
      </c>
      <c r="H71" s="15" t="inlineStr">
        <is>
          <t>Car#69</t>
        </is>
      </c>
      <c r="I71" s="16">
        <f>E71-E70</f>
        <v/>
      </c>
      <c r="J71" s="16">
        <f>I71-58</f>
        <v/>
      </c>
      <c r="K71" s="16">
        <f>MAX(0,J71)</f>
        <v/>
      </c>
      <c r="L71" s="16">
        <f>MAX(0,-J71)</f>
        <v/>
      </c>
      <c r="M71" s="16">
        <f>M70+I71</f>
        <v/>
      </c>
      <c r="N71" s="16">
        <f>D71+F71-E71</f>
        <v/>
      </c>
      <c r="O71" s="15" t="inlineStr">
        <is>
          <t>能力满足</t>
        </is>
      </c>
      <c r="P71" s="15" t="inlineStr">
        <is>
          <t>ST1 引取(开:4519.0s 加:55.0s 等前:459.0s 等后:32.5s) | ST2 集约(开:4606.5s 加:106.0s 等前:0.0s 等后:9.0s) | ST3 空气悬挂+快充(开:4721.5s 加:0.0s 等前:0.0s 等后:120.5s) | ST4 四轮定位上、下(开:4842.0s 加:115.0s 等前:0.0s 等后:0.0s) | ST5 ADAS(开:4957.0s 加:97.0s 等前:0.0s 等后:41.0s) | ST6 ARHUD+慢充(开:5095.0s 加:0.0s 等前:0.0s 等后:114.5s) | ST7 转毂(开:5209.5s 加:116.0s 等前:0.0s 等后:0.0s) | ST8 制动(开:5325.5s 加:108.0s 等前:0.0s 等后:2.5s) | ST9 EG漏液/底盘漏液(开:5436.0s 加:115.0s 等前:0.0s 等后:0.0s) | ST10 全景/空调检查(开:5551.0s 加:98.0s 等前:0.0s 等后:0.0s) | ST11 气囊安装+绝缘(开:5649.0s 加:0.0s 等前:0.0s 等后:0.0s) | ST12 L2++(开:5649.0s 加:0.0s 等前:0.0s 等后:75.5s) | ST13 电检1(开:5724.5s 加:0.0s 等前:0.0s 等后:97.5s) | ST14 电检2(开:5822.0s 加:0.0s 等前:0.0s 等后:50.0s) | ST15 小跑道(开:5872.0s 加:51.0s 等前:0.0s 等后:0.0s)</t>
        </is>
      </c>
    </row>
    <row r="72">
      <c r="A72" s="13" t="n">
        <v>71</v>
      </c>
      <c r="B72" s="13" t="inlineStr">
        <is>
          <t>Car#70</t>
        </is>
      </c>
      <c r="C72" s="13" t="inlineStr">
        <is>
          <t>C</t>
        </is>
      </c>
      <c r="D72" s="14" t="n">
        <v>4463</v>
      </c>
      <c r="E72" s="14" t="n">
        <v>5973</v>
      </c>
      <c r="F72" s="14" t="n">
        <v>1510</v>
      </c>
      <c r="G72" s="14" t="n">
        <v>547.5</v>
      </c>
      <c r="H72" s="13" t="inlineStr">
        <is>
          <t>Car#71</t>
        </is>
      </c>
      <c r="I72" s="14">
        <f>E72-E71</f>
        <v/>
      </c>
      <c r="J72" s="14">
        <f>I72-58</f>
        <v/>
      </c>
      <c r="K72" s="14">
        <f>MAX(0,J72)</f>
        <v/>
      </c>
      <c r="L72" s="14">
        <f>MAX(0,-J72)</f>
        <v/>
      </c>
      <c r="M72" s="14">
        <f>M71+I72</f>
        <v/>
      </c>
      <c r="N72" s="14">
        <f>D72+F72-E72</f>
        <v/>
      </c>
      <c r="O72" s="13" t="inlineStr">
        <is>
          <t>能力超目标：四轮定位上、下、ARHUD+慢充</t>
        </is>
      </c>
      <c r="P72" s="13" t="inlineStr">
        <is>
          <t>ST1 引取(开:4463.0s 加:56.0s 等前:461.0s 等后:0.0s) | ST2 集约(开:4519.0s 加:111.0s 等前:0.0s 等后:0.0s) | ST3 空气悬挂+快充(开:4630.0s 加:108.5s 等前:0.0s 等后:0.0s) | ST4 四轮定位上、下(开:4738.5s 加:120.5s 等前:0.0s 等后:0.0s) | ST5 ADAS(开:4859.0s 加:107.0s 等前:0.0s 等后:10.5s) | ST6 ARHUD+慢充(开:4976.5s 加:143.5s 等前:0.0s 等后:0.0s) | ST7 转毂(开:5120.0s 加:114.5s 等前:0.0s 等后:0.0s) | ST8 制动(开:5234.5s 加:114.0s 等前:0.0s 等后:0.0s) | ST9 EG漏液/底盘漏液(开:5348.5s 加:112.5s 等前:0.0s 等后:0.0s) | ST10 全景/空调检查(开:5461.0s 加:0.0s 等前:0.0s 等后:0.0s) | ST11 气囊安装+绝缘(开:5461.0s 加:116.0s 等前:0.0s 等后:0.0s) | ST12 L2++(开:5577.0s 加:88.0s 等前:0.0s 等后:0.0s) | ST13 电检1(开:5665.0s 加:84.5s 等前:0.0s 等后:13.0s) | ST14 电检2(开:5762.5s 加:97.5s 等前:0.0s 等后:63.0s) | ST15 小跑道(开:5923.0s 加:50.0s 等前:0.0s 等后:0.0s)</t>
        </is>
      </c>
    </row>
    <row r="73">
      <c r="A73" s="15" t="n">
        <v>72</v>
      </c>
      <c r="B73" s="15" t="inlineStr">
        <is>
          <t>Car#73</t>
        </is>
      </c>
      <c r="C73" s="15" t="inlineStr">
        <is>
          <t>A</t>
        </is>
      </c>
      <c r="D73" s="16" t="n">
        <v>4661.5</v>
      </c>
      <c r="E73" s="16" t="n">
        <v>6024</v>
      </c>
      <c r="F73" s="16" t="n">
        <v>1362.5</v>
      </c>
      <c r="G73" s="16" t="n">
        <v>987</v>
      </c>
      <c r="H73" s="15" t="inlineStr">
        <is>
          <t>Car#70</t>
        </is>
      </c>
      <c r="I73" s="16">
        <f>E73-E72</f>
        <v/>
      </c>
      <c r="J73" s="16">
        <f>I73-58</f>
        <v/>
      </c>
      <c r="K73" s="16">
        <f>MAX(0,J73)</f>
        <v/>
      </c>
      <c r="L73" s="16">
        <f>MAX(0,-J73)</f>
        <v/>
      </c>
      <c r="M73" s="16">
        <f>M72+I73</f>
        <v/>
      </c>
      <c r="N73" s="16">
        <f>D73+F73-E73</f>
        <v/>
      </c>
      <c r="O73" s="15" t="inlineStr">
        <is>
          <t>能力满足</t>
        </is>
      </c>
      <c r="P73" s="15" t="inlineStr">
        <is>
          <t>ST1 引取(开:4661.5s 加:55.0s 等前:485.5s 等后:5.0s) | ST2 集约(开:4721.5s 加:106.0s 等前:0.0s 等后:14.5s) | ST3 空气悬挂+快充(开:4842.0s 加:0.0s 等前:0.0s 等后:115.0s) | ST4 四轮定位上、下(开:4957.0s 加:115.0s 等前:0.0s 等后:23.0s) | ST5 ADAS(开:5095.0s 加:97.0s 等前:0.0s 等后:17.5s) | ST6 ARHUD+慢充(开:5209.5s 加:0.0s 等前:0.0s 等后:116.0s) | ST7 转毂(开:5325.5s 加:116.0s 等前:0.0s 等后:0.0s) | ST8 制动(开:5441.5s 加:108.0s 等前:0.0s 等后:1.5s) | ST9 EG漏液/底盘漏液(开:5551.0s 加:115.0s 等前:0.0s 等后:0.0s) | ST10 全景/空调检查(开:5666.0s 加:98.0s 等前:0.0s 等后:0.0s) | ST11 气囊安装+绝缘(开:5764.0s 加:0.0s 等前:0.0s 等后:0.0s) | ST12 L2++(开:5764.0s 加:0.0s 等前:0.0s 等后:58.0s) | ST13 电检1(开:5822.0s 加:0.0s 等前:0.0s 等后:50.0s) | ST14 电检2(开:5872.0s 加:0.0s 等前:0.0s 等后:101.0s) | ST15 小跑道(开:5973.0s 加:51.0s 等前:0.0s 等后:0.0s)</t>
        </is>
      </c>
    </row>
    <row r="74">
      <c r="A74" s="13" t="n">
        <v>73</v>
      </c>
      <c r="B74" s="13" t="inlineStr">
        <is>
          <t>Car#72</t>
        </is>
      </c>
      <c r="C74" s="13" t="inlineStr">
        <is>
          <t>A</t>
        </is>
      </c>
      <c r="D74" s="14" t="n">
        <v>4606.5</v>
      </c>
      <c r="E74" s="14" t="n">
        <v>6075</v>
      </c>
      <c r="F74" s="14" t="n">
        <v>1468.5</v>
      </c>
      <c r="G74" s="14" t="n">
        <v>1096</v>
      </c>
      <c r="H74" s="13" t="inlineStr">
        <is>
          <t>Car#73</t>
        </is>
      </c>
      <c r="I74" s="14">
        <f>E74-E73</f>
        <v/>
      </c>
      <c r="J74" s="14">
        <f>I74-58</f>
        <v/>
      </c>
      <c r="K74" s="14">
        <f>MAX(0,J74)</f>
        <v/>
      </c>
      <c r="L74" s="14">
        <f>MAX(0,-J74)</f>
        <v/>
      </c>
      <c r="M74" s="14">
        <f>M73+I74</f>
        <v/>
      </c>
      <c r="N74" s="14">
        <f>D74+F74-E74</f>
        <v/>
      </c>
      <c r="O74" s="13" t="inlineStr">
        <is>
          <t>能力满足</t>
        </is>
      </c>
      <c r="P74" s="13" t="inlineStr">
        <is>
          <t>ST1 引取(开:4606.5s 加:55.0s 等前:488.5s 等后:0.0s) | ST2 集约(开:4661.5s 加:106.0s 等前:0.0s 等后:0.0s) | ST3 空气悬挂+快充(开:4767.5s 加:0.0s 等前:0.0s 等后:91.5s) | ST4 四轮定位上、下(开:4859.0s 加:115.0s 等前:0.0s 等后:2.5s) | ST5 ADAS(开:4976.5s 加:97.0s 等前:0.0s 等后:46.5s) | ST6 ARHUD+慢充(开:5120.0s 加:0.0s 等前:0.0s 等后:114.5s) | ST7 转毂(开:5234.5s 加:116.0s 等前:0.0s 等后:0.0s) | ST8 制动(开:5350.5s 加:108.0s 等前:0.0s 等后:2.5s) | ST9 EG漏液/底盘漏液(开:5461.0s 加:115.0s 等前:0.0s 等后:0.0s) | ST10 全景/空调检查(开:5576.0s 加:98.0s 等前:0.0s 等后:0.0s) | ST11 气囊安装+绝缘(开:5674.0s 加:0.0s 等前:0.0s 等后:0.0s) | ST12 L2++(开:5674.0s 加:0.0s 等前:0.0s 等后:88.5s) | ST13 电检1(开:5762.5s 加:0.0s 等前:0.0s 等后:160.5s) | ST14 电检2(开:5923.0s 加:0.0s 等前:0.0s 等后:101.0s) | ST15 小跑道(开:6024.0s 加:51.0s 等前:0.0s 等后:0.0s)</t>
        </is>
      </c>
    </row>
    <row r="75">
      <c r="A75" s="15" t="n">
        <v>74</v>
      </c>
      <c r="B75" s="15" t="inlineStr">
        <is>
          <t>Car#74</t>
        </is>
      </c>
      <c r="C75" s="15" t="inlineStr">
        <is>
          <t>C</t>
        </is>
      </c>
      <c r="D75" s="16" t="n">
        <v>4721.5</v>
      </c>
      <c r="E75" s="16" t="n">
        <v>6171.5</v>
      </c>
      <c r="F75" s="16" t="n">
        <v>1450</v>
      </c>
      <c r="G75" s="16" t="n">
        <v>514</v>
      </c>
      <c r="H75" s="15" t="inlineStr">
        <is>
          <t>Car#72</t>
        </is>
      </c>
      <c r="I75" s="16">
        <f>E75-E74</f>
        <v/>
      </c>
      <c r="J75" s="16">
        <f>I75-58</f>
        <v/>
      </c>
      <c r="K75" s="16">
        <f>MAX(0,J75)</f>
        <v/>
      </c>
      <c r="L75" s="16">
        <f>MAX(0,-J75)</f>
        <v/>
      </c>
      <c r="M75" s="16">
        <f>M74+I75</f>
        <v/>
      </c>
      <c r="N75" s="16">
        <f>D75+F75-E75</f>
        <v/>
      </c>
      <c r="O75" s="15" t="inlineStr">
        <is>
          <t>能力超目标：四轮定位上、下、ARHUD+慢充</t>
        </is>
      </c>
      <c r="P75" s="15" t="inlineStr">
        <is>
          <t>ST1 引取(开:4721.5s 加:56.0s 等前:487.5s 等后:0.0s) | ST2 集约(开:4777.5s 加:111.0s 等前:0.0s 等后:0.0s) | ST3 空气悬挂+快充(开:4888.5s 加:108.5s 等前:0.0s 等后:0.0s) | ST4 四轮定位上、下(开:4997.0s 加:120.5s 等前:0.0s 等后:2.5s) | ST5 ADAS(开:5120.0s 加:107.0s 等前:0.0s 等后:7.5s) | ST6 ARHUD+慢充(开:5234.5s 加:143.5s 等前:0.0s 等后:0.0s) | ST7 转毂(开:5378.0s 加:114.5s 等前:0.0s 等后:0.0s) | ST8 制动(开:5492.5s 加:114.0s 等前:0.0s 等后:0.0s) | ST9 EG漏液/底盘漏液(开:5606.5s 加:112.5s 等前:0.0s 等后:0.0s) | ST10 全景/空调检查(开:5719.0s 加:0.0s 等前:0.0s 等后:0.0s) | ST11 气囊安装+绝缘(开:5719.0s 加:116.0s 等前:0.0s 等后:0.0s) | ST12 L2++(开:5835.0s 加:88.0s 等前:0.0s 等后:0.0s) | ST13 电检1(开:5923.0s 加:84.5s 等前:0.0s 等后:16.5s) | ST14 电检2(开:6024.0s 加:97.5s 等前:0.0s 等后:0.0s) | ST15 小跑道(开:6121.5s 加:50.0s 等前:0.0s 等后:0.0s)</t>
        </is>
      </c>
    </row>
    <row r="76">
      <c r="A76" s="13" t="n">
        <v>75</v>
      </c>
      <c r="B76" s="13" t="inlineStr">
        <is>
          <t>Car#75</t>
        </is>
      </c>
      <c r="C76" s="13" t="inlineStr">
        <is>
          <t>C</t>
        </is>
      </c>
      <c r="D76" s="14" t="n">
        <v>4777.5</v>
      </c>
      <c r="E76" s="14" t="n">
        <v>6246</v>
      </c>
      <c r="F76" s="14" t="n">
        <v>1468.5</v>
      </c>
      <c r="G76" s="14" t="n">
        <v>530.5</v>
      </c>
      <c r="H76" s="13" t="inlineStr">
        <is>
          <t>Car#74</t>
        </is>
      </c>
      <c r="I76" s="14">
        <f>E76-E75</f>
        <v/>
      </c>
      <c r="J76" s="14">
        <f>I76-58</f>
        <v/>
      </c>
      <c r="K76" s="14">
        <f>MAX(0,J76)</f>
        <v/>
      </c>
      <c r="L76" s="14">
        <f>MAX(0,-J76)</f>
        <v/>
      </c>
      <c r="M76" s="14">
        <f>M75+I76</f>
        <v/>
      </c>
      <c r="N76" s="14">
        <f>D76+F76-E76</f>
        <v/>
      </c>
      <c r="O76" s="13" t="inlineStr">
        <is>
          <t>能力超目标：四轮定位上、下、ARHUD+慢充</t>
        </is>
      </c>
      <c r="P76" s="13" t="inlineStr">
        <is>
          <t>ST1 引取(开:4777.5s 加:56.0s 等前:485.5s 等后:8.5s) | ST2 集约(开:4842.0s 加:111.0s 等前:0.0s 等后:4.0s) | ST3 空气悬挂+快充(开:4957.0s 加:108.5s 等前:0.0s 等后:29.5s) | ST4 四轮定位上、下(开:5095.0s 加:120.5s 等前:0.0s 等后:0.0s) | ST5 ADAS(开:5215.5s 加:107.0s 等前:0.0s 等后:3.0s) | ST6 ARHUD+慢充(开:5325.5s 加:143.5s 等前:0.0s 等后:0.0s) | ST7 转毂(开:5469.0s 加:114.5s 等前:0.0s 等后:0.0s) | ST8 制动(开:5583.5s 加:114.0s 等前:0.0s 等后:0.0s) | ST9 EG漏液/底盘漏液(开:5697.5s 加:112.5s 等前:0.0s 等后:0.0s) | ST10 全景/空调检查(开:5810.0s 加:0.0s 等前:0.0s 等后:0.0s) | ST11 气囊安装+绝缘(开:5810.0s 加:116.0s 等前:0.0s 等后:0.0s) | ST12 L2++(开:5926.0s 加:88.0s 等前:0.0s 等后:0.0s) | ST13 电检1(开:6014.0s 加:84.5s 等前:0.0s 等后:0.0s) | ST14 电检2(开:6098.5s 加:97.5s 等前:0.0s 等后:0.0s) | ST15 小跑道(开:6196.0s 加:50.0s 等前:0.0s 等后:0.0s)</t>
        </is>
      </c>
    </row>
    <row r="77">
      <c r="A77" s="15" t="n">
        <v>76</v>
      </c>
      <c r="B77" s="15" t="inlineStr">
        <is>
          <t>Car#76</t>
        </is>
      </c>
      <c r="C77" s="15" t="inlineStr">
        <is>
          <t>B</t>
        </is>
      </c>
      <c r="D77" s="16" t="n">
        <v>4842</v>
      </c>
      <c r="E77" s="16" t="n">
        <v>6296</v>
      </c>
      <c r="F77" s="16" t="n">
        <v>1454</v>
      </c>
      <c r="G77" s="16" t="n">
        <v>614.5</v>
      </c>
      <c r="H77" s="15" t="inlineStr">
        <is>
          <t>Car#75</t>
        </is>
      </c>
      <c r="I77" s="16">
        <f>E77-E76</f>
        <v/>
      </c>
      <c r="J77" s="16">
        <f>I77-58</f>
        <v/>
      </c>
      <c r="K77" s="16">
        <f>MAX(0,J77)</f>
        <v/>
      </c>
      <c r="L77" s="16">
        <f>MAX(0,-J77)</f>
        <v/>
      </c>
      <c r="M77" s="16">
        <f>M76+I77</f>
        <v/>
      </c>
      <c r="N77" s="16">
        <f>D77+F77-E77</f>
        <v/>
      </c>
      <c r="O77" s="15" t="inlineStr">
        <is>
          <t>能力超目标：四轮定位上、下</t>
        </is>
      </c>
      <c r="P77" s="15" t="inlineStr">
        <is>
          <t>ST1 引取(开:4842.0s 加:56.0s 等前:492.0s 等后:0.0s) | ST2 集约(开:4898.0s 加:111.0s 等前:0.0s 等后:0.0s) | ST3 空气悬挂+快充(开:5009.0s 加:108.5s 等前:0.0s 等后:2.5s) | ST4 四轮定位上、下(开:5120.0s 加:120.5s 等前:0.0s 等后:0.0s) | ST5 ADAS(开:5240.5s 加:107.0s 等前:0.0s 等后:30.5s) | ST6 ARHUD+慢充(开:5378.0s 加:51.5s 等前:0.0s 等后:63.0s) | ST7 转毂(开:5492.5s 加:114.5s 等前:0.0s 等后:0.0s) | ST8 制动(开:5607.0s 加:114.0s 等前:0.0s 等后:0.0s) | ST9 EG漏液/底盘漏液(开:5721.0s 加:112.5s 等前:0.0s 等后:0.0s) | ST10 全景/空调检查(开:5833.5s 加:0.0s 等前:0.0s 等后:1.5s) | ST11 气囊安装+绝缘(开:5835.0s 加:116.0s 等前:0.0s 等后:0.0s) | ST12 L2++(开:5951.0s 加:88.0s 等前:0.0s 等后:0.0s) | ST13 电检1(开:6039.0s 加:84.5s 等前:0.0s 等后:0.0s) | ST14 电检2(开:6123.5s 加:97.5s 等前:0.0s 等后:25.0s) | ST15 小跑道(开:6246.0s 加:50.0s 等前:0.0s 等后:0.0s)</t>
        </is>
      </c>
    </row>
    <row r="78">
      <c r="A78" s="13" t="n">
        <v>77</v>
      </c>
      <c r="B78" s="13" t="inlineStr">
        <is>
          <t>Car#77</t>
        </is>
      </c>
      <c r="C78" s="13" t="inlineStr">
        <is>
          <t>B</t>
        </is>
      </c>
      <c r="D78" s="14" t="n">
        <v>4898</v>
      </c>
      <c r="E78" s="14" t="n">
        <v>6362</v>
      </c>
      <c r="F78" s="14" t="n">
        <v>1464</v>
      </c>
      <c r="G78" s="14" t="n">
        <v>622.5</v>
      </c>
      <c r="H78" s="13" t="inlineStr">
        <is>
          <t>Car#76</t>
        </is>
      </c>
      <c r="I78" s="14">
        <f>E78-E77</f>
        <v/>
      </c>
      <c r="J78" s="14">
        <f>I78-58</f>
        <v/>
      </c>
      <c r="K78" s="14">
        <f>MAX(0,J78)</f>
        <v/>
      </c>
      <c r="L78" s="14">
        <f>MAX(0,-J78)</f>
        <v/>
      </c>
      <c r="M78" s="14">
        <f>M77+I78</f>
        <v/>
      </c>
      <c r="N78" s="14">
        <f>D78+F78-E78</f>
        <v/>
      </c>
      <c r="O78" s="13" t="inlineStr">
        <is>
          <t>能力超目标：四轮定位上、下</t>
        </is>
      </c>
      <c r="P78" s="13" t="inlineStr">
        <is>
          <t>ST1 引取(开:4898.0s 加:56.0s 等前:490.0s 等后:3.0s) | ST2 集约(开:4957.0s 加:111.0s 等前:0.0s 等后:27.0s) | ST3 空气悬挂+快充(开:5095.0s 加:108.5s 等前:0.0s 等后:12.0s) | ST4 四轮定位上、下(开:5215.5s 加:120.5s 等前:0.0s 等后:0.0s) | ST5 ADAS(开:5336.0s 加:107.0s 等前:0.0s 等后:26.0s) | ST6 ARHUD+慢充(开:5469.0s 加:51.5s 等前:0.0s 等后:63.0s) | ST7 转毂(开:5583.5s 加:114.5s 等前:0.0s 等后:0.0s) | ST8 制动(开:5698.0s 加:114.0s 等前:0.0s 等后:0.0s) | ST9 EG漏液/底盘漏液(开:5812.0s 加:112.5s 等前:0.0s 等后:0.0s) | ST10 全景/空调检查(开:5924.5s 加:0.0s 等前:0.0s 等后:1.5s) | ST11 气囊安装+绝缘(开:5926.0s 加:116.0s 等前:0.0s 等后:0.0s) | ST12 L2++(开:6042.0s 加:88.0s 等前:0.0s 等后:0.0s) | ST13 电检1(开:6130.0s 加:84.5s 等前:0.0s 等后:0.0s) | ST14 电检2(开:6214.5s 加:97.5s 等前:0.0s 等后:0.0s) | ST15 小跑道(开:6312.0s 加:50.0s 等前:0.0s 等后:0.0s)</t>
        </is>
      </c>
    </row>
    <row r="79">
      <c r="A79" s="15" t="n">
        <v>78</v>
      </c>
      <c r="B79" s="15" t="inlineStr">
        <is>
          <t>Car#78</t>
        </is>
      </c>
      <c r="C79" s="15" t="inlineStr">
        <is>
          <t>C</t>
        </is>
      </c>
      <c r="D79" s="16" t="n">
        <v>4957</v>
      </c>
      <c r="E79" s="16" t="n">
        <v>6413</v>
      </c>
      <c r="F79" s="16" t="n">
        <v>1456</v>
      </c>
      <c r="G79" s="16" t="n">
        <v>523.5</v>
      </c>
      <c r="H79" s="15" t="inlineStr">
        <is>
          <t>Car#77</t>
        </is>
      </c>
      <c r="I79" s="16">
        <f>E79-E78</f>
        <v/>
      </c>
      <c r="J79" s="16">
        <f>I79-58</f>
        <v/>
      </c>
      <c r="K79" s="16">
        <f>MAX(0,J79)</f>
        <v/>
      </c>
      <c r="L79" s="16">
        <f>MAX(0,-J79)</f>
        <v/>
      </c>
      <c r="M79" s="16">
        <f>M78+I79</f>
        <v/>
      </c>
      <c r="N79" s="16">
        <f>D79+F79-E79</f>
        <v/>
      </c>
      <c r="O79" s="15" t="inlineStr">
        <is>
          <t>能力超目标：四轮定位上、下、ARHUD+慢充</t>
        </is>
      </c>
      <c r="P79" s="15" t="inlineStr">
        <is>
          <t>ST1 引取(开:4957.0s 加:56.0s 等前:491.0s 等后:0.0s) | ST2 集约(开:5013.0s 加:111.0s 等前:0.0s 等后:0.0s) | ST3 空气悬挂+快充(开:5124.0s 加:108.5s 等前:0.0s 等后:8.0s) | ST4 四轮定位上、下(开:5240.5s 加:120.5s 等前:0.0s 等后:17.0s) | ST5 ADAS(开:5378.0s 加:107.0s 等前:0.0s 等后:7.5s) | ST6 ARHUD+慢充(开:5492.5s 加:143.5s 等前:0.0s 等后:0.0s) | ST7 转毂(开:5636.0s 加:114.5s 等前:0.0s 等后:0.0s) | ST8 制动(开:5750.5s 加:114.0s 等前:0.0s 等后:0.0s) | ST9 EG漏液/底盘漏液(开:5864.5s 加:112.5s 等前:0.0s 等后:0.0s) | ST10 全景/空调检查(开:5977.0s 加:0.0s 等前:0.0s 等后:0.0s) | ST11 气囊安装+绝缘(开:5977.0s 加:116.0s 等前:0.0s 等后:0.0s) | ST12 L2++(开:6093.0s 加:88.0s 等前:0.0s 等后:0.0s) | ST13 电检1(开:6181.0s 加:84.5s 等前:0.0s 等后:0.0s) | ST14 电检2(开:6265.5s 加:97.5s 等前:0.0s 等后:0.0s) | ST15 小跑道(开:6363.0s 加:50.0s 等前:0.0s 等后:0.0s)</t>
        </is>
      </c>
    </row>
    <row r="80">
      <c r="A80" s="13" t="n">
        <v>79</v>
      </c>
      <c r="B80" s="13" t="inlineStr">
        <is>
          <t>Car#79</t>
        </is>
      </c>
      <c r="C80" s="13" t="inlineStr">
        <is>
          <t>C</t>
        </is>
      </c>
      <c r="D80" s="14" t="n">
        <v>5013</v>
      </c>
      <c r="E80" s="14" t="n">
        <v>6504</v>
      </c>
      <c r="F80" s="14" t="n">
        <v>1491</v>
      </c>
      <c r="G80" s="14" t="n">
        <v>556.5</v>
      </c>
      <c r="H80" s="13" t="inlineStr">
        <is>
          <t>Car#78</t>
        </is>
      </c>
      <c r="I80" s="14">
        <f>E80-E79</f>
        <v/>
      </c>
      <c r="J80" s="14">
        <f>I80-58</f>
        <v/>
      </c>
      <c r="K80" s="14">
        <f>MAX(0,J80)</f>
        <v/>
      </c>
      <c r="L80" s="14">
        <f>MAX(0,-J80)</f>
        <v/>
      </c>
      <c r="M80" s="14">
        <f>M79+I80</f>
        <v/>
      </c>
      <c r="N80" s="14">
        <f>D80+F80-E80</f>
        <v/>
      </c>
      <c r="O80" s="13" t="inlineStr">
        <is>
          <t>能力超目标：四轮定位上、下、ARHUD+慢充</t>
        </is>
      </c>
      <c r="P80" s="13" t="inlineStr">
        <is>
          <t>ST1 引取(开:5013.0s 加:56.0s 等前:489.0s 等后:26.0s) | ST2 集约(开:5095.0s 加:111.0s 等前:0.0s 等后:9.5s) | ST3 空气悬挂+快充(开:5215.5s 加:108.5s 等前:0.0s 等后:12.0s) | ST4 四轮定位上、下(开:5336.0s 加:120.5s 等前:0.0s 等后:12.5s) | ST5 ADAS(开:5469.0s 加:107.0s 等前:0.0s 等后:7.5s) | ST6 ARHUD+慢充(开:5583.5s 加:143.5s 等前:0.0s 等后:0.0s) | ST7 转毂(开:5727.0s 加:114.5s 等前:0.0s 等后:0.0s) | ST8 制动(开:5841.5s 加:114.0s 等前:0.0s 等后:0.0s) | ST9 EG漏液/底盘漏液(开:5955.5s 加:112.5s 等前:0.0s 等后:0.0s) | ST10 全景/空调检查(开:6068.0s 加:0.0s 等前:0.0s 等后:0.0s) | ST11 气囊安装+绝缘(开:6068.0s 加:116.0s 等前:0.0s 等后:0.0s) | ST12 L2++(开:6184.0s 加:88.0s 等前:0.0s 等后:0.0s) | ST13 电检1(开:6272.0s 加:84.5s 等前:0.0s 等后:0.0s) | ST14 电检2(开:6356.5s 加:97.5s 等前:0.0s 等后:0.0s) | ST15 小跑道(开:6454.0s 加:50.0s 等前:0.0s 等后:0.0s)</t>
        </is>
      </c>
    </row>
    <row r="81">
      <c r="A81" s="15" t="n">
        <v>80</v>
      </c>
      <c r="B81" s="15" t="inlineStr">
        <is>
          <t>Car#80</t>
        </is>
      </c>
      <c r="C81" s="15" t="inlineStr">
        <is>
          <t>C</t>
        </is>
      </c>
      <c r="D81" s="16" t="n">
        <v>5095</v>
      </c>
      <c r="E81" s="16" t="n">
        <v>6556.5</v>
      </c>
      <c r="F81" s="16" t="n">
        <v>1461.5</v>
      </c>
      <c r="G81" s="16" t="n">
        <v>551</v>
      </c>
      <c r="H81" s="15" t="inlineStr">
        <is>
          <t>Car#79</t>
        </is>
      </c>
      <c r="I81" s="16">
        <f>E81-E80</f>
        <v/>
      </c>
      <c r="J81" s="16">
        <f>I81-58</f>
        <v/>
      </c>
      <c r="K81" s="16">
        <f>MAX(0,J81)</f>
        <v/>
      </c>
      <c r="L81" s="16">
        <f>MAX(0,-J81)</f>
        <v/>
      </c>
      <c r="M81" s="16">
        <f>M80+I81</f>
        <v/>
      </c>
      <c r="N81" s="16">
        <f>D81+F81-E81</f>
        <v/>
      </c>
      <c r="O81" s="15" t="inlineStr">
        <is>
          <t>能力超目标：四轮定位上、下、ARHUD+慢充</t>
        </is>
      </c>
      <c r="P81" s="15" t="inlineStr">
        <is>
          <t>ST1 引取(开:5095.0s 加:56.0s 等前:513.0s 等后:0.0s) | ST2 集约(开:5151.0s 加:111.0s 等前:0.0s 等后:0.0s) | ST3 空气悬挂+快充(开:5262.0s 加:108.5s 等前:0.0s 等后:7.5s) | ST4 四轮定位上、下(开:5378.0s 加:120.5s 等前:0.0s 等后:0.0s) | ST5 ADAS(开:5498.5s 加:107.0s 等前:0.0s 等后:30.5s) | ST6 ARHUD+慢充(开:5636.0s 加:143.5s 等前:0.0s 等后:0.0s) | ST7 转毂(开:5779.5s 加:114.5s 等前:0.0s 等后:0.0s) | ST8 制动(开:5894.0s 加:114.0s 等前:0.0s 等后:0.0s) | ST9 EG漏液/底盘漏液(开:6008.0s 加:112.5s 等前:0.0s 等后:0.0s) | ST10 全景/空调检查(开:6120.5s 加:0.0s 等前:0.0s 等后:0.0s) | ST11 气囊安装+绝缘(开:6120.5s 加:116.0s 等前:0.0s 等后:0.0s) | ST12 L2++(开:6236.5s 加:88.0s 等前:0.0s 等后:0.0s) | ST13 电检1(开:6324.5s 加:84.5s 等前:0.0s 等后:0.0s) | ST14 电检2(开:6409.0s 加:97.5s 等前:0.0s 等后:0.0s) | ST15 小跑道(开:6506.5s 加:50.0s 等前:0.0s 等后:0.0s)</t>
        </is>
      </c>
    </row>
    <row r="82">
      <c r="A82" s="13" t="n">
        <v>81</v>
      </c>
      <c r="B82" s="13" t="inlineStr">
        <is>
          <t>Car#81</t>
        </is>
      </c>
      <c r="C82" s="13" t="inlineStr">
        <is>
          <t>C</t>
        </is>
      </c>
      <c r="D82" s="14" t="n">
        <v>5151</v>
      </c>
      <c r="E82" s="14" t="n">
        <v>6647.5</v>
      </c>
      <c r="F82" s="14" t="n">
        <v>1496.5</v>
      </c>
      <c r="G82" s="14" t="n">
        <v>584</v>
      </c>
      <c r="H82" s="13" t="inlineStr">
        <is>
          <t>Car#80</t>
        </is>
      </c>
      <c r="I82" s="14">
        <f>E82-E81</f>
        <v/>
      </c>
      <c r="J82" s="14">
        <f>I82-58</f>
        <v/>
      </c>
      <c r="K82" s="14">
        <f>MAX(0,J82)</f>
        <v/>
      </c>
      <c r="L82" s="14">
        <f>MAX(0,-J82)</f>
        <v/>
      </c>
      <c r="M82" s="14">
        <f>M81+I82</f>
        <v/>
      </c>
      <c r="N82" s="14">
        <f>D82+F82-E82</f>
        <v/>
      </c>
      <c r="O82" s="13" t="inlineStr">
        <is>
          <t>能力超目标：四轮定位上、下、ARHUD+慢充</t>
        </is>
      </c>
      <c r="P82" s="13" t="inlineStr">
        <is>
          <t>ST1 引取(开:5151.0s 加:56.0s 等前:511.0s 等后:8.5s) | ST2 集约(开:5215.5s 加:111.0s 等前:0.0s 等后:9.5s) | ST3 空气悬挂+快充(开:5336.0s 加:108.5s 等前:0.0s 等后:24.5s) | ST4 四轮定位上、下(开:5469.0s 加:120.5s 等前:0.0s 等后:0.0s) | ST5 ADAS(开:5589.5s 加:107.0s 等前:0.0s 等后:30.5s) | ST6 ARHUD+慢充(开:5727.0s 加:143.5s 等前:0.0s 等后:0.0s) | ST7 转毂(开:5870.5s 加:114.5s 等前:0.0s 等后:0.0s) | ST8 制动(开:5985.0s 加:114.0s 等前:0.0s 等后:0.0s) | ST9 EG漏液/底盘漏液(开:6099.0s 加:112.5s 等前:0.0s 等后:0.0s) | ST10 全景/空调检查(开:6211.5s 加:0.0s 等前:0.0s 等后:0.0s) | ST11 气囊安装+绝缘(开:6211.5s 加:116.0s 等前:0.0s 等后:0.0s) | ST12 L2++(开:6327.5s 加:88.0s 等前:0.0s 等后:0.0s) | ST13 电检1(开:6415.5s 加:84.5s 等前:0.0s 等后:0.0s) | ST14 电检2(开:6500.0s 加:97.5s 等前:0.0s 等后:0.0s) | ST15 小跑道(开:6597.5s 加:50.0s 等前:0.0s 等后:0.0s)</t>
        </is>
      </c>
    </row>
    <row r="83">
      <c r="A83" s="15" t="n">
        <v>82</v>
      </c>
      <c r="B83" s="15" t="inlineStr">
        <is>
          <t>Car#82</t>
        </is>
      </c>
      <c r="C83" s="15" t="inlineStr">
        <is>
          <t>C</t>
        </is>
      </c>
      <c r="D83" s="16" t="n">
        <v>5215.5</v>
      </c>
      <c r="E83" s="16" t="n">
        <v>6700</v>
      </c>
      <c r="F83" s="16" t="n">
        <v>1484.5</v>
      </c>
      <c r="G83" s="16" t="n">
        <v>578.5</v>
      </c>
      <c r="H83" s="15" t="inlineStr">
        <is>
          <t>Car#81</t>
        </is>
      </c>
      <c r="I83" s="16">
        <f>E83-E82</f>
        <v/>
      </c>
      <c r="J83" s="16">
        <f>I83-58</f>
        <v/>
      </c>
      <c r="K83" s="16">
        <f>MAX(0,J83)</f>
        <v/>
      </c>
      <c r="L83" s="16">
        <f>MAX(0,-J83)</f>
        <v/>
      </c>
      <c r="M83" s="16">
        <f>M82+I83</f>
        <v/>
      </c>
      <c r="N83" s="16">
        <f>D83+F83-E83</f>
        <v/>
      </c>
      <c r="O83" s="15" t="inlineStr">
        <is>
          <t>能力超目标：四轮定位上、下、ARHUD+慢充</t>
        </is>
      </c>
      <c r="P83" s="15" t="inlineStr">
        <is>
          <t>ST1 引取(开:5215.5s 加:56.0s 等前:517.5s 等后:0.0s) | ST2 集约(开:5271.5s 加:111.0s 等前:0.0s 等后:0.0s) | ST3 空气悬挂+快充(开:5382.5s 加:108.5s 等前:0.0s 等后:7.5s) | ST4 四轮定位上、下(开:5498.5s 加:120.5s 等前:0.0s 等后:17.0s) | ST5 ADAS(开:5636.0s 加:107.0s 等前:0.0s 等后:36.5s) | ST6 ARHUD+慢充(开:5779.5s 加:143.5s 等前:0.0s 等后:0.0s) | ST7 转毂(开:5923.0s 加:114.5s 等前:0.0s 等后:0.0s) | ST8 制动(开:6037.5s 加:114.0s 等前:0.0s 等后:0.0s) | ST9 EG漏液/底盘漏液(开:6151.5s 加:112.5s 等前:0.0s 等后:0.0s) | ST10 全景/空调检查(开:6264.0s 加:0.0s 等前:0.0s 等后:0.0s) | ST11 气囊安装+绝缘(开:6264.0s 加:116.0s 等前:0.0s 等后:0.0s) | ST12 L2++(开:6380.0s 加:88.0s 等前:0.0s 等后:0.0s) | ST13 电检1(开:6468.0s 加:84.5s 等前:0.0s 等后:0.0s) | ST14 电检2(开:6552.5s 加:97.5s 等前:0.0s 等后:0.0s) | ST15 小跑道(开:6650.0s 加:50.0s 等前:0.0s 等后:0.0s)</t>
        </is>
      </c>
    </row>
    <row r="84">
      <c r="A84" s="13" t="n">
        <v>83</v>
      </c>
      <c r="B84" s="13" t="inlineStr">
        <is>
          <t>Car#84</t>
        </is>
      </c>
      <c r="C84" s="13" t="inlineStr">
        <is>
          <t>A</t>
        </is>
      </c>
      <c r="D84" s="14" t="n">
        <v>5336</v>
      </c>
      <c r="E84" s="14" t="n">
        <v>6751</v>
      </c>
      <c r="F84" s="14" t="n">
        <v>1415</v>
      </c>
      <c r="G84" s="14" t="n">
        <v>1076</v>
      </c>
      <c r="H84" s="13" t="inlineStr">
        <is>
          <t>Car#82</t>
        </is>
      </c>
      <c r="I84" s="14">
        <f>E84-E83</f>
        <v/>
      </c>
      <c r="J84" s="14">
        <f>I84-58</f>
        <v/>
      </c>
      <c r="K84" s="14">
        <f>MAX(0,J84)</f>
        <v/>
      </c>
      <c r="L84" s="14">
        <f>MAX(0,-J84)</f>
        <v/>
      </c>
      <c r="M84" s="14">
        <f>M83+I84</f>
        <v/>
      </c>
      <c r="N84" s="14">
        <f>D84+F84-E84</f>
        <v/>
      </c>
      <c r="O84" s="13" t="inlineStr">
        <is>
          <t>能力满足</t>
        </is>
      </c>
      <c r="P84" s="13" t="inlineStr">
        <is>
          <t>ST1 引取(开:5336.0s 加:55.0s 等前:522.0s 等后:0.0s) | ST2 集约(开:5391.0s 加:106.0s 等前:0.0s 等后:1.5s) | ST3 空气悬挂+快充(开:5498.5s 加:0.0s 等前:0.0s 等后:137.5s) | ST4 四轮定位上、下(开:5636.0s 加:115.0s 等前:0.0s 等后:28.5s) | ST5 ADAS(开:5779.5s 加:97.0s 等前:0.0s 等后:46.5s) | ST6 ARHUD+慢充(开:5923.0s 加:0.0s 等前:0.0s 等后:114.5s) | ST7 转毂(开:6037.5s 加:116.0s 等前:0.0s 等后:0.0s) | ST8 制动(开:6153.5s 加:108.0s 等前:0.0s 等后:2.5s) | ST9 EG漏液/底盘漏液(开:6264.0s 加:115.0s 等前:0.0s 等后:0.0s) | ST10 全景/空调检查(开:6379.0s 加:98.0s 等前:0.0s 等后:0.0s) | ST11 气囊安装+绝缘(开:6477.0s 加:0.0s 等前:0.0s 等后:0.0s) | ST12 L2++(开:6477.0s 加:0.0s 等前:0.0s 等后:75.5s) | ST13 电检1(开:6552.5s 加:0.0s 等前:0.0s 等后:97.5s) | ST14 电检2(开:6650.0s 加:0.0s 等前:0.0s 等后:50.0s) | ST15 小跑道(开:6700.0s 加:51.0s 等前:0.0s 等后:0.0s)</t>
        </is>
      </c>
    </row>
    <row r="85">
      <c r="A85" s="15" t="n">
        <v>84</v>
      </c>
      <c r="B85" s="15" t="inlineStr">
        <is>
          <t>Car#86</t>
        </is>
      </c>
      <c r="C85" s="15" t="inlineStr">
        <is>
          <t>A</t>
        </is>
      </c>
      <c r="D85" s="16" t="n">
        <v>5469</v>
      </c>
      <c r="E85" s="16" t="n">
        <v>6802</v>
      </c>
      <c r="F85" s="16" t="n">
        <v>1333</v>
      </c>
      <c r="G85" s="16" t="n">
        <v>1011</v>
      </c>
      <c r="H85" s="15" t="inlineStr">
        <is>
          <t>Car#84</t>
        </is>
      </c>
      <c r="I85" s="16">
        <f>E85-E84</f>
        <v/>
      </c>
      <c r="J85" s="16">
        <f>I85-58</f>
        <v/>
      </c>
      <c r="K85" s="16">
        <f>MAX(0,J85)</f>
        <v/>
      </c>
      <c r="L85" s="16">
        <f>MAX(0,-J85)</f>
        <v/>
      </c>
      <c r="M85" s="16">
        <f>M84+I85</f>
        <v/>
      </c>
      <c r="N85" s="16">
        <f>D85+F85-E85</f>
        <v/>
      </c>
      <c r="O85" s="15" t="inlineStr">
        <is>
          <t>能力满足</t>
        </is>
      </c>
      <c r="P85" s="15" t="inlineStr">
        <is>
          <t>ST1 引取(开:5469.0s 加:55.0s 等前:539.0s 等后:0.0s) | ST2 集约(开:5524.0s 加:106.0s 等前:0.0s 等后:6.0s) | ST3 空气悬挂+快充(开:5636.0s 加:0.0s 等前:0.0s 等后:143.5s) | ST4 四轮定位上、下(开:5779.5s 加:115.0s 等前:0.0s 等后:28.5s) | ST5 ADAS(开:5923.0s 加:97.0s 等前:0.0s 等后:17.5s) | ST6 ARHUD+慢充(开:6037.5s 加:0.0s 等前:0.0s 等后:116.0s) | ST7 转毂(开:6153.5s 加:116.0s 等前:0.0s 等后:0.0s) | ST8 制动(开:6269.5s 加:108.0s 等前:0.0s 等后:1.5s) | ST9 EG漏液/底盘漏液(开:6379.0s 加:115.0s 等前:0.0s 等后:0.0s) | ST10 全景/空调检查(开:6494.0s 加:98.0s 等前:0.0s 等后:0.0s) | ST11 气囊安装+绝缘(开:6592.0s 加:0.0s 等前:0.0s 等后:0.0s) | ST12 L2++(开:6592.0s 加:0.0s 等前:0.0s 等后:58.0s) | ST13 电检1(开:6650.0s 加:0.0s 等前:0.0s 等后:50.0s) | ST14 电检2(开:6700.0s 加:0.0s 等前:0.0s 等后:51.0s) | ST15 小跑道(开:6751.0s 加:51.0s 等前:0.0s 等后:0.0s)</t>
        </is>
      </c>
    </row>
    <row r="86">
      <c r="A86" s="13" t="n">
        <v>85</v>
      </c>
      <c r="B86" s="13" t="inlineStr">
        <is>
          <t>Car#83</t>
        </is>
      </c>
      <c r="C86" s="13" t="inlineStr">
        <is>
          <t>B</t>
        </is>
      </c>
      <c r="D86" s="14" t="n">
        <v>5271.5</v>
      </c>
      <c r="E86" s="14" t="n">
        <v>6852</v>
      </c>
      <c r="F86" s="14" t="n">
        <v>1580.5</v>
      </c>
      <c r="G86" s="14" t="n">
        <v>764.5</v>
      </c>
      <c r="H86" s="13" t="inlineStr">
        <is>
          <t>Car#86</t>
        </is>
      </c>
      <c r="I86" s="14">
        <f>E86-E85</f>
        <v/>
      </c>
      <c r="J86" s="14">
        <f>I86-58</f>
        <v/>
      </c>
      <c r="K86" s="14">
        <f>MAX(0,J86)</f>
        <v/>
      </c>
      <c r="L86" s="14">
        <f>MAX(0,-J86)</f>
        <v/>
      </c>
      <c r="M86" s="14">
        <f>M85+I86</f>
        <v/>
      </c>
      <c r="N86" s="14">
        <f>D86+F86-E86</f>
        <v/>
      </c>
      <c r="O86" s="13" t="inlineStr">
        <is>
          <t>能力超目标：四轮定位上、下</t>
        </is>
      </c>
      <c r="P86" s="13" t="inlineStr">
        <is>
          <t>ST1 引取(开:5271.5s 加:56.0s 等前:515.5s 等后:8.5s) | ST2 集约(开:5336.0s 加:111.0s 等前:0.0s 等后:22.0s) | ST3 空气悬挂+快充(开:5469.0s 加:108.5s 等前:0.0s 等后:12.0s) | ST4 四轮定位上、下(开:5589.5s 加:120.5s 等前:0.0s 等后:17.0s) | ST5 ADAS(开:5727.0s 加:107.0s 等前:0.0s 等后:36.5s) | ST6 ARHUD+慢充(开:5870.5s 加:51.5s 等前:0.0s 等后:63.0s) | ST7 转毂(开:5985.0s 加:114.5s 等前:0.0s 等后:0.0s) | ST8 制动(开:6099.5s 加:114.0s 等前:0.0s 等后:0.0s) | ST9 EG漏液/底盘漏液(开:6213.5s 加:112.5s 等前:0.0s 等后:0.0s) | ST10 全景/空调检查(开:6326.0s 加:0.0s 等前:0.0s 等后:1.5s) | ST11 气囊安装+绝缘(开:6327.5s 加:116.0s 等前:0.0s 等后:0.0s) | ST12 L2++(开:6443.5s 加:88.0s 等前:0.0s 等后:0.0s) | ST13 电检1(开:6531.5s 加:84.5s 等前:0.0s 等后:0.0s) | ST14 电检2(开:6616.0s 加:97.5s 等前:0.0s 等后:88.5s) | ST15 小跑道(开:6802.0s 加:50.0s 等前:0.0s 等后:0.0s)</t>
        </is>
      </c>
    </row>
    <row r="87">
      <c r="A87" s="15" t="n">
        <v>86</v>
      </c>
      <c r="B87" s="15" t="inlineStr">
        <is>
          <t>Car#85</t>
        </is>
      </c>
      <c r="C87" s="15" t="inlineStr">
        <is>
          <t>A</t>
        </is>
      </c>
      <c r="D87" s="16" t="n">
        <v>5391</v>
      </c>
      <c r="E87" s="16" t="n">
        <v>6903</v>
      </c>
      <c r="F87" s="16" t="n">
        <v>1512</v>
      </c>
      <c r="G87" s="16" t="n">
        <v>1170</v>
      </c>
      <c r="H87" s="15" t="inlineStr">
        <is>
          <t>Car#83</t>
        </is>
      </c>
      <c r="I87" s="16">
        <f>E87-E86</f>
        <v/>
      </c>
      <c r="J87" s="16">
        <f>I87-58</f>
        <v/>
      </c>
      <c r="K87" s="16">
        <f>MAX(0,J87)</f>
        <v/>
      </c>
      <c r="L87" s="16">
        <f>MAX(0,-J87)</f>
        <v/>
      </c>
      <c r="M87" s="16">
        <f>M86+I87</f>
        <v/>
      </c>
      <c r="N87" s="16">
        <f>D87+F87-E87</f>
        <v/>
      </c>
      <c r="O87" s="15" t="inlineStr">
        <is>
          <t>能力满足</t>
        </is>
      </c>
      <c r="P87" s="15" t="inlineStr">
        <is>
          <t>ST1 引取(开:5391.0s 加:55.0s 等前:519.0s 等后:23.0s) | ST2 集约(开:5469.0s 加:106.0s 等前:0.0s 等后:14.5s) | ST3 空气悬挂+快充(开:5589.5s 加:0.0s 等前:0.0s 等后:137.5s) | ST4 四轮定位上、下(开:5727.0s 加:115.0s 等前:0.0s 等后:28.5s) | ST5 ADAS(开:5870.5s 加:97.0s 等前:0.0s 等后:17.5s) | ST6 ARHUD+慢充(开:5985.0s 加:0.0s 等前:0.0s 等后:114.5s) | ST7 转毂(开:6099.5s 加:116.0s 等前:0.0s 等后:0.0s) | ST8 制动(开:6215.5s 加:108.0s 等前:0.0s 等后:2.5s) | ST9 EG漏液/底盘漏液(开:6326.0s 加:115.0s 等前:0.0s 等后:0.0s) | ST10 全景/空调检查(开:6441.0s 加:98.0s 等前:0.0s 等后:0.0s) | ST11 气囊安装+绝缘(开:6539.0s 加:0.0s 等前:0.0s 等后:0.0s) | ST12 L2++(开:6539.0s 加:0.0s 等前:0.0s 等后:77.0s) | ST13 电检1(开:6616.0s 加:0.0s 等前:0.0s 等后:186.0s) | ST14 电检2(开:6802.0s 加:0.0s 等前:0.0s 等后:50.0s) | ST15 小跑道(开:6852.0s 加:51.0s 等前:0.0s 等后:0.0s)</t>
        </is>
      </c>
    </row>
    <row r="88">
      <c r="A88" s="13" t="n">
        <v>87</v>
      </c>
      <c r="B88" s="13" t="inlineStr">
        <is>
          <t>Car#87</t>
        </is>
      </c>
      <c r="C88" s="13" t="inlineStr">
        <is>
          <t>B</t>
        </is>
      </c>
      <c r="D88" s="14" t="n">
        <v>5524</v>
      </c>
      <c r="E88" s="14" t="n">
        <v>7034</v>
      </c>
      <c r="F88" s="14" t="n">
        <v>1510</v>
      </c>
      <c r="G88" s="14" t="n">
        <v>714.5</v>
      </c>
      <c r="H88" s="13" t="inlineStr">
        <is>
          <t>Car#85</t>
        </is>
      </c>
      <c r="I88" s="14">
        <f>E88-E87</f>
        <v/>
      </c>
      <c r="J88" s="14">
        <f>I88-58</f>
        <v/>
      </c>
      <c r="K88" s="14">
        <f>MAX(0,J88)</f>
        <v/>
      </c>
      <c r="L88" s="14">
        <f>MAX(0,-J88)</f>
        <v/>
      </c>
      <c r="M88" s="14">
        <f>M87+I88</f>
        <v/>
      </c>
      <c r="N88" s="14">
        <f>D88+F88-E88</f>
        <v/>
      </c>
      <c r="O88" s="13" t="inlineStr">
        <is>
          <t>能力超目标：四轮定位上、下</t>
        </is>
      </c>
      <c r="P88" s="13" t="inlineStr">
        <is>
          <t>ST1 引取(开:5524.0s 加:56.0s 等前:536.0s 等后:9.5s) | ST2 集约(开:5589.5s 加:111.0s 等前:0.0s 等后:26.5s) | ST3 空气悬挂+快充(开:5727.0s 加:108.5s 等前:0.0s 等后:35.0s) | ST4 四轮定位上、下(开:5870.5s 加:120.5s 等前:0.0s 等后:0.0s) | ST5 ADAS(开:5991.0s 加:107.0s 等前:0.0s 等后:1.5s) | ST6 ARHUD+慢充(开:6099.5s 加:51.5s 等前:0.0s 等后:64.5s) | ST7 转毂(开:6215.5s 加:114.5s 等前:0.0s 等后:0.0s) | ST8 制动(开:6330.0s 加:114.0s 等前:0.0s 等后:0.0s) | ST9 EG漏液/底盘漏液(开:6444.0s 加:112.5s 等前:0.0s 等后:0.0s) | ST10 全景/空调检查(开:6556.5s 加:0.0s 等前:0.0s 等后:0.0s) | ST11 气囊安装+绝缘(开:6556.5s 加:116.0s 等前:0.0s 等后:0.0s) | ST12 L2++(开:6672.5s 加:88.0s 等前:0.0s 等后:41.5s) | ST13 电检1(开:6802.0s 加:84.5s 等前:0.0s 等后:0.0s) | ST14 电检2(开:6886.5s 加:97.5s 等前:0.0s 等后:0.0s) | ST15 小跑道(开:6984.0s 加:50.0s 等前:0.0s 等后:0.0s)</t>
        </is>
      </c>
    </row>
    <row r="89">
      <c r="A89" s="15" t="n">
        <v>88</v>
      </c>
      <c r="B89" s="15" t="inlineStr">
        <is>
          <t>Car#88</t>
        </is>
      </c>
      <c r="C89" s="15" t="inlineStr">
        <is>
          <t>C</t>
        </is>
      </c>
      <c r="D89" s="16" t="n">
        <v>5589.5</v>
      </c>
      <c r="E89" s="16" t="n">
        <v>7084</v>
      </c>
      <c r="F89" s="16" t="n">
        <v>1494.5</v>
      </c>
      <c r="G89" s="16" t="n">
        <v>614.5</v>
      </c>
      <c r="H89" s="15" t="inlineStr">
        <is>
          <t>Car#87</t>
        </is>
      </c>
      <c r="I89" s="16">
        <f>E89-E88</f>
        <v/>
      </c>
      <c r="J89" s="16">
        <f>I89-58</f>
        <v/>
      </c>
      <c r="K89" s="16">
        <f>MAX(0,J89)</f>
        <v/>
      </c>
      <c r="L89" s="16">
        <f>MAX(0,-J89)</f>
        <v/>
      </c>
      <c r="M89" s="16">
        <f>M88+I89</f>
        <v/>
      </c>
      <c r="N89" s="16">
        <f>D89+F89-E89</f>
        <v/>
      </c>
      <c r="O89" s="15" t="inlineStr">
        <is>
          <t>能力超目标：四轮定位上、下、ARHUD+慢充</t>
        </is>
      </c>
      <c r="P89" s="15" t="inlineStr">
        <is>
          <t>ST1 引取(开:5589.5s 加:56.0s 等前:543.5s 等后:0.0s) | ST2 集约(开:5645.5s 加:111.0s 等前:0.0s 等后:23.0s) | ST3 空气悬挂+快充(开:5779.5s 加:108.5s 等前:0.0s 等后:35.0s) | ST4 四轮定位上、下(开:5923.0s 加:120.5s 等前:0.0s 等后:0.0s) | ST5 ADAS(开:6043.5s 加:107.0s 等前:0.0s 等后:3.0s) | ST6 ARHUD+慢充(开:6153.5s 加:143.5s 等前:0.0s 等后:0.0s) | ST7 转毂(开:6297.0s 加:114.5s 等前:0.0s 等后:0.0s) | ST8 制动(开:6411.5s 加:114.0s 等前:0.0s 等后:0.0s) | ST9 EG漏液/底盘漏液(开:6525.5s 加:112.5s 等前:0.0s 等后:0.0s) | ST10 全景/空调检查(开:6638.0s 加:0.0s 等前:0.0s 等后:0.0s) | ST11 气囊安装+绝缘(开:6638.0s 加:116.0s 等前:0.0s 等后:0.0s) | ST12 L2++(开:6754.0s 加:88.0s 等前:0.0s 等后:0.0s) | ST13 电检1(开:6842.0s 加:84.5s 等前:0.0s 等后:0.0s) | ST14 电检2(开:6926.5s 加:97.5s 等前:0.0s 等后:10.0s) | ST15 小跑道(开:7034.0s 加:50.0s 等前:0.0s 等后:0.0s)</t>
        </is>
      </c>
    </row>
    <row r="90">
      <c r="A90" s="13" t="n">
        <v>89</v>
      </c>
      <c r="B90" s="13" t="inlineStr">
        <is>
          <t>Car#89</t>
        </is>
      </c>
      <c r="C90" s="13" t="inlineStr">
        <is>
          <t>C</t>
        </is>
      </c>
      <c r="D90" s="14" t="n">
        <v>5645.5</v>
      </c>
      <c r="E90" s="14" t="n">
        <v>7139</v>
      </c>
      <c r="F90" s="14" t="n">
        <v>1493.5</v>
      </c>
      <c r="G90" s="14" t="n">
        <v>611.5</v>
      </c>
      <c r="H90" s="13" t="inlineStr">
        <is>
          <t>Car#88</t>
        </is>
      </c>
      <c r="I90" s="14">
        <f>E90-E89</f>
        <v/>
      </c>
      <c r="J90" s="14">
        <f>I90-58</f>
        <v/>
      </c>
      <c r="K90" s="14">
        <f>MAX(0,J90)</f>
        <v/>
      </c>
      <c r="L90" s="14">
        <f>MAX(0,-J90)</f>
        <v/>
      </c>
      <c r="M90" s="14">
        <f>M89+I90</f>
        <v/>
      </c>
      <c r="N90" s="14">
        <f>D90+F90-E90</f>
        <v/>
      </c>
      <c r="O90" s="13" t="inlineStr">
        <is>
          <t>能力超目标：四轮定位上、下、ARHUD+慢充</t>
        </is>
      </c>
      <c r="P90" s="13" t="inlineStr">
        <is>
          <t>ST1 引取(开:5645.5s 加:56.0s 等前:541.5s 等后:25.5s) | ST2 集约(开:5727.0s 加:111.0s 等前:0.0s 等后:32.5s) | ST3 空气悬挂+快充(开:5870.5s 加:108.5s 等前:0.0s 等后:12.0s) | ST4 四轮定位上、下(开:5991.0s 加:120.5s 等前:0.0s 等后:0.0s) | ST5 ADAS(开:6111.5s 加:107.0s 等前:0.0s 等后:0.0s) | ST6 ARHUD+慢充(开:6218.5s 加:143.5s 等前:0.0s 等后:0.0s) | ST7 转毂(开:6362.0s 加:114.5s 等前:0.0s 等后:0.0s) | ST8 制动(开:6476.5s 加:114.0s 等前:0.0s 等后:0.0s) | ST9 EG漏液/底盘漏液(开:6590.5s 加:112.5s 等前:0.0s 等后:0.0s) | ST10 全景/空调检查(开:6703.0s 加:0.0s 等前:0.0s 等后:0.0s) | ST11 气囊安装+绝缘(开:6703.0s 加:116.0s 等前:0.0s 等后:0.0s) | ST12 L2++(开:6819.0s 加:88.0s 等前:0.0s 等后:0.0s) | ST13 电检1(开:6907.0s 加:84.5s 等前:0.0s 等后:0.0s) | ST14 电检2(开:6991.5s 加:97.5s 等前:0.0s 等后:0.0s) | ST15 小跑道(开:7089.0s 加:50.0s 等前:0.0s 等后:0.0s)</t>
        </is>
      </c>
    </row>
    <row r="91">
      <c r="A91" s="15" t="n">
        <v>90</v>
      </c>
      <c r="B91" s="15" t="inlineStr">
        <is>
          <t>Car#90</t>
        </is>
      </c>
      <c r="C91" s="15" t="inlineStr">
        <is>
          <t>C</t>
        </is>
      </c>
      <c r="D91" s="16" t="n">
        <v>5727</v>
      </c>
      <c r="E91" s="16" t="n">
        <v>7217.5</v>
      </c>
      <c r="F91" s="16" t="n">
        <v>1490.5</v>
      </c>
      <c r="G91" s="16" t="n">
        <v>632</v>
      </c>
      <c r="H91" s="15" t="inlineStr">
        <is>
          <t>Car#89</t>
        </is>
      </c>
      <c r="I91" s="16">
        <f>E91-E90</f>
        <v/>
      </c>
      <c r="J91" s="16">
        <f>I91-58</f>
        <v/>
      </c>
      <c r="K91" s="16">
        <f>MAX(0,J91)</f>
        <v/>
      </c>
      <c r="L91" s="16">
        <f>MAX(0,-J91)</f>
        <v/>
      </c>
      <c r="M91" s="16">
        <f>M90+I91</f>
        <v/>
      </c>
      <c r="N91" s="16">
        <f>D91+F91-E91</f>
        <v/>
      </c>
      <c r="O91" s="15" t="inlineStr">
        <is>
          <t>能力超目标：四轮定位上、下、ARHUD+慢充</t>
        </is>
      </c>
      <c r="P91" s="15" t="inlineStr">
        <is>
          <t>ST1 引取(开:5727.0s 加:56.0s 等前:565.0s 等后:0.0s) | ST2 集约(开:5783.0s 加:111.0s 等前:0.0s 等后:29.0s) | ST3 空气悬挂+快充(开:5923.0s 加:108.5s 等前:0.0s 等后:12.0s) | ST4 四轮定位上、下(开:6043.5s 加:120.5s 等前:0.0s 等后:0.0s) | ST5 ADAS(开:6164.0s 加:107.0s 等前:0.0s 等后:26.0s) | ST6 ARHUD+慢充(开:6297.0s 加:143.5s 等前:0.0s 等后:0.0s) | ST7 转毂(开:6440.5s 加:114.5s 等前:0.0s 等后:0.0s) | ST8 制动(开:6555.0s 加:114.0s 等前:0.0s 等后:0.0s) | ST9 EG漏液/底盘漏液(开:6669.0s 加:112.5s 等前:0.0s 等后:0.0s) | ST10 全景/空调检查(开:6781.5s 加:0.0s 等前:0.0s 等后:0.0s) | ST11 气囊安装+绝缘(开:6781.5s 加:116.0s 等前:0.0s 等后:0.0s) | ST12 L2++(开:6897.5s 加:88.0s 等前:0.0s 等后:0.0s) | ST13 电检1(开:6985.5s 加:84.5s 等前:0.0s 等后:0.0s) | ST14 电检2(开:7070.0s 加:97.5s 等前:0.0s 等后:0.0s) | ST15 小跑道(开:7167.5s 加:50.0s 等前:0.0s 等后:0.0s)</t>
        </is>
      </c>
    </row>
    <row r="92">
      <c r="A92" s="13" t="n">
        <v>91</v>
      </c>
      <c r="B92" s="13" t="inlineStr">
        <is>
          <t>Car#91</t>
        </is>
      </c>
      <c r="C92" s="13" t="inlineStr">
        <is>
          <t>B</t>
        </is>
      </c>
      <c r="D92" s="14" t="n">
        <v>5783</v>
      </c>
      <c r="E92" s="14" t="n">
        <v>7267.5</v>
      </c>
      <c r="F92" s="14" t="n">
        <v>1484.5</v>
      </c>
      <c r="G92" s="14" t="n">
        <v>716</v>
      </c>
      <c r="H92" s="13" t="inlineStr">
        <is>
          <t>Car#90</t>
        </is>
      </c>
      <c r="I92" s="14">
        <f>E92-E91</f>
        <v/>
      </c>
      <c r="J92" s="14">
        <f>I92-58</f>
        <v/>
      </c>
      <c r="K92" s="14">
        <f>MAX(0,J92)</f>
        <v/>
      </c>
      <c r="L92" s="14">
        <f>MAX(0,-J92)</f>
        <v/>
      </c>
      <c r="M92" s="14">
        <f>M91+I92</f>
        <v/>
      </c>
      <c r="N92" s="14">
        <f>D92+F92-E92</f>
        <v/>
      </c>
      <c r="O92" s="13" t="inlineStr">
        <is>
          <t>能力超目标：四轮定位上、下</t>
        </is>
      </c>
      <c r="P92" s="13" t="inlineStr">
        <is>
          <t>ST1 引取(开:5783.0s 加:56.0s 等前:563.0s 等后:31.5s) | ST2 集约(开:5870.5s 加:111.0s 等前:0.0s 等后:9.5s) | ST3 空气悬挂+快充(开:5991.0s 加:108.5s 等前:0.0s 等后:12.0s) | ST4 四轮定位上、下(开:6111.5s 加:120.5s 等前:0.0s 等后:0.0s) | ST5 ADAS(开:6232.0s 加:107.0s 等前:0.0s 等后:23.0s) | ST6 ARHUD+慢充(开:6362.0s 加:51.5s 等前:0.0s 等后:63.0s) | ST7 转毂(开:6476.5s 加:114.5s 等前:0.0s 等后:0.0s) | ST8 制动(开:6591.0s 加:114.0s 等前:0.0s 等后:0.0s) | ST9 EG漏液/底盘漏液(开:6705.0s 加:112.5s 等前:0.0s 等后:0.0s) | ST10 全景/空调检查(开:6817.5s 加:0.0s 等前:0.0s 等后:1.5s) | ST11 气囊安装+绝缘(开:6819.0s 加:116.0s 等前:0.0s 等后:0.0s) | ST12 L2++(开:6935.0s 加:88.0s 等前:0.0s 等后:0.0s) | ST13 电检1(开:7023.0s 加:84.5s 等前:0.0s 等后:0.0s) | ST14 电检2(开:7107.5s 加:97.5s 等前:0.0s 等后:12.5s) | ST15 小跑道(开:7217.5s 加:50.0s 等前:0.0s 等后:0.0s)</t>
        </is>
      </c>
    </row>
    <row r="93">
      <c r="A93" s="15" t="n">
        <v>92</v>
      </c>
      <c r="B93" s="15" t="inlineStr">
        <is>
          <t>Car#92</t>
        </is>
      </c>
      <c r="C93" s="15" t="inlineStr">
        <is>
          <t>B</t>
        </is>
      </c>
      <c r="D93" s="16" t="n">
        <v>5870.5</v>
      </c>
      <c r="E93" s="16" t="n">
        <v>7333.5</v>
      </c>
      <c r="F93" s="16" t="n">
        <v>1463</v>
      </c>
      <c r="G93" s="16" t="n">
        <v>724</v>
      </c>
      <c r="H93" s="15" t="inlineStr">
        <is>
          <t>Car#91</t>
        </is>
      </c>
      <c r="I93" s="16">
        <f>E93-E92</f>
        <v/>
      </c>
      <c r="J93" s="16">
        <f>I93-58</f>
        <v/>
      </c>
      <c r="K93" s="16">
        <f>MAX(0,J93)</f>
        <v/>
      </c>
      <c r="L93" s="16">
        <f>MAX(0,-J93)</f>
        <v/>
      </c>
      <c r="M93" s="16">
        <f>M92+I93</f>
        <v/>
      </c>
      <c r="N93" s="16">
        <f>D93+F93-E93</f>
        <v/>
      </c>
      <c r="O93" s="15" t="inlineStr">
        <is>
          <t>能力超目标：四轮定位上、下</t>
        </is>
      </c>
      <c r="P93" s="15" t="inlineStr">
        <is>
          <t>ST1 引取(开:5870.5s 加:56.0s 等前:592.5s 等后:0.0s) | ST2 集约(开:5926.5s 加:111.0s 等前:0.0s 等后:6.0s) | ST3 空气悬挂+快充(开:6043.5s 加:108.5s 等前:0.0s 等后:12.0s) | ST4 四轮定位上、下(开:6164.0s 加:120.5s 等前:0.0s 等后:12.5s) | ST5 ADAS(开:6297.0s 加:107.0s 等前:0.0s 等后:36.5s) | ST6 ARHUD+慢充(开:6440.5s 加:51.5s 等前:0.0s 等后:63.0s) | ST7 转毂(开:6555.0s 加:114.5s 等前:0.0s 等后:0.0s) | ST8 制动(开:6669.5s 加:114.0s 等前:0.0s 等后:0.0s) | ST9 EG漏液/底盘漏液(开:6783.5s 加:112.5s 等前:0.0s 等后:0.0s) | ST10 全景/空调检查(开:6896.0s 加:0.0s 等前:0.0s 等后:1.5s) | ST11 气囊安装+绝缘(开:6897.5s 加:116.0s 等前:0.0s 等后:0.0s) | ST12 L2++(开:7013.5s 加:88.0s 等前:0.0s 等后:0.0s) | ST13 电检1(开:7101.5s 加:84.5s 等前:0.0s 等后:0.0s) | ST14 电检2(开:7186.0s 加:97.5s 等前:0.0s 等后:0.0s) | ST15 小跑道(开:7283.5s 加:50.0s 等前:0.0s 等后:0.0s)</t>
        </is>
      </c>
    </row>
    <row r="94">
      <c r="A94" s="13" t="n">
        <v>93</v>
      </c>
      <c r="B94" s="13" t="inlineStr">
        <is>
          <t>Car#93</t>
        </is>
      </c>
      <c r="C94" s="13" t="inlineStr">
        <is>
          <t>B</t>
        </is>
      </c>
      <c r="D94" s="14" t="n">
        <v>5926.5</v>
      </c>
      <c r="E94" s="14" t="n">
        <v>7383.5</v>
      </c>
      <c r="F94" s="14" t="n">
        <v>1457</v>
      </c>
      <c r="G94" s="14" t="n">
        <v>716</v>
      </c>
      <c r="H94" s="13" t="inlineStr">
        <is>
          <t>Car#92</t>
        </is>
      </c>
      <c r="I94" s="14">
        <f>E94-E93</f>
        <v/>
      </c>
      <c r="J94" s="14">
        <f>I94-58</f>
        <v/>
      </c>
      <c r="K94" s="14">
        <f>MAX(0,J94)</f>
        <v/>
      </c>
      <c r="L94" s="14">
        <f>MAX(0,-J94)</f>
        <v/>
      </c>
      <c r="M94" s="14">
        <f>M93+I94</f>
        <v/>
      </c>
      <c r="N94" s="14">
        <f>D94+F94-E94</f>
        <v/>
      </c>
      <c r="O94" s="13" t="inlineStr">
        <is>
          <t>能力超目标：四轮定位上、下</t>
        </is>
      </c>
      <c r="P94" s="13" t="inlineStr">
        <is>
          <t>ST1 引取(开:5926.5s 加:56.0s 等前:590.5s 等后:8.5s) | ST2 集约(开:5991.0s 加:111.0s 等前:0.0s 等后:9.5s) | ST3 空气悬挂+快充(开:6111.5s 加:108.5s 等前:0.0s 等后:12.0s) | ST4 四轮定位上、下(开:6232.0s 加:120.5s 等前:0.0s 等后:9.5s) | ST5 ADAS(开:6362.0s 加:107.0s 等前:0.0s 等后:7.5s) | ST6 ARHUD+慢充(开:6476.5s 加:51.5s 等前:0.0s 等后:63.0s) | ST7 转毂(开:6591.0s 加:114.5s 等前:0.0s 等后:0.0s) | ST8 制动(开:6705.5s 加:114.0s 等前:0.0s 等后:0.0s) | ST9 EG漏液/底盘漏液(开:6819.5s 加:112.5s 等前:0.0s 等后:0.0s) | ST10 全景/空调检查(开:6932.0s 加:0.0s 等前:0.0s 等后:3.0s) | ST11 气囊安装+绝缘(开:6935.0s 加:116.0s 等前:0.0s 等后:0.0s) | ST12 L2++(开:7051.0s 加:88.0s 等前:0.0s 等后:0.0s) | ST13 电检1(开:7139.0s 加:84.5s 等前:0.0s 等后:0.0s) | ST14 电检2(开:7223.5s 加:97.5s 等前:0.0s 等后:12.5s) | ST15 小跑道(开:7333.5s 加:50.0s 等前:0.0s 等后:0.0s)</t>
        </is>
      </c>
    </row>
    <row r="95">
      <c r="A95" s="15" t="n">
        <v>94</v>
      </c>
      <c r="B95" s="15" t="inlineStr">
        <is>
          <t>Car#94</t>
        </is>
      </c>
      <c r="C95" s="15" t="inlineStr">
        <is>
          <t>C</t>
        </is>
      </c>
      <c r="D95" s="16" t="n">
        <v>5991</v>
      </c>
      <c r="E95" s="16" t="n">
        <v>7475.5</v>
      </c>
      <c r="F95" s="16" t="n">
        <v>1484.5</v>
      </c>
      <c r="G95" s="16" t="n">
        <v>658</v>
      </c>
      <c r="H95" s="15" t="inlineStr">
        <is>
          <t>Car#93</t>
        </is>
      </c>
      <c r="I95" s="16">
        <f>E95-E94</f>
        <v/>
      </c>
      <c r="J95" s="16">
        <f>I95-58</f>
        <v/>
      </c>
      <c r="K95" s="16">
        <f>MAX(0,J95)</f>
        <v/>
      </c>
      <c r="L95" s="16">
        <f>MAX(0,-J95)</f>
        <v/>
      </c>
      <c r="M95" s="16">
        <f>M94+I95</f>
        <v/>
      </c>
      <c r="N95" s="16">
        <f>D95+F95-E95</f>
        <v/>
      </c>
      <c r="O95" s="15" t="inlineStr">
        <is>
          <t>能力超目标：四轮定位上、下、ARHUD+慢充</t>
        </is>
      </c>
      <c r="P95" s="15" t="inlineStr">
        <is>
          <t>ST1 引取(开:5991.0s 加:56.0s 等前:597.0s 等后:0.0s) | ST2 集约(开:6047.0s 加:111.0s 等前:0.0s 等后:6.0s) | ST3 空气悬挂+快充(开:6164.0s 加:108.5s 等前:0.0s 等后:24.5s) | ST4 四轮定位上、下(开:6297.0s 加:120.5s 等前:0.0s 等后:23.0s) | ST5 ADAS(开:6440.5s 加:107.0s 等前:0.0s 等后:7.5s) | ST6 ARHUD+慢充(开:6555.0s 加:143.5s 等前:0.0s 等后:0.0s) | ST7 转毂(开:6698.5s 加:114.5s 等前:0.0s 等后:0.0s) | ST8 制动(开:6813.0s 加:114.0s 等前:0.0s 等后:0.0s) | ST9 EG漏液/底盘漏液(开:6927.0s 加:112.5s 等前:0.0s 等后:0.0s) | ST10 全景/空调检查(开:7039.5s 加:0.0s 等前:0.0s 等后:0.0s) | ST11 气囊安装+绝缘(开:7039.5s 加:116.0s 等前:0.0s 等后:0.0s) | ST12 L2++(开:7155.5s 加:88.0s 等前:0.0s 等后:0.0s) | ST13 电检1(开:7243.5s 加:84.5s 等前:0.0s 等后:0.0s) | ST14 电检2(开:7328.0s 加:97.5s 等前:0.0s 等后:0.0s) | ST15 小跑道(开:7425.5s 加:50.0s 等前:0.0s 等后:0.0s)</t>
        </is>
      </c>
    </row>
    <row r="96">
      <c r="A96" s="13" t="n">
        <v>95</v>
      </c>
      <c r="B96" s="13" t="inlineStr">
        <is>
          <t>Car#96</t>
        </is>
      </c>
      <c r="C96" s="13" t="inlineStr">
        <is>
          <t>A</t>
        </is>
      </c>
      <c r="D96" s="14" t="n">
        <v>6111.5</v>
      </c>
      <c r="E96" s="14" t="n">
        <v>7526.5</v>
      </c>
      <c r="F96" s="14" t="n">
        <v>1415</v>
      </c>
      <c r="G96" s="14" t="n">
        <v>1155.5</v>
      </c>
      <c r="H96" s="13" t="inlineStr">
        <is>
          <t>Car#94</t>
        </is>
      </c>
      <c r="I96" s="14">
        <f>E96-E95</f>
        <v/>
      </c>
      <c r="J96" s="14">
        <f>I96-58</f>
        <v/>
      </c>
      <c r="K96" s="14">
        <f>MAX(0,J96)</f>
        <v/>
      </c>
      <c r="L96" s="14">
        <f>MAX(0,-J96)</f>
        <v/>
      </c>
      <c r="M96" s="14">
        <f>M95+I96</f>
        <v/>
      </c>
      <c r="N96" s="14">
        <f>D96+F96-E96</f>
        <v/>
      </c>
      <c r="O96" s="13" t="inlineStr">
        <is>
          <t>能力满足</t>
        </is>
      </c>
      <c r="P96" s="13" t="inlineStr">
        <is>
          <t>ST1 引取(开:6111.5s 加:55.0s 等前:601.5s 等后:0.0s) | ST2 集约(开:6166.5s 加:106.0s 等前:0.0s 等后:24.5s) | ST3 空气悬挂+快充(开:6297.0s 加:0.0s 等前:0.0s 等后:143.5s) | ST4 四轮定位上、下(开:6440.5s 加:115.0s 等前:0.0s 等后:0.0s) | ST5 ADAS(开:6555.5s 加:97.0s 等前:0.0s 等后:46.0s) | ST6 ARHUD+慢充(开:6698.5s 加:0.0s 等前:0.0s 等后:114.5s) | ST7 转毂(开:6813.0s 加:116.0s 等前:0.0s 等后:0.0s) | ST8 制动(开:6929.0s 加:108.0s 等前:0.0s 等后:2.5s) | ST9 EG漏液/底盘漏液(开:7039.5s 加:115.0s 等前:0.0s 等后:0.0s) | ST10 全景/空调检查(开:7154.5s 加:98.0s 等前:0.0s 等后:0.0s) | ST11 气囊安装+绝缘(开:7252.5s 加:0.0s 等前:0.0s 等后:0.0s) | ST12 L2++(开:7252.5s 加:0.0s 等前:0.0s 等后:75.5s) | ST13 电检1(开:7328.0s 加:0.0s 等前:0.0s 等后:97.5s) | ST14 电检2(开:7425.5s 加:0.0s 等前:0.0s 等后:50.0s) | ST15 小跑道(开:7475.5s 加:51.0s 等前:0.0s 等后:0.0s)</t>
        </is>
      </c>
    </row>
    <row r="97">
      <c r="A97" s="15" t="n">
        <v>96</v>
      </c>
      <c r="B97" s="15" t="inlineStr">
        <is>
          <t>Car#95</t>
        </is>
      </c>
      <c r="C97" s="15" t="inlineStr">
        <is>
          <t>C</t>
        </is>
      </c>
      <c r="D97" s="16" t="n">
        <v>6047</v>
      </c>
      <c r="E97" s="16" t="n">
        <v>7576.5</v>
      </c>
      <c r="F97" s="16" t="n">
        <v>1529.5</v>
      </c>
      <c r="G97" s="16" t="n">
        <v>701</v>
      </c>
      <c r="H97" s="15" t="inlineStr">
        <is>
          <t>Car#96</t>
        </is>
      </c>
      <c r="I97" s="16">
        <f>E97-E96</f>
        <v/>
      </c>
      <c r="J97" s="16">
        <f>I97-58</f>
        <v/>
      </c>
      <c r="K97" s="16">
        <f>MAX(0,J97)</f>
        <v/>
      </c>
      <c r="L97" s="16">
        <f>MAX(0,-J97)</f>
        <v/>
      </c>
      <c r="M97" s="16">
        <f>M96+I97</f>
        <v/>
      </c>
      <c r="N97" s="16">
        <f>D97+F97-E97</f>
        <v/>
      </c>
      <c r="O97" s="15" t="inlineStr">
        <is>
          <t>能力超目标：四轮定位上、下、ARHUD+慢充</t>
        </is>
      </c>
      <c r="P97" s="15" t="inlineStr">
        <is>
          <t>ST1 引取(开:6047.0s 加:56.0s 等前:595.0s 等后:8.5s) | ST2 集约(开:6111.5s 加:111.0s 等前:0.0s 等后:9.5s) | ST3 空气悬挂+快充(开:6232.0s 加:108.5s 等前:0.0s 等后:21.5s) | ST4 四轮定位上、下(开:6362.0s 加:120.5s 等前:0.0s 等后:0.0s) | ST5 ADAS(开:6482.5s 加:107.0s 等前:0.0s 等后:1.5s) | ST6 ARHUD+慢充(开:6591.0s 加:143.5s 等前:0.0s 等后:0.0s) | ST7 转毂(开:6734.5s 加:114.5s 等前:0.0s 等后:0.0s) | ST8 制动(开:6849.0s 加:114.0s 等前:0.0s 等后:0.0s) | ST9 EG漏液/底盘漏液(开:6963.0s 加:112.5s 等前:0.0s 等后:0.0s) | ST10 全景/空调检查(开:7075.5s 加:0.0s 等前:0.0s 等后:0.0s) | ST11 气囊安装+绝缘(开:7075.5s 加:116.0s 等前:0.0s 等后:0.0s) | ST12 L2++(开:7191.5s 加:88.0s 等前:0.0s 等后:0.0s) | ST13 电检1(开:7279.5s 加:84.5s 等前:0.0s 等后:0.0s) | ST14 电检2(开:7364.0s 加:97.5s 等前:0.0s 等后:65.0s) | ST15 小跑道(开:7526.5s 加:50.0s 等前:0.0s 等后:0.0s)</t>
        </is>
      </c>
    </row>
    <row r="98">
      <c r="A98" s="13" t="n">
        <v>97</v>
      </c>
      <c r="B98" s="13" t="inlineStr">
        <is>
          <t>Car#97</t>
        </is>
      </c>
      <c r="C98" s="13" t="inlineStr">
        <is>
          <t>A</t>
        </is>
      </c>
      <c r="D98" s="14" t="n">
        <v>6166.5</v>
      </c>
      <c r="E98" s="14" t="n">
        <v>7627.5</v>
      </c>
      <c r="F98" s="14" t="n">
        <v>1461</v>
      </c>
      <c r="G98" s="14" t="n">
        <v>1198.5</v>
      </c>
      <c r="H98" s="13" t="inlineStr">
        <is>
          <t>Car#95</t>
        </is>
      </c>
      <c r="I98" s="14">
        <f>E98-E97</f>
        <v/>
      </c>
      <c r="J98" s="14">
        <f>I98-58</f>
        <v/>
      </c>
      <c r="K98" s="14">
        <f>MAX(0,J98)</f>
        <v/>
      </c>
      <c r="L98" s="14">
        <f>MAX(0,-J98)</f>
        <v/>
      </c>
      <c r="M98" s="14">
        <f>M97+I98</f>
        <v/>
      </c>
      <c r="N98" s="14">
        <f>D98+F98-E98</f>
        <v/>
      </c>
      <c r="O98" s="13" t="inlineStr">
        <is>
          <t>能力满足</t>
        </is>
      </c>
      <c r="P98" s="13" t="inlineStr">
        <is>
          <t>ST1 引取(开:6166.5s 加:55.0s 等前:598.5s 等后:10.5s) | ST2 集约(开:6232.0s 加:106.0s 等前:0.0s 等后:24.0s) | ST3 空气悬挂+快充(开:6362.0s 加:0.0s 等前:0.0s 等后:120.5s) | ST4 四轮定位上、下(开:6482.5s 加:115.0s 等前:0.0s 等后:0.0s) | ST5 ADAS(开:6597.5s 加:97.0s 等前:0.0s 等后:40.0s) | ST6 ARHUD+慢充(开:6734.5s 加:0.0s 等前:0.0s 等后:114.5s) | ST7 转毂(开:6849.0s 加:116.0s 等前:0.0s 等后:0.0s) | ST8 制动(开:6965.0s 加:108.0s 等前:0.0s 等后:2.5s) | ST9 EG漏液/底盘漏液(开:7075.5s 加:115.0s 等前:0.0s 等后:0.0s) | ST10 全景/空调检查(开:7190.5s 加:98.0s 等前:0.0s 等后:0.0s) | ST11 气囊安装+绝缘(开:7288.5s 加:0.0s 等前:0.0s 等后:0.0s) | ST12 L2++(开:7288.5s 加:0.0s 等前:0.0s 等后:75.5s) | ST13 电检1(开:7364.0s 加:0.0s 等前:0.0s 等后:162.5s) | ST14 电检2(开:7526.5s 加:0.0s 等前:0.0s 等后:50.0s) | ST15 小跑道(开:7576.5s 加:51.0s 等前:0.0s 等后:0.0s)</t>
        </is>
      </c>
    </row>
    <row r="99">
      <c r="A99" s="15" t="n">
        <v>98</v>
      </c>
      <c r="B99" s="15" t="inlineStr">
        <is>
          <t>Car#98</t>
        </is>
      </c>
      <c r="C99" s="15" t="inlineStr">
        <is>
          <t>C</t>
        </is>
      </c>
      <c r="D99" s="16" t="n">
        <v>6232</v>
      </c>
      <c r="E99" s="16" t="n">
        <v>7733.5</v>
      </c>
      <c r="F99" s="16" t="n">
        <v>1501.5</v>
      </c>
      <c r="G99" s="16" t="n">
        <v>684</v>
      </c>
      <c r="H99" s="15" t="inlineStr">
        <is>
          <t>Car#97</t>
        </is>
      </c>
      <c r="I99" s="16">
        <f>E99-E98</f>
        <v/>
      </c>
      <c r="J99" s="16">
        <f>I99-58</f>
        <v/>
      </c>
      <c r="K99" s="16">
        <f>MAX(0,J99)</f>
        <v/>
      </c>
      <c r="L99" s="16">
        <f>MAX(0,-J99)</f>
        <v/>
      </c>
      <c r="M99" s="16">
        <f>M98+I99</f>
        <v/>
      </c>
      <c r="N99" s="16">
        <f>D99+F99-E99</f>
        <v/>
      </c>
      <c r="O99" s="15" t="inlineStr">
        <is>
          <t>能力超目标：四轮定位上、下、ARHUD+慢充</t>
        </is>
      </c>
      <c r="P99" s="15" t="inlineStr">
        <is>
          <t>ST1 引取(开:6232.0s 加:56.0s 等前:606.0s 等后:9.0s) | ST2 集约(开:6297.0s 加:111.0s 等前:0.0s 等后:32.5s) | ST3 空气悬挂+快充(开:6440.5s 加:108.5s 等前:0.0s 等后:6.5s) | ST4 四轮定位上、下(开:6555.5s 加:120.5s 等前:0.0s 等后:22.5s) | ST5 ADAS(开:6698.5s 加:107.0s 等前:0.0s 等后:7.5s) | ST6 ARHUD+慢充(开:6813.0s 加:143.5s 等前:0.0s 等后:0.0s) | ST7 转毂(开:6956.5s 加:114.5s 等前:0.0s 等后:0.0s) | ST8 制动(开:7071.0s 加:114.0s 等前:0.0s 等后:0.0s) | ST9 EG漏液/底盘漏液(开:7185.0s 加:112.5s 等前:0.0s 等后:0.0s) | ST10 全景/空调检查(开:7297.5s 加:0.0s 等前:0.0s 等后:0.0s) | ST11 气囊安装+绝缘(开:7297.5s 加:116.0s 等前:0.0s 等后:0.0s) | ST12 L2++(开:7413.5s 加:88.0s 等前:0.0s 等后:0.0s) | ST13 电检1(开:7501.5s 加:84.5s 等前:0.0s 等后:0.0s) | ST14 电检2(开:7586.0s 加:97.5s 等前:0.0s 等后:0.0s) | ST15 小跑道(开:7683.5s 加:50.0s 等前:0.0s 等后:0.0s)</t>
        </is>
      </c>
    </row>
    <row r="100">
      <c r="A100" s="13" t="n">
        <v>99</v>
      </c>
      <c r="B100" s="13" t="inlineStr">
        <is>
          <t>Car#99</t>
        </is>
      </c>
      <c r="C100" s="13" t="inlineStr">
        <is>
          <t>C</t>
        </is>
      </c>
      <c r="D100" s="14" t="n">
        <v>6297</v>
      </c>
      <c r="E100" s="14" t="n">
        <v>7783.5</v>
      </c>
      <c r="F100" s="14" t="n">
        <v>1486.5</v>
      </c>
      <c r="G100" s="14" t="n">
        <v>676</v>
      </c>
      <c r="H100" s="13" t="inlineStr">
        <is>
          <t>Car#98</t>
        </is>
      </c>
      <c r="I100" s="14">
        <f>E100-E99</f>
        <v/>
      </c>
      <c r="J100" s="14">
        <f>I100-58</f>
        <v/>
      </c>
      <c r="K100" s="14">
        <f>MAX(0,J100)</f>
        <v/>
      </c>
      <c r="L100" s="14">
        <f>MAX(0,-J100)</f>
        <v/>
      </c>
      <c r="M100" s="14">
        <f>M99+I100</f>
        <v/>
      </c>
      <c r="N100" s="14">
        <f>D100+F100-E100</f>
        <v/>
      </c>
      <c r="O100" s="13" t="inlineStr">
        <is>
          <t>能力超目标：四轮定位上、下、ARHUD+慢充</t>
        </is>
      </c>
      <c r="P100" s="13" t="inlineStr">
        <is>
          <t>ST1 引取(开:6297.0s 加:56.0s 等前:613.0s 等后:9.0s) | ST2 集约(开:6362.0s 加:111.0s 等前:0.0s 等后:9.5s) | ST3 空气悬挂+快充(开:6482.5s 加:108.5s 等前:0.0s 等后:6.5s) | ST4 四轮定位上、下(开:6597.5s 加:120.5s 等前:0.0s 等后:16.5s) | ST5 ADAS(开:6734.5s 加:107.0s 等前:0.0s 等后:7.5s) | ST6 ARHUD+慢充(开:6849.0s 加:143.5s 等前:0.0s 等后:0.0s) | ST7 转毂(开:6992.5s 加:114.5s 等前:0.0s 等后:0.0s) | ST8 制动(开:7107.0s 加:114.0s 等前:0.0s 等后:0.0s) | ST9 EG漏液/底盘漏液(开:7221.0s 加:112.5s 等前:0.0s 等后:0.0s) | ST10 全景/空调检查(开:7333.5s 加:0.0s 等前:0.0s 等后:0.0s) | ST11 气囊安装+绝缘(开:7333.5s 加:116.0s 等前:0.0s 等后:0.0s) | ST12 L2++(开:7449.5s 加:88.0s 等前:0.0s 等后:0.0s) | ST13 电检1(开:7537.5s 加:84.5s 等前:0.0s 等后:0.0s) | ST14 电检2(开:7622.0s 加:97.5s 等前:0.0s 等后:14.0s) | ST15 小跑道(开:7733.5s 加:50.0s 等前:0.0s 等后:0.0s)</t>
        </is>
      </c>
    </row>
    <row r="101">
      <c r="A101" s="15" t="n">
        <v>100</v>
      </c>
      <c r="B101" s="15" t="inlineStr">
        <is>
          <t>Car#100</t>
        </is>
      </c>
      <c r="C101" s="15" t="inlineStr">
        <is>
          <t>C</t>
        </is>
      </c>
      <c r="D101" s="16" t="n">
        <v>6362</v>
      </c>
      <c r="E101" s="16" t="n">
        <v>7877</v>
      </c>
      <c r="F101" s="16" t="n">
        <v>1515</v>
      </c>
      <c r="G101" s="16" t="n">
        <v>711.5</v>
      </c>
      <c r="H101" s="15" t="inlineStr">
        <is>
          <t>Car#99</t>
        </is>
      </c>
      <c r="I101" s="16">
        <f>E101-E100</f>
        <v/>
      </c>
      <c r="J101" s="16">
        <f>I101-58</f>
        <v/>
      </c>
      <c r="K101" s="16">
        <f>MAX(0,J101)</f>
        <v/>
      </c>
      <c r="L101" s="16">
        <f>MAX(0,-J101)</f>
        <v/>
      </c>
      <c r="M101" s="16">
        <f>M100+I101</f>
        <v/>
      </c>
      <c r="N101" s="16">
        <f>D101+F101-E101</f>
        <v/>
      </c>
      <c r="O101" s="15" t="inlineStr">
        <is>
          <t>能力超目标：四轮定位上、下、ARHUD+慢充</t>
        </is>
      </c>
      <c r="P101" s="15" t="inlineStr">
        <is>
          <t>ST1 引取(开:6362.0s 加:56.0s 等前:620.0s 等后:22.5s) | ST2 集约(开:6440.5s 加:111.0s 等前:0.0s 等后:4.0s) | ST3 空气悬挂+快充(开:6555.5s 加:108.5s 等前:0.0s 等后:34.5s) | ST4 四轮定位上、下(开:6698.5s 加:120.5s 等前:0.0s 等后:0.0s) | ST5 ADAS(开:6819.0s 加:107.0s 等前:0.0s 等后:30.5s) | ST6 ARHUD+慢充(开:6956.5s 加:143.5s 等前:0.0s 等后:0.0s) | ST7 转毂(开:7100.0s 加:114.5s 等前:0.0s 等后:0.0s) | ST8 制动(开:7214.5s 加:114.0s 等前:0.0s 等后:0.0s) | ST9 EG漏液/底盘漏液(开:7328.5s 加:112.5s 等前:0.0s 等后:0.0s) | ST10 全景/空调检查(开:7441.0s 加:0.0s 等前:0.0s 等后:0.0s) | ST11 气囊安装+绝缘(开:7441.0s 加:116.0s 等前:0.0s 等后:0.0s) | ST12 L2++(开:7557.0s 加:88.0s 等前:0.0s 等后:0.0s) | ST13 电检1(开:7645.0s 加:84.5s 等前:0.0s 等后:0.0s) | ST14 电检2(开:7729.5s 加:97.5s 等前:0.0s 等后:0.0s) | ST15 小跑道(开:7827.0s 加:50.0s 等前:0.0s 等后:0.0s)</t>
        </is>
      </c>
    </row>
    <row r="102">
      <c r="A102" s="13" t="n">
        <v>101</v>
      </c>
      <c r="B102" s="13" t="inlineStr">
        <is>
          <t>Car#101</t>
        </is>
      </c>
      <c r="C102" s="13" t="inlineStr">
        <is>
          <t>C</t>
        </is>
      </c>
      <c r="D102" s="14" t="n">
        <v>6440.5</v>
      </c>
      <c r="E102" s="14" t="n">
        <v>7927</v>
      </c>
      <c r="F102" s="14" t="n">
        <v>1486.5</v>
      </c>
      <c r="G102" s="14" t="n">
        <v>703.5</v>
      </c>
      <c r="H102" s="13" t="inlineStr">
        <is>
          <t>Car#100</t>
        </is>
      </c>
      <c r="I102" s="14">
        <f>E102-E101</f>
        <v/>
      </c>
      <c r="J102" s="14">
        <f>I102-58</f>
        <v/>
      </c>
      <c r="K102" s="14">
        <f>MAX(0,J102)</f>
        <v/>
      </c>
      <c r="L102" s="14">
        <f>MAX(0,-J102)</f>
        <v/>
      </c>
      <c r="M102" s="14">
        <f>M101+I102</f>
        <v/>
      </c>
      <c r="N102" s="14">
        <f>D102+F102-E102</f>
        <v/>
      </c>
      <c r="O102" s="13" t="inlineStr">
        <is>
          <t>能力超目标：四轮定位上、下、ARHUD+慢充</t>
        </is>
      </c>
      <c r="P102" s="13" t="inlineStr">
        <is>
          <t>ST1 引取(开:6440.5s 加:56.0s 等前:640.5s 等后:0.0s) | ST2 集约(开:6496.5s 加:111.0s 等前:0.0s 等后:0.0s) | ST3 空气悬挂+快充(开:6607.5s 加:108.5s 等前:0.0s 等后:18.5s) | ST4 四轮定位上、下(开:6734.5s 加:120.5s 等前:0.0s 等后:0.0s) | ST5 ADAS(开:6855.0s 加:107.0s 等前:0.0s 等后:30.5s) | ST6 ARHUD+慢充(开:6992.5s 加:143.5s 等前:0.0s 等后:0.0s) | ST7 转毂(开:7136.0s 加:114.5s 等前:0.0s 等后:0.0s) | ST8 制动(开:7250.5s 加:114.0s 等前:0.0s 等后:0.0s) | ST9 EG漏液/底盘漏液(开:7364.5s 加:112.5s 等前:0.0s 等后:0.0s) | ST10 全景/空调检查(开:7477.0s 加:0.0s 等前:0.0s 等后:0.0s) | ST11 气囊安装+绝缘(开:7477.0s 加:116.0s 等前:0.0s 等后:0.0s) | ST12 L2++(开:7593.0s 加:88.0s 等前:0.0s 等后:0.0s) | ST13 电检1(开:7681.0s 加:84.5s 等前:0.0s 等后:0.0s) | ST14 电检2(开:7765.5s 加:97.5s 等前:0.0s 等后:14.0s) | ST15 小跑道(开:7877.0s 加:50.0s 等前:0.0s 等后:0.0s)</t>
        </is>
      </c>
    </row>
    <row r="103">
      <c r="A103" s="15" t="n">
        <v>102</v>
      </c>
      <c r="B103" s="15" t="inlineStr">
        <is>
          <t>Car#102</t>
        </is>
      </c>
      <c r="C103" s="15" t="inlineStr">
        <is>
          <t>B</t>
        </is>
      </c>
      <c r="D103" s="16" t="n">
        <v>6496.5</v>
      </c>
      <c r="E103" s="16" t="n">
        <v>7993</v>
      </c>
      <c r="F103" s="16" t="n">
        <v>1496.5</v>
      </c>
      <c r="G103" s="16" t="n">
        <v>803.5</v>
      </c>
      <c r="H103" s="15" t="inlineStr">
        <is>
          <t>Car#101</t>
        </is>
      </c>
      <c r="I103" s="16">
        <f>E103-E102</f>
        <v/>
      </c>
      <c r="J103" s="16">
        <f>I103-58</f>
        <v/>
      </c>
      <c r="K103" s="16">
        <f>MAX(0,J103)</f>
        <v/>
      </c>
      <c r="L103" s="16">
        <f>MAX(0,-J103)</f>
        <v/>
      </c>
      <c r="M103" s="16">
        <f>M102+I103</f>
        <v/>
      </c>
      <c r="N103" s="16">
        <f>D103+F103-E103</f>
        <v/>
      </c>
      <c r="O103" s="15" t="inlineStr">
        <is>
          <t>能力超目标：四轮定位上、下</t>
        </is>
      </c>
      <c r="P103" s="15" t="inlineStr">
        <is>
          <t>ST1 引取(开:6496.5s 加:56.0s 等前:638.5s 等后:3.0s) | ST2 集约(开:6555.5s 加:111.0s 等前:0.0s 等后:32.0s) | ST3 空气悬挂+快充(开:6698.5s 加:108.5s 等前:0.0s 等后:12.0s) | ST4 四轮定位上、下(开:6819.0s 加:120.5s 等前:0.0s 等后:17.0s) | ST5 ADAS(开:6956.5s 加:107.0s 等前:0.0s 等后:36.5s) | ST6 ARHUD+慢充(开:7100.0s 加:51.5s 等前:0.0s 等后:63.0s) | ST7 转毂(开:7214.5s 加:114.5s 等前:0.0s 等后:0.0s) | ST8 制动(开:7329.0s 加:114.0s 等前:0.0s 等后:0.0s) | ST9 EG漏液/底盘漏液(开:7443.0s 加:112.5s 等前:0.0s 等后:0.0s) | ST10 全景/空调检查(开:7555.5s 加:0.0s 等前:0.0s 等后:1.5s) | ST11 气囊安装+绝缘(开:7557.0s 加:116.0s 等前:0.0s 等后:0.0s) | ST12 L2++(开:7673.0s 加:88.0s 等前:0.0s 等后:0.0s) | ST13 电检1(开:7761.0s 加:84.5s 等前:0.0s 等后:0.0s) | ST14 电检2(开:7845.5s 加:97.5s 等前:0.0s 等后:0.0s) | ST15 小跑道(开:7943.0s 加:50.0s 等前:0.0s 等后:0.0s)</t>
        </is>
      </c>
    </row>
    <row r="104">
      <c r="A104" s="13" t="n">
        <v>103</v>
      </c>
      <c r="B104" s="13" t="inlineStr">
        <is>
          <t>Car#104</t>
        </is>
      </c>
      <c r="C104" s="13" t="inlineStr">
        <is>
          <t>A</t>
        </is>
      </c>
      <c r="D104" s="14" t="n">
        <v>6611.5</v>
      </c>
      <c r="E104" s="14" t="n">
        <v>8044</v>
      </c>
      <c r="F104" s="14" t="n">
        <v>1432.5</v>
      </c>
      <c r="G104" s="14" t="n">
        <v>1209</v>
      </c>
      <c r="H104" s="13" t="inlineStr">
        <is>
          <t>Car#102</t>
        </is>
      </c>
      <c r="I104" s="14">
        <f>E104-E103</f>
        <v/>
      </c>
      <c r="J104" s="14">
        <f>I104-58</f>
        <v/>
      </c>
      <c r="K104" s="14">
        <f>MAX(0,J104)</f>
        <v/>
      </c>
      <c r="L104" s="14">
        <f>MAX(0,-J104)</f>
        <v/>
      </c>
      <c r="M104" s="14">
        <f>M103+I104</f>
        <v/>
      </c>
      <c r="N104" s="14">
        <f>D104+F104-E104</f>
        <v/>
      </c>
      <c r="O104" s="13" t="inlineStr">
        <is>
          <t>能力满足</t>
        </is>
      </c>
      <c r="P104" s="13" t="inlineStr">
        <is>
          <t>ST1 引取(开:6611.5s 加:55.0s 等前:637.5s 等后:32.0s) | ST2 集约(开:6698.5s 加:106.0s 等前:0.0s 等后:14.5s) | ST3 空气悬挂+快充(开:6819.0s 加:0.0s 等前:0.0s 等后:137.5s) | ST4 四轮定位上、下(开:6956.5s 加:115.0s 等前:0.0s 等后:28.5s) | ST5 ADAS(开:7100.0s 加:97.0s 等前:0.0s 等后:17.5s) | ST6 ARHUD+慢充(开:7214.5s 加:0.0s 等前:0.0s 等后:114.5s) | ST7 转毂(开:7329.0s 加:116.0s 等前:0.0s 等后:0.0s) | ST8 制动(开:7445.0s 加:108.0s 等前:0.0s 等后:2.5s) | ST9 EG漏液/底盘漏液(开:7555.5s 加:115.0s 等前:0.0s 等后:0.0s) | ST10 全景/空调检查(开:7670.5s 加:98.0s 等前:0.0s 等后:0.0s) | ST11 气囊安装+绝缘(开:7768.5s 加:0.0s 等前:0.0s 等后:0.0s) | ST12 L2++(开:7768.5s 加:0.0s 等前:0.0s 等后:77.0s) | ST13 电检1(开:7845.5s 加:0.0s 等前:0.0s 等后:97.5s) | ST14 电检2(开:7943.0s 加:0.0s 等前:0.0s 等后:50.0s) | ST15 小跑道(开:7993.0s 加:51.0s 等前:0.0s 等后:0.0s)</t>
        </is>
      </c>
    </row>
    <row r="105">
      <c r="A105" s="15" t="n">
        <v>104</v>
      </c>
      <c r="B105" s="15" t="inlineStr">
        <is>
          <t>Car#103</t>
        </is>
      </c>
      <c r="C105" s="15" t="inlineStr">
        <is>
          <t>B</t>
        </is>
      </c>
      <c r="D105" s="16" t="n">
        <v>6555.5</v>
      </c>
      <c r="E105" s="16" t="n">
        <v>8094</v>
      </c>
      <c r="F105" s="16" t="n">
        <v>1538.5</v>
      </c>
      <c r="G105" s="16" t="n">
        <v>846.5</v>
      </c>
      <c r="H105" s="15" t="inlineStr">
        <is>
          <t>Car#104</t>
        </is>
      </c>
      <c r="I105" s="16">
        <f>E105-E104</f>
        <v/>
      </c>
      <c r="J105" s="16">
        <f>I105-58</f>
        <v/>
      </c>
      <c r="K105" s="16">
        <f>MAX(0,J105)</f>
        <v/>
      </c>
      <c r="L105" s="16">
        <f>MAX(0,-J105)</f>
        <v/>
      </c>
      <c r="M105" s="16">
        <f>M104+I105</f>
        <v/>
      </c>
      <c r="N105" s="16">
        <f>D105+F105-E105</f>
        <v/>
      </c>
      <c r="O105" s="15" t="inlineStr">
        <is>
          <t>能力超目标：四轮定位上、下</t>
        </is>
      </c>
      <c r="P105" s="15" t="inlineStr">
        <is>
          <t>ST1 引取(开:6555.5s 加:56.0s 等前:639.5s 等后:0.0s) | ST2 集约(开:6611.5s 加:111.0s 等前:0.0s 等后:12.0s) | ST3 空气悬挂+快充(开:6734.5s 加:108.5s 等前:0.0s 等后:12.0s) | ST4 四轮定位上、下(开:6855.0s 加:120.5s 等前:0.0s 等后:17.0s) | ST5 ADAS(开:6992.5s 加:107.0s 等前:0.0s 等后:36.5s) | ST6 ARHUD+慢充(开:7136.0s 加:51.5s 等前:0.0s 等后:63.0s) | ST7 转毂(开:7250.5s 加:114.5s 等前:0.0s 等后:0.0s) | ST8 制动(开:7365.0s 加:114.0s 等前:0.0s 等后:0.0s) | ST9 EG漏液/底盘漏液(开:7479.0s 加:112.5s 等前:0.0s 等后:0.0s) | ST10 全景/空调检查(开:7591.5s 加:0.0s 等前:0.0s 等后:1.5s) | ST11 气囊安装+绝缘(开:7593.0s 加:116.0s 等前:0.0s 等后:0.0s) | ST12 L2++(开:7709.0s 加:88.0s 等前:0.0s 等后:0.0s) | ST13 电检1(开:7797.0s 加:84.5s 等前:0.0s 等后:0.0s) | ST14 电检2(开:7881.5s 加:97.5s 等前:0.0s 等后:65.0s) | ST15 小跑道(开:8044.0s 加:50.0s 等前:0.0s 等后:0.0s)</t>
        </is>
      </c>
    </row>
    <row r="106">
      <c r="A106" s="13" t="n">
        <v>105</v>
      </c>
      <c r="B106" s="13" t="inlineStr">
        <is>
          <t>Car#105</t>
        </is>
      </c>
      <c r="C106" s="13" t="inlineStr">
        <is>
          <t>A</t>
        </is>
      </c>
      <c r="D106" s="14" t="n">
        <v>6698.5</v>
      </c>
      <c r="E106" s="14" t="n">
        <v>8145</v>
      </c>
      <c r="F106" s="14" t="n">
        <v>1446.5</v>
      </c>
      <c r="G106" s="14" t="n">
        <v>1252</v>
      </c>
      <c r="H106" s="13" t="inlineStr">
        <is>
          <t>Car#103</t>
        </is>
      </c>
      <c r="I106" s="14">
        <f>E106-E105</f>
        <v/>
      </c>
      <c r="J106" s="14">
        <f>I106-58</f>
        <v/>
      </c>
      <c r="K106" s="14">
        <f>MAX(0,J106)</f>
        <v/>
      </c>
      <c r="L106" s="14">
        <f>MAX(0,-J106)</f>
        <v/>
      </c>
      <c r="M106" s="14">
        <f>M105+I106</f>
        <v/>
      </c>
      <c r="N106" s="14">
        <f>D106+F106-E106</f>
        <v/>
      </c>
      <c r="O106" s="13" t="inlineStr">
        <is>
          <t>能力满足</t>
        </is>
      </c>
      <c r="P106" s="13" t="inlineStr">
        <is>
          <t>ST1 引取(开:6698.5s 加:55.0s 等前:666.5s 等后:0.0s) | ST2 集约(开:6753.5s 加:106.0s 等前:0.0s 等后:0.0s) | ST3 空气悬挂+快充(开:6859.5s 加:0.0s 等前:0.0s 等后:133.0s) | ST4 四轮定位上、下(开:6992.5s 加:115.0s 等前:0.0s 等后:28.5s) | ST5 ADAS(开:7136.0s 加:97.0s 等前:0.0s 等后:17.5s) | ST6 ARHUD+慢充(开:7250.5s 加:0.0s 等前:0.0s 等后:114.5s) | ST7 转毂(开:7365.0s 加:116.0s 等前:0.0s 等后:0.0s) | ST8 制动(开:7481.0s 加:108.0s 等前:0.0s 等后:2.5s) | ST9 EG漏液/底盘漏液(开:7591.5s 加:115.0s 等前:0.0s 等后:0.0s) | ST10 全景/空调检查(开:7706.5s 加:98.0s 等前:0.0s 等后:0.0s) | ST11 气囊安装+绝缘(开:7804.5s 加:0.0s 等前:0.0s 等后:0.0s) | ST12 L2++(开:7804.5s 加:0.0s 等前:0.0s 等后:77.0s) | ST13 电检1(开:7881.5s 加:0.0s 等前:0.0s 等后:162.5s) | ST14 电检2(开:8044.0s 加:0.0s 等前:0.0s 等后:50.0s) | ST15 小跑道(开:8094.0s 加:51.0s 等前:0.0s 等后:0.0s)</t>
        </is>
      </c>
    </row>
    <row r="107">
      <c r="A107" s="15" t="n">
        <v>106</v>
      </c>
      <c r="B107" s="15" t="inlineStr">
        <is>
          <t>Car#106</t>
        </is>
      </c>
      <c r="C107" s="15" t="inlineStr">
        <is>
          <t>C</t>
        </is>
      </c>
      <c r="D107" s="16" t="n">
        <v>6753.5</v>
      </c>
      <c r="E107" s="16" t="n">
        <v>8249.5</v>
      </c>
      <c r="F107" s="16" t="n">
        <v>1496</v>
      </c>
      <c r="G107" s="16" t="n">
        <v>736</v>
      </c>
      <c r="H107" s="15" t="inlineStr">
        <is>
          <t>Car#105</t>
        </is>
      </c>
      <c r="I107" s="16">
        <f>E107-E106</f>
        <v/>
      </c>
      <c r="J107" s="16">
        <f>I107-58</f>
        <v/>
      </c>
      <c r="K107" s="16">
        <f>MAX(0,J107)</f>
        <v/>
      </c>
      <c r="L107" s="16">
        <f>MAX(0,-J107)</f>
        <v/>
      </c>
      <c r="M107" s="16">
        <f>M106+I107</f>
        <v/>
      </c>
      <c r="N107" s="16">
        <f>D107+F107-E107</f>
        <v/>
      </c>
      <c r="O107" s="15" t="inlineStr">
        <is>
          <t>能力超目标：四轮定位上、下、ARHUD+慢充</t>
        </is>
      </c>
      <c r="P107" s="15" t="inlineStr">
        <is>
          <t>ST1 引取(开:6753.5s 加:56.0s 等前:663.5s 等后:9.5s) | ST2 集约(开:6819.0s 加:111.0s 等前:0.0s 等后:26.5s) | ST3 空气悬挂+快充(开:6956.5s 加:108.5s 等前:0.0s 等后:35.0s) | ST4 四轮定位上、下(开:7100.0s 加:120.5s 等前:0.0s 等后:0.0s) | ST5 ADAS(开:7220.5s 加:107.0s 等前:0.0s 等后:1.5s) | ST6 ARHUD+慢充(开:7329.0s 加:143.5s 等前:0.0s 等后:0.0s) | ST7 转毂(开:7472.5s 加:114.5s 等前:0.0s 等后:0.0s) | ST8 制动(开:7587.0s 加:114.0s 等前:0.0s 等后:0.0s) | ST9 EG漏液/底盘漏液(开:7701.0s 加:112.5s 等前:0.0s 等后:0.0s) | ST10 全景/空调检查(开:7813.5s 加:0.0s 等前:0.0s 等后:0.0s) | ST11 气囊安装+绝缘(开:7813.5s 加:116.0s 等前:0.0s 等后:0.0s) | ST12 L2++(开:7929.5s 加:88.0s 等前:0.0s 等后:0.0s) | ST13 电检1(开:8017.5s 加:84.5s 等前:0.0s 等后:0.0s) | ST14 电检2(开:8102.0s 加:97.5s 等前:0.0s 等后:0.0s) | ST15 小跑道(开:8199.5s 加:50.0s 等前:0.0s 等后:0.0s)</t>
        </is>
      </c>
    </row>
    <row r="108">
      <c r="A108" s="13" t="n">
        <v>107</v>
      </c>
      <c r="B108" s="13" t="inlineStr">
        <is>
          <t>Car#107</t>
        </is>
      </c>
      <c r="C108" s="13" t="inlineStr">
        <is>
          <t>C</t>
        </is>
      </c>
      <c r="D108" s="14" t="n">
        <v>6819</v>
      </c>
      <c r="E108" s="14" t="n">
        <v>8299.5</v>
      </c>
      <c r="F108" s="14" t="n">
        <v>1480.5</v>
      </c>
      <c r="G108" s="14" t="n">
        <v>728</v>
      </c>
      <c r="H108" s="13" t="inlineStr">
        <is>
          <t>Car#106</t>
        </is>
      </c>
      <c r="I108" s="14">
        <f>E108-E107</f>
        <v/>
      </c>
      <c r="J108" s="14">
        <f>I108-58</f>
        <v/>
      </c>
      <c r="K108" s="14">
        <f>MAX(0,J108)</f>
        <v/>
      </c>
      <c r="L108" s="14">
        <f>MAX(0,-J108)</f>
        <v/>
      </c>
      <c r="M108" s="14">
        <f>M107+I108</f>
        <v/>
      </c>
      <c r="N108" s="14">
        <f>D108+F108-E108</f>
        <v/>
      </c>
      <c r="O108" s="13" t="inlineStr">
        <is>
          <t>能力超目标：四轮定位上、下、ARHUD+慢充</t>
        </is>
      </c>
      <c r="P108" s="13" t="inlineStr">
        <is>
          <t>ST1 引取(开:6819.0s 加:56.0s 等前:671.0s 等后:0.0s) | ST2 集约(开:6875.0s 加:111.0s 等前:0.0s 等后:6.5s) | ST3 空气悬挂+快充(开:6992.5s 加:108.5s 等前:0.0s 等后:35.0s) | ST4 四轮定位上、下(开:7136.0s 加:120.5s 等前:0.0s 等后:0.0s) | ST5 ADAS(开:7256.5s 加:107.0s 等前:0.0s 等后:1.5s) | ST6 ARHUD+慢充(开:7365.0s 加:143.5s 等前:0.0s 等后:0.0s) | ST7 转毂(开:7508.5s 加:114.5s 等前:0.0s 等后:0.0s) | ST8 制动(开:7623.0s 加:114.0s 等前:0.0s 等后:0.0s) | ST9 EG漏液/底盘漏液(开:7737.0s 加:112.5s 等前:0.0s 等后:0.0s) | ST10 全景/空调检查(开:7849.5s 加:0.0s 等前:0.0s 等后:0.0s) | ST11 气囊安装+绝缘(开:7849.5s 加:116.0s 等前:0.0s 等后:0.0s) | ST12 L2++(开:7965.5s 加:88.0s 等前:0.0s 等后:0.0s) | ST13 电检1(开:8053.5s 加:84.5s 等前:0.0s 等后:0.0s) | ST14 电检2(开:8138.0s 加:97.5s 等前:0.0s 等后:14.0s) | ST15 小跑道(开:8249.5s 加:50.0s 等前:0.0s 等后:0.0s)</t>
        </is>
      </c>
    </row>
    <row r="109">
      <c r="A109" s="15" t="n">
        <v>108</v>
      </c>
      <c r="B109" s="15" t="inlineStr">
        <is>
          <t>Car#108</t>
        </is>
      </c>
      <c r="C109" s="15" t="inlineStr">
        <is>
          <t>C</t>
        </is>
      </c>
      <c r="D109" s="16" t="n">
        <v>6875</v>
      </c>
      <c r="E109" s="16" t="n">
        <v>8393</v>
      </c>
      <c r="F109" s="16" t="n">
        <v>1518</v>
      </c>
      <c r="G109" s="16" t="n">
        <v>763.5</v>
      </c>
      <c r="H109" s="15" t="inlineStr">
        <is>
          <t>Car#107</t>
        </is>
      </c>
      <c r="I109" s="16">
        <f>E109-E108</f>
        <v/>
      </c>
      <c r="J109" s="16">
        <f>I109-58</f>
        <v/>
      </c>
      <c r="K109" s="16">
        <f>MAX(0,J109)</f>
        <v/>
      </c>
      <c r="L109" s="16">
        <f>MAX(0,-J109)</f>
        <v/>
      </c>
      <c r="M109" s="16">
        <f>M108+I109</f>
        <v/>
      </c>
      <c r="N109" s="16">
        <f>D109+F109-E109</f>
        <v/>
      </c>
      <c r="O109" s="15" t="inlineStr">
        <is>
          <t>能力超目标：四轮定位上、下、ARHUD+慢充</t>
        </is>
      </c>
      <c r="P109" s="15" t="inlineStr">
        <is>
          <t>ST1 引取(开:6875.0s 加:56.0s 等前:669.0s 等后:25.5s) | ST2 集约(开:6956.5s 加:111.0s 等前:0.0s 等后:32.5s) | ST3 空气悬挂+快充(开:7100.0s 加:108.5s 等前:0.0s 等后:12.0s) | ST4 四轮定位上、下(开:7220.5s 加:120.5s 等前:0.0s 等后:0.0s) | ST5 ADAS(开:7341.0s 加:107.0s 等前:0.0s 等后:24.5s) | ST6 ARHUD+慢充(开:7472.5s 加:143.5s 等前:0.0s 等后:0.0s) | ST7 转毂(开:7616.0s 加:114.5s 等前:0.0s 等后:0.0s) | ST8 制动(开:7730.5s 加:114.0s 等前:0.0s 等后:0.0s) | ST9 EG漏液/底盘漏液(开:7844.5s 加:112.5s 等前:0.0s 等后:0.0s) | ST10 全景/空调检查(开:7957.0s 加:0.0s 等前:0.0s 等后:0.0s) | ST11 气囊安装+绝缘(开:7957.0s 加:116.0s 等前:0.0s 等后:0.0s) | ST12 L2++(开:8073.0s 加:88.0s 等前:0.0s 等后:0.0s) | ST13 电检1(开:8161.0s 加:84.5s 等前:0.0s 等后:0.0s) | ST14 电检2(开:8245.5s 加:97.5s 等前:0.0s 等后:0.0s) | ST15 小跑道(开:8343.0s 加:50.0s 等前:0.0s 等后:0.0s)</t>
        </is>
      </c>
    </row>
    <row r="110">
      <c r="A110" s="13" t="n">
        <v>109</v>
      </c>
      <c r="B110" s="13" t="inlineStr">
        <is>
          <t>Car#109</t>
        </is>
      </c>
      <c r="C110" s="13" t="inlineStr">
        <is>
          <t>B</t>
        </is>
      </c>
      <c r="D110" s="14" t="n">
        <v>6956.5</v>
      </c>
      <c r="E110" s="14" t="n">
        <v>8443</v>
      </c>
      <c r="F110" s="14" t="n">
        <v>1486.5</v>
      </c>
      <c r="G110" s="14" t="n">
        <v>847.5</v>
      </c>
      <c r="H110" s="13" t="inlineStr">
        <is>
          <t>Car#108</t>
        </is>
      </c>
      <c r="I110" s="14">
        <f>E110-E109</f>
        <v/>
      </c>
      <c r="J110" s="14">
        <f>I110-58</f>
        <v/>
      </c>
      <c r="K110" s="14">
        <f>MAX(0,J110)</f>
        <v/>
      </c>
      <c r="L110" s="14">
        <f>MAX(0,-J110)</f>
        <v/>
      </c>
      <c r="M110" s="14">
        <f>M109+I110</f>
        <v/>
      </c>
      <c r="N110" s="14">
        <f>D110+F110-E110</f>
        <v/>
      </c>
      <c r="O110" s="13" t="inlineStr">
        <is>
          <t>能力超目标：四轮定位上、下</t>
        </is>
      </c>
      <c r="P110" s="13" t="inlineStr">
        <is>
          <t>ST1 引取(开:6956.5s 加:56.0s 等前:692.5s 等后:0.0s) | ST2 集约(开:7012.5s 加:111.0s 等前:0.0s 等后:12.5s) | ST3 空气悬挂+快充(开:7136.0s 加:108.5s 等前:0.0s 等后:12.0s) | ST4 四轮定位上、下(开:7256.5s 加:120.5s 等前:0.0s 等后:0.0s) | ST5 ADAS(开:7377.0s 加:107.0s 等前:0.0s 等后:24.5s) | ST6 ARHUD+慢充(开:7508.5s 加:51.5s 等前:0.0s 等后:63.0s) | ST7 转毂(开:7623.0s 加:114.5s 等前:0.0s 等后:0.0s) | ST8 制动(开:7737.5s 加:114.0s 等前:0.0s 等后:0.0s) | ST9 EG漏液/底盘漏液(开:7851.5s 加:112.5s 等前:0.0s 等后:0.0s) | ST10 全景/空调检查(开:7964.0s 加:0.0s 等前:0.0s 等后:1.5s) | ST11 气囊安装+绝缘(开:7965.5s 加:116.0s 等前:0.0s 等后:0.0s) | ST12 L2++(开:8081.5s 加:88.0s 等前:0.0s 等后:0.0s) | ST13 电检1(开:8169.5s 加:84.5s 等前:0.0s 等后:0.0s) | ST14 电检2(开:8254.0s 加:97.5s 等前:0.0s 等后:41.5s) | ST15 小跑道(开:8393.0s 加:50.0s 等前:0.0s 等后:0.0s)</t>
        </is>
      </c>
    </row>
    <row r="111">
      <c r="A111" s="15" t="n">
        <v>110</v>
      </c>
      <c r="B111" s="15" t="inlineStr">
        <is>
          <t>Car#110</t>
        </is>
      </c>
      <c r="C111" s="15" t="inlineStr">
        <is>
          <t>B</t>
        </is>
      </c>
      <c r="D111" s="16" t="n">
        <v>7012.5</v>
      </c>
      <c r="E111" s="16" t="n">
        <v>8509</v>
      </c>
      <c r="F111" s="16" t="n">
        <v>1496.5</v>
      </c>
      <c r="G111" s="16" t="n">
        <v>855.5</v>
      </c>
      <c r="H111" s="15" t="inlineStr">
        <is>
          <t>Car#109</t>
        </is>
      </c>
      <c r="I111" s="16">
        <f>E111-E110</f>
        <v/>
      </c>
      <c r="J111" s="16">
        <f>I111-58</f>
        <v/>
      </c>
      <c r="K111" s="16">
        <f>MAX(0,J111)</f>
        <v/>
      </c>
      <c r="L111" s="16">
        <f>MAX(0,-J111)</f>
        <v/>
      </c>
      <c r="M111" s="16">
        <f>M110+I111</f>
        <v/>
      </c>
      <c r="N111" s="16">
        <f>D111+F111-E111</f>
        <v/>
      </c>
      <c r="O111" s="15" t="inlineStr">
        <is>
          <t>能力超目标：四轮定位上、下</t>
        </is>
      </c>
      <c r="P111" s="15" t="inlineStr">
        <is>
          <t>ST1 引取(开:7012.5s 加:56.0s 等前:690.5s 等后:31.5s) | ST2 集约(开:7100.0s 加:111.0s 等前:0.0s 等后:9.5s) | ST3 空气悬挂+快充(开:7220.5s 加:108.5s 等前:0.0s 等后:12.0s) | ST4 四轮定位上、下(开:7341.0s 加:120.5s 等前:0.0s 等后:11.0s) | ST5 ADAS(开:7472.5s 加:107.0s 等前:0.0s 等后:36.5s) | ST6 ARHUD+慢充(开:7616.0s 加:51.5s 等前:0.0s 等后:63.0s) | ST7 转毂(开:7730.5s 加:114.5s 等前:0.0s 等后:0.0s) | ST8 制动(开:7845.0s 加:114.0s 等前:0.0s 等后:0.0s) | ST9 EG漏液/底盘漏液(开:7959.0s 加:112.5s 等前:0.0s 等后:0.0s) | ST10 全景/空调检查(开:8071.5s 加:0.0s 等前:0.0s 等后:1.5s) | ST11 气囊安装+绝缘(开:8073.0s 加:116.0s 等前:0.0s 等后:0.0s) | ST12 L2++(开:8189.0s 加:88.0s 等前:0.0s 等后:0.0s) | ST13 电检1(开:8277.0s 加:84.5s 等前:0.0s 等后:0.0s) | ST14 电检2(开:8361.5s 加:97.5s 等前:0.0s 等后:0.0s) | ST15 小跑道(开:8459.0s 加:50.0s 等前:0.0s 等后:0.0s)</t>
        </is>
      </c>
    </row>
    <row r="112">
      <c r="A112" s="13" t="n">
        <v>111</v>
      </c>
      <c r="B112" s="13" t="inlineStr">
        <is>
          <t>Car#111</t>
        </is>
      </c>
      <c r="C112" s="13" t="inlineStr">
        <is>
          <t>B</t>
        </is>
      </c>
      <c r="D112" s="14" t="n">
        <v>7100</v>
      </c>
      <c r="E112" s="14" t="n">
        <v>8559</v>
      </c>
      <c r="F112" s="14" t="n">
        <v>1459</v>
      </c>
      <c r="G112" s="14" t="n">
        <v>847.5</v>
      </c>
      <c r="H112" s="13" t="inlineStr">
        <is>
          <t>Car#110</t>
        </is>
      </c>
      <c r="I112" s="14">
        <f>E112-E111</f>
        <v/>
      </c>
      <c r="J112" s="14">
        <f>I112-58</f>
        <v/>
      </c>
      <c r="K112" s="14">
        <f>MAX(0,J112)</f>
        <v/>
      </c>
      <c r="L112" s="14">
        <f>MAX(0,-J112)</f>
        <v/>
      </c>
      <c r="M112" s="14">
        <f>M111+I112</f>
        <v/>
      </c>
      <c r="N112" s="14">
        <f>D112+F112-E112</f>
        <v/>
      </c>
      <c r="O112" s="13" t="inlineStr">
        <is>
          <t>能力超目标：四轮定位上、下</t>
        </is>
      </c>
      <c r="P112" s="13" t="inlineStr">
        <is>
          <t>ST1 引取(开:7100.0s 加:56.0s 等前:720.0s 等后:0.0s) | ST2 集约(开:7156.0s 加:111.0s 等前:0.0s 等后:0.0s) | ST3 空气悬挂+快充(开:7267.0s 加:108.5s 等前:0.0s 等后:1.5s) | ST4 四轮定位上、下(开:7377.0s 加:120.5s 等前:0.0s 等后:11.0s) | ST5 ADAS(开:7508.5s 加:107.0s 等前:0.0s 等后:7.5s) | ST6 ARHUD+慢充(开:7623.0s 加:51.5s 等前:0.0s 等后:63.0s) | ST7 转毂(开:7737.5s 加:114.5s 等前:0.0s 等后:0.0s) | ST8 制动(开:7852.0s 加:114.0s 等前:0.0s 等后:0.0s) | ST9 EG漏液/底盘漏液(开:7966.0s 加:112.5s 等前:0.0s 等后:0.0s) | ST10 全景/空调检查(开:8078.5s 加:0.0s 等前:0.0s 等后:3.0s) | ST11 气囊安装+绝缘(开:8081.5s 加:116.0s 等前:0.0s 等后:0.0s) | ST12 L2++(开:8197.5s 加:88.0s 等前:0.0s 等后:0.0s) | ST13 电检1(开:8285.5s 加:84.5s 等前:0.0s 等后:23.0s) | ST14 电检2(开:8393.0s 加:97.5s 等前:0.0s 等后:18.5s) | ST15 小跑道(开:8509.0s 加:50.0s 等前:0.0s 等后:0.0s)</t>
        </is>
      </c>
    </row>
    <row r="113">
      <c r="A113" s="15" t="n">
        <v>112</v>
      </c>
      <c r="B113" s="15" t="inlineStr">
        <is>
          <t>Car#113</t>
        </is>
      </c>
      <c r="C113" s="15" t="inlineStr">
        <is>
          <t>A</t>
        </is>
      </c>
      <c r="D113" s="16" t="n">
        <v>7220.5</v>
      </c>
      <c r="E113" s="16" t="n">
        <v>8610</v>
      </c>
      <c r="F113" s="16" t="n">
        <v>1389.5</v>
      </c>
      <c r="G113" s="16" t="n">
        <v>1253</v>
      </c>
      <c r="H113" s="15" t="inlineStr">
        <is>
          <t>Car#111</t>
        </is>
      </c>
      <c r="I113" s="16">
        <f>E113-E112</f>
        <v/>
      </c>
      <c r="J113" s="16">
        <f>I113-58</f>
        <v/>
      </c>
      <c r="K113" s="16">
        <f>MAX(0,J113)</f>
        <v/>
      </c>
      <c r="L113" s="16">
        <f>MAX(0,-J113)</f>
        <v/>
      </c>
      <c r="M113" s="16">
        <f>M112+I113</f>
        <v/>
      </c>
      <c r="N113" s="16">
        <f>D113+F113-E113</f>
        <v/>
      </c>
      <c r="O113" s="15" t="inlineStr">
        <is>
          <t>能力满足</t>
        </is>
      </c>
      <c r="P113" s="15" t="inlineStr">
        <is>
          <t>ST1 引取(开:7220.5s 加:55.0s 等前:724.5s 等后:0.0s) | ST2 集约(开:7275.5s 加:106.0s 等前:0.0s 等后:0.0s) | ST3 空气悬挂+快充(开:7381.5s 加:0.0s 等前:0.0s 等后:127.0s) | ST4 四轮定位上、下(开:7508.5s 加:115.0s 等前:0.0s 等后:0.0s) | ST5 ADAS(开:7623.5s 加:97.0s 等前:0.0s 等后:17.0s) | ST6 ARHUD+慢充(开:7737.5s 加:0.0s 等前:0.0s 等后:114.5s) | ST7 转毂(开:7852.0s 加:116.0s 等前:0.0s 等后:0.0s) | ST8 制动(开:7968.0s 加:108.0s 等前:0.0s 等后:2.5s) | ST9 EG漏液/底盘漏液(开:8078.5s 加:115.0s 等前:0.0s 等后:0.0s) | ST10 全景/空调检查(开:8193.5s 加:98.0s 等前:0.0s 等后:0.0s) | ST11 气囊安装+绝缘(开:8291.5s 加:0.0s 等前:0.0s 等后:0.0s) | ST12 L2++(开:8291.5s 加:0.0s 等前:0.0s 等后:101.5s) | ST13 电检1(开:8393.0s 加:0.0s 等前:0.0s 等后:116.0s) | ST14 电检2(开:8509.0s 加:0.0s 等前:0.0s 等后:50.0s) | ST15 小跑道(开:8559.0s 加:51.0s 等前:0.0s 等后:0.0s)</t>
        </is>
      </c>
    </row>
    <row r="114">
      <c r="A114" s="13" t="n">
        <v>113</v>
      </c>
      <c r="B114" s="13" t="inlineStr">
        <is>
          <t>Car#112</t>
        </is>
      </c>
      <c r="C114" s="13" t="inlineStr">
        <is>
          <t>C</t>
        </is>
      </c>
      <c r="D114" s="14" t="n">
        <v>7156</v>
      </c>
      <c r="E114" s="14" t="n">
        <v>8660</v>
      </c>
      <c r="F114" s="14" t="n">
        <v>1504</v>
      </c>
      <c r="G114" s="14" t="n">
        <v>798.5</v>
      </c>
      <c r="H114" s="13" t="inlineStr">
        <is>
          <t>Car#113</t>
        </is>
      </c>
      <c r="I114" s="14">
        <f>E114-E113</f>
        <v/>
      </c>
      <c r="J114" s="14">
        <f>I114-58</f>
        <v/>
      </c>
      <c r="K114" s="14">
        <f>MAX(0,J114)</f>
        <v/>
      </c>
      <c r="L114" s="14">
        <f>MAX(0,-J114)</f>
        <v/>
      </c>
      <c r="M114" s="14">
        <f>M113+I114</f>
        <v/>
      </c>
      <c r="N114" s="14">
        <f>D114+F114-E114</f>
        <v/>
      </c>
      <c r="O114" s="13" t="inlineStr">
        <is>
          <t>能力超目标：四轮定位上、下、ARHUD+慢充</t>
        </is>
      </c>
      <c r="P114" s="13" t="inlineStr">
        <is>
          <t>ST1 引取(开:7156.0s 加:56.0s 等前:718.0s 等后:8.5s) | ST2 集约(开:7220.5s 加:111.0s 等前:0.0s 等后:9.5s) | ST3 空气悬挂+快充(开:7341.0s 加:108.5s 等前:0.0s 等后:23.0s) | ST4 四轮定位上、下(开:7472.5s 加:120.5s 等前:0.0s 等后:23.0s) | ST5 ADAS(开:7616.0s 加:107.0s 等前:0.0s 等后:7.5s) | ST6 ARHUD+慢充(开:7730.5s 加:143.5s 等前:0.0s 等后:0.0s) | ST7 转毂(开:7874.0s 加:114.5s 等前:0.0s 等后:0.0s) | ST8 制动(开:7988.5s 加:114.0s 等前:0.0s 等后:0.0s) | ST9 EG漏液/底盘漏液(开:8102.5s 加:112.5s 等前:0.0s 等后:0.0s) | ST10 全景/空调检查(开:8215.0s 加:0.0s 等前:0.0s 等后:0.0s) | ST11 气囊安装+绝缘(开:8215.0s 加:116.0s 等前:0.0s 等后:0.0s) | ST12 L2++(开:8331.0s 加:88.0s 等前:0.0s 等后:0.0s) | ST13 电检1(开:8419.0s 加:84.5s 等前:0.0s 等后:0.0s) | ST14 电检2(开:8503.5s 加:97.5s 等前:0.0s 等后:9.0s) | ST15 小跑道(开:8610.0s 加:50.0s 等前:0.0s 等后:0.0s)</t>
        </is>
      </c>
    </row>
    <row r="115">
      <c r="A115" s="15" t="n">
        <v>114</v>
      </c>
      <c r="B115" s="15" t="inlineStr">
        <is>
          <t>Car#115</t>
        </is>
      </c>
      <c r="C115" s="15" t="inlineStr">
        <is>
          <t>C</t>
        </is>
      </c>
      <c r="D115" s="16" t="n">
        <v>7341</v>
      </c>
      <c r="E115" s="16" t="n">
        <v>8772.5</v>
      </c>
      <c r="F115" s="16" t="n">
        <v>1431.5</v>
      </c>
      <c r="G115" s="16" t="n">
        <v>737</v>
      </c>
      <c r="H115" s="15" t="inlineStr">
        <is>
          <t>Car#112</t>
        </is>
      </c>
      <c r="I115" s="16">
        <f>E115-E114</f>
        <v/>
      </c>
      <c r="J115" s="16">
        <f>I115-58</f>
        <v/>
      </c>
      <c r="K115" s="16">
        <f>MAX(0,J115)</f>
        <v/>
      </c>
      <c r="L115" s="16">
        <f>MAX(0,-J115)</f>
        <v/>
      </c>
      <c r="M115" s="16">
        <f>M114+I115</f>
        <v/>
      </c>
      <c r="N115" s="16">
        <f>D115+F115-E115</f>
        <v/>
      </c>
      <c r="O115" s="15" t="inlineStr">
        <is>
          <t>能力超目标：四轮定位上、下、ARHUD+慢充</t>
        </is>
      </c>
      <c r="P115" s="15" t="inlineStr">
        <is>
          <t>ST1 引取(开:7341.0s 加:56.0s 等前:729.0s 等后:0.0s) | ST2 集约(开:7397.0s 加:111.0s 等前:0.0s 等后:0.5s) | ST3 空气悬挂+快充(开:7508.5s 加:108.5s 等前:0.0s 等后:6.5s) | ST4 四轮定位上、下(开:7623.5s 加:120.5s 等前:0.0s 等后:0.0s) | ST5 ADAS(开:7744.0s 加:107.0s 等前:0.0s 等后:1.0s) | ST6 ARHUD+慢充(开:7852.0s 加:143.5s 等前:0.0s 等后:0.0s) | ST7 转毂(开:7995.5s 加:114.5s 等前:0.0s 等后:0.0s) | ST8 制动(开:8110.0s 加:114.0s 等前:0.0s 等后:0.0s) | ST9 EG漏液/底盘漏液(开:8224.0s 加:112.5s 等前:0.0s 等后:0.0s) | ST10 全景/空调检查(开:8336.5s 加:0.0s 等前:0.0s 等后:0.0s) | ST11 气囊安装+绝缘(开:8336.5s 加:116.0s 等前:0.0s 等后:0.0s) | ST12 L2++(开:8452.5s 加:88.0s 等前:0.0s 等后:0.0s) | ST13 电检1(开:8540.5s 加:84.5s 等前:0.0s 等后:0.0s) | ST14 电检2(开:8625.0s 加:97.5s 等前:0.0s 等后:0.0s) | ST15 小跑道(开:8722.5s 加:50.0s 等前:0.0s 等后:0.0s)</t>
        </is>
      </c>
    </row>
    <row r="116">
      <c r="A116" s="13" t="n">
        <v>115</v>
      </c>
      <c r="B116" s="13" t="inlineStr">
        <is>
          <t>Car#117</t>
        </is>
      </c>
      <c r="C116" s="13" t="inlineStr">
        <is>
          <t>A</t>
        </is>
      </c>
      <c r="D116" s="14" t="n">
        <v>7472.5</v>
      </c>
      <c r="E116" s="14" t="n">
        <v>8823.5</v>
      </c>
      <c r="F116" s="14" t="n">
        <v>1351</v>
      </c>
      <c r="G116" s="14" t="n">
        <v>1234.5</v>
      </c>
      <c r="H116" s="13" t="inlineStr">
        <is>
          <t>Car#115</t>
        </is>
      </c>
      <c r="I116" s="14">
        <f>E116-E115</f>
        <v/>
      </c>
      <c r="J116" s="14">
        <f>I116-58</f>
        <v/>
      </c>
      <c r="K116" s="14">
        <f>MAX(0,J116)</f>
        <v/>
      </c>
      <c r="L116" s="14">
        <f>MAX(0,-J116)</f>
        <v/>
      </c>
      <c r="M116" s="14">
        <f>M115+I116</f>
        <v/>
      </c>
      <c r="N116" s="14">
        <f>D116+F116-E116</f>
        <v/>
      </c>
      <c r="O116" s="13" t="inlineStr">
        <is>
          <t>能力满足</t>
        </is>
      </c>
      <c r="P116" s="13" t="inlineStr">
        <is>
          <t>ST1 引取(开:7472.5s 加:55.0s 等前:744.5s 等后:0.0s) | ST2 集约(开:7527.5s 加:106.0s 等前:0.0s 等后:0.0s) | ST3 空气悬挂+快充(开:7633.5s 加:0.0s 等前:0.0s 等后:110.5s) | ST4 四轮定位上、下(开:7744.0s 加:115.0s 等前:0.0s 等后:0.0s) | ST5 ADAS(开:7859.0s 加:97.0s 等前:0.0s 等后:39.5s) | ST6 ARHUD+慢充(开:7995.5s 加:0.0s 等前:0.0s 等后:114.5s) | ST7 转毂(开:8110.0s 加:116.0s 等前:0.0s 等后:0.0s) | ST8 制动(开:8226.0s 加:108.0s 等前:0.0s 等后:2.5s) | ST9 EG漏液/底盘漏液(开:8336.5s 加:115.0s 等前:0.0s 等后:0.0s) | ST10 全景/空调检查(开:8451.5s 加:98.0s 等前:0.0s 等后:0.0s) | ST11 气囊安装+绝缘(开:8549.5s 加:0.0s 等前:0.0s 等后:0.0s) | ST12 L2++(开:8549.5s 加:0.0s 等前:0.0s 等后:75.5s) | ST13 电检1(开:8625.0s 加:0.0s 等前:0.0s 等后:97.5s) | ST14 电检2(开:8722.5s 加:0.0s 等前:0.0s 等后:50.0s) | ST15 小跑道(开:8772.5s 加:51.0s 等前:0.0s 等后:0.0s)</t>
        </is>
      </c>
    </row>
    <row r="117">
      <c r="A117" s="15" t="n">
        <v>116</v>
      </c>
      <c r="B117" s="15" t="inlineStr">
        <is>
          <t>Car#114</t>
        </is>
      </c>
      <c r="C117" s="15" t="inlineStr">
        <is>
          <t>C</t>
        </is>
      </c>
      <c r="D117" s="16" t="n">
        <v>7275.5</v>
      </c>
      <c r="E117" s="16" t="n">
        <v>8873.5</v>
      </c>
      <c r="F117" s="16" t="n">
        <v>1598</v>
      </c>
      <c r="G117" s="16" t="n">
        <v>896</v>
      </c>
      <c r="H117" s="15" t="inlineStr">
        <is>
          <t>Car#117</t>
        </is>
      </c>
      <c r="I117" s="16">
        <f>E117-E116</f>
        <v/>
      </c>
      <c r="J117" s="16">
        <f>I117-58</f>
        <v/>
      </c>
      <c r="K117" s="16">
        <f>MAX(0,J117)</f>
        <v/>
      </c>
      <c r="L117" s="16">
        <f>MAX(0,-J117)</f>
        <v/>
      </c>
      <c r="M117" s="16">
        <f>M116+I117</f>
        <v/>
      </c>
      <c r="N117" s="16">
        <f>D117+F117-E117</f>
        <v/>
      </c>
      <c r="O117" s="15" t="inlineStr">
        <is>
          <t>能力超目标：四轮定位上、下、ARHUD+慢充</t>
        </is>
      </c>
      <c r="P117" s="15" t="inlineStr">
        <is>
          <t>ST1 引取(开:7275.5s 加:56.0s 等前:721.5s 等后:9.5s) | ST2 集约(开:7341.0s 加:111.0s 等前:0.0s 等后:20.5s) | ST3 空气悬挂+快充(开:7472.5s 加:108.5s 等前:0.0s 等后:35.0s) | ST4 四轮定位上、下(开:7616.0s 加:120.5s 等前:0.0s 等后:0.0s) | ST5 ADAS(开:7736.5s 加:107.0s 等前:0.0s 等后:30.5s) | ST6 ARHUD+慢充(开:7874.0s 加:143.5s 等前:0.0s 等后:0.0s) | ST7 转毂(开:8017.5s 加:114.5s 等前:0.0s 等后:0.0s) | ST8 制动(开:8132.0s 加:114.0s 等前:0.0s 等后:0.0s) | ST9 EG漏液/底盘漏液(开:8246.0s 加:112.5s 等前:0.0s 等后:0.0s) | ST10 全景/空调检查(开:8358.5s 加:0.0s 等前:0.0s 等后:0.0s) | ST11 气囊安装+绝缘(开:8358.5s 加:116.0s 等前:0.0s 等后:0.0s) | ST12 L2++(开:8474.5s 加:88.0s 等前:0.0s 等后:0.0s) | ST13 电检1(开:8562.5s 加:84.5s 等前:0.0s 等后:0.0s) | ST14 电检2(开:8647.0s 加:97.5s 等前:0.0s 等后:79.0s) | ST15 小跑道(开:8823.5s 加:50.0s 等前:0.0s 等后:0.0s)</t>
        </is>
      </c>
    </row>
    <row r="118">
      <c r="A118" s="13" t="n">
        <v>117</v>
      </c>
      <c r="B118" s="13" t="inlineStr">
        <is>
          <t>Car#119</t>
        </is>
      </c>
      <c r="C118" s="13" t="inlineStr">
        <is>
          <t>A</t>
        </is>
      </c>
      <c r="D118" s="14" t="n">
        <v>7616</v>
      </c>
      <c r="E118" s="14" t="n">
        <v>8924.5</v>
      </c>
      <c r="F118" s="14" t="n">
        <v>1308.5</v>
      </c>
      <c r="G118" s="14" t="n">
        <v>1219.5</v>
      </c>
      <c r="H118" s="13" t="inlineStr">
        <is>
          <t>Car#114</t>
        </is>
      </c>
      <c r="I118" s="14">
        <f>E118-E117</f>
        <v/>
      </c>
      <c r="J118" s="14">
        <f>I118-58</f>
        <v/>
      </c>
      <c r="K118" s="14">
        <f>MAX(0,J118)</f>
        <v/>
      </c>
      <c r="L118" s="14">
        <f>MAX(0,-J118)</f>
        <v/>
      </c>
      <c r="M118" s="14">
        <f>M117+I118</f>
        <v/>
      </c>
      <c r="N118" s="14">
        <f>D118+F118-E118</f>
        <v/>
      </c>
      <c r="O118" s="13" t="inlineStr">
        <is>
          <t>能力满足</t>
        </is>
      </c>
      <c r="P118" s="13" t="inlineStr">
        <is>
          <t>ST1 引取(开:7616.0s 加:55.0s 等前:772.0s 等后:0.0s) | ST2 集约(开:7671.0s 加:106.0s 等前:0.0s 等后:0.0s) | ST3 空气悬挂+快充(开:7777.0s 加:0.0s 等前:0.0s 等后:82.0s) | ST4 四轮定位上、下(开:7859.0s 加:115.0s 等前:0.0s 等后:21.5s) | ST5 ADAS(开:7995.5s 加:97.0s 等前:0.0s 等后:17.5s) | ST6 ARHUD+慢充(开:8110.0s 加:0.0s 等前:0.0s 等后:116.0s) | ST7 转毂(开:8226.0s 加:116.0s 等前:0.0s 等后:0.0s) | ST8 制动(开:8342.0s 加:108.0s 等前:0.0s 等后:1.5s) | ST9 EG漏液/底盘漏液(开:8451.5s 加:115.0s 等前:0.0s 等后:0.0s) | ST10 全景/空调检查(开:8566.5s 加:98.0s 等前:0.0s 等后:0.0s) | ST11 气囊安装+绝缘(开:8664.5s 加:0.0s 等前:0.0s 等后:0.0s) | ST12 L2++(开:8664.5s 加:0.0s 等前:0.0s 等后:58.0s) | ST13 电检1(开:8722.5s 加:0.0s 等前:0.0s 等后:50.0s) | ST14 电检2(开:8772.5s 加:0.0s 等前:0.0s 等后:101.0s) | ST15 小跑道(开:8873.5s 加:51.0s 等前:0.0s 等后:0.0s)</t>
        </is>
      </c>
    </row>
    <row r="119">
      <c r="A119" s="15" t="n">
        <v>118</v>
      </c>
      <c r="B119" s="15" t="inlineStr">
        <is>
          <t>Car#116</t>
        </is>
      </c>
      <c r="C119" s="15" t="inlineStr">
        <is>
          <t>C</t>
        </is>
      </c>
      <c r="D119" s="16" t="n">
        <v>7397</v>
      </c>
      <c r="E119" s="16" t="n">
        <v>8974.5</v>
      </c>
      <c r="F119" s="16" t="n">
        <v>1577.5</v>
      </c>
      <c r="G119" s="16" t="n">
        <v>881</v>
      </c>
      <c r="H119" s="15" t="inlineStr">
        <is>
          <t>Car#119</t>
        </is>
      </c>
      <c r="I119" s="16">
        <f>E119-E118</f>
        <v/>
      </c>
      <c r="J119" s="16">
        <f>I119-58</f>
        <v/>
      </c>
      <c r="K119" s="16">
        <f>MAX(0,J119)</f>
        <v/>
      </c>
      <c r="L119" s="16">
        <f>MAX(0,-J119)</f>
        <v/>
      </c>
      <c r="M119" s="16">
        <f>M118+I119</f>
        <v/>
      </c>
      <c r="N119" s="16">
        <f>D119+F119-E119</f>
        <v/>
      </c>
      <c r="O119" s="15" t="inlineStr">
        <is>
          <t>能力超目标：四轮定位上、下、ARHUD+慢充</t>
        </is>
      </c>
      <c r="P119" s="15" t="inlineStr">
        <is>
          <t>ST1 引取(开:7397.0s 加:56.0s 等前:727.0s 等后:19.5s) | ST2 集约(开:7472.5s 加:111.0s 等前:0.0s 等后:32.5s) | ST3 空气悬挂+快充(开:7616.0s 加:108.5s 等前:0.0s 等后:12.0s) | ST4 四轮定位上、下(开:7736.5s 加:120.5s 等前:0.0s 等后:17.0s) | ST5 ADAS(开:7874.0s 加:107.0s 等前:0.0s 等后:36.5s) | ST6 ARHUD+慢充(开:8017.5s 加:143.5s 等前:0.0s 等后:0.0s) | ST7 转毂(开:8161.0s 加:114.5s 等前:0.0s 等后:0.0s) | ST8 制动(开:8275.5s 加:114.0s 等前:0.0s 等后:0.0s) | ST9 EG漏液/底盘漏液(开:8389.5s 加:112.5s 等前:0.0s 等后:0.0s) | ST10 全景/空调检查(开:8502.0s 加:0.0s 等前:0.0s 等后:0.0s) | ST11 气囊安装+绝缘(开:8502.0s 加:116.0s 等前:0.0s 等后:0.0s) | ST12 L2++(开:8618.0s 加:88.0s 等前:0.0s 等后:0.0s) | ST13 电检1(开:8706.0s 加:84.5s 等前:0.0s 等后:33.0s) | ST14 电检2(开:8823.5s 加:97.5s 等前:0.0s 等后:3.5s) | ST15 小跑道(开:8924.5s 加:50.0s 等前:0.0s 等后:0.0s)</t>
        </is>
      </c>
    </row>
    <row r="120">
      <c r="A120" s="13" t="n">
        <v>119</v>
      </c>
      <c r="B120" s="13" t="inlineStr">
        <is>
          <t>Car#118</t>
        </is>
      </c>
      <c r="C120" s="13" t="inlineStr">
        <is>
          <t>A</t>
        </is>
      </c>
      <c r="D120" s="14" t="n">
        <v>7527.5</v>
      </c>
      <c r="E120" s="14" t="n">
        <v>9025.5</v>
      </c>
      <c r="F120" s="14" t="n">
        <v>1498</v>
      </c>
      <c r="G120" s="14" t="n">
        <v>1378.5</v>
      </c>
      <c r="H120" s="13" t="inlineStr">
        <is>
          <t>Car#116</t>
        </is>
      </c>
      <c r="I120" s="14">
        <f>E120-E119</f>
        <v/>
      </c>
      <c r="J120" s="14">
        <f>I120-58</f>
        <v/>
      </c>
      <c r="K120" s="14">
        <f>MAX(0,J120)</f>
        <v/>
      </c>
      <c r="L120" s="14">
        <f>MAX(0,-J120)</f>
        <v/>
      </c>
      <c r="M120" s="14">
        <f>M119+I120</f>
        <v/>
      </c>
      <c r="N120" s="14">
        <f>D120+F120-E120</f>
        <v/>
      </c>
      <c r="O120" s="13" t="inlineStr">
        <is>
          <t>能力满足</t>
        </is>
      </c>
      <c r="P120" s="13" t="inlineStr">
        <is>
          <t>ST1 引取(开:7527.5s 加:55.0s 等前:741.5s 等后:33.5s) | ST2 集约(开:7616.0s 加:106.0s 等前:0.0s 等后:14.5s) | ST3 空气悬挂+快充(开:7736.5s 加:0.0s 等前:0.0s 等后:137.5s) | ST4 四轮定位上、下(开:7874.0s 加:115.0s 等前:0.0s 等后:28.5s) | ST5 ADAS(开:8017.5s 加:97.0s 等前:0.0s 等后:46.5s) | ST6 ARHUD+慢充(开:8161.0s 加:0.0s 等前:0.0s 等后:114.5s) | ST7 转毂(开:8275.5s 加:116.0s 等前:0.0s 等后:0.0s) | ST8 制动(开:8391.5s 加:108.0s 等前:0.0s 等后:2.5s) | ST9 EG漏液/底盘漏液(开:8502.0s 加:115.0s 等前:0.0s 等后:0.0s) | ST10 全景/空调检查(开:8617.0s 加:98.0s 等前:0.0s 等后:0.0s) | ST11 气囊安装+绝缘(开:8715.0s 加:0.0s 等前:0.0s 等后:0.0s) | ST12 L2++(开:8715.0s 加:0.0s 等前:0.0s 等后:108.5s) | ST13 电检1(开:8823.5s 加:0.0s 等前:0.0s 等后:101.0s) | ST14 电检2(开:8924.5s 加:0.0s 等前:0.0s 等后:50.0s) | ST15 小跑道(开:8974.5s 加:51.0s 等前:0.0s 等后:0.0s)</t>
        </is>
      </c>
    </row>
    <row r="121">
      <c r="A121" s="15" t="n">
        <v>120</v>
      </c>
      <c r="B121" s="15" t="inlineStr">
        <is>
          <t>Car#121</t>
        </is>
      </c>
      <c r="C121" s="15" t="inlineStr">
        <is>
          <t>B</t>
        </is>
      </c>
      <c r="D121" s="16" t="n">
        <v>7736.5</v>
      </c>
      <c r="E121" s="16" t="n">
        <v>9119</v>
      </c>
      <c r="F121" s="16" t="n">
        <v>1382.5</v>
      </c>
      <c r="G121" s="16" t="n">
        <v>827.5</v>
      </c>
      <c r="H121" s="15" t="inlineStr">
        <is>
          <t>Car#118</t>
        </is>
      </c>
      <c r="I121" s="16">
        <f>E121-E120</f>
        <v/>
      </c>
      <c r="J121" s="16">
        <f>I121-58</f>
        <v/>
      </c>
      <c r="K121" s="16">
        <f>MAX(0,J121)</f>
        <v/>
      </c>
      <c r="L121" s="16">
        <f>MAX(0,-J121)</f>
        <v/>
      </c>
      <c r="M121" s="16">
        <f>M120+I121</f>
        <v/>
      </c>
      <c r="N121" s="16">
        <f>D121+F121-E121</f>
        <v/>
      </c>
      <c r="O121" s="15" t="inlineStr">
        <is>
          <t>能力超目标：四轮定位上、下</t>
        </is>
      </c>
      <c r="P121" s="15" t="inlineStr">
        <is>
          <t>ST1 引取(开:7736.5s 加:56.0s 等前:776.5s 等后:0.0s) | ST2 集约(开:7792.5s 加:111.0s 等前:0.0s 等后:0.0s) | ST3 空气悬挂+快充(开:7903.5s 加:108.5s 等前:0.0s 等后:0.0s) | ST4 四轮定位上、下(开:8012.0s 加:120.5s 等前:0.0s 等后:0.0s) | ST5 ADAS(开:8132.5s 加:107.0s 等前:0.0s 等后:0.0s) | ST6 ARHUD+慢充(开:8239.5s 加:51.5s 等前:0.0s 等后:51.0s) | ST7 转毂(开:8342.0s 加:114.5s 等前:0.0s 等后:0.0s) | ST8 制动(开:8456.5s 加:114.0s 等前:0.0s 等后:0.0s) | ST9 EG漏液/底盘漏液(开:8570.5s 加:112.5s 等前:0.0s 等后:0.0s) | ST10 全景/空调检查(开:8683.0s 加:0.0s 等前:0.0s 等后:0.0s) | ST11 气囊安装+绝缘(开:8683.0s 加:116.0s 等前:0.0s 等后:0.0s) | ST12 L2++(开:8799.0s 加:88.0s 等前:0.0s 等后:0.0s) | ST13 电检1(开:8887.0s 加:84.5s 等前:0.0s 等后:0.0s) | ST14 电检2(开:8971.5s 加:97.5s 等前:0.0s 等后:0.0s) | ST15 小跑道(开:9069.0s 加:50.0s 等前:0.0s 等后:0.0s)</t>
        </is>
      </c>
    </row>
    <row r="122">
      <c r="A122" s="13" t="n">
        <v>121</v>
      </c>
      <c r="B122" s="13" t="inlineStr">
        <is>
          <t>Car#120</t>
        </is>
      </c>
      <c r="C122" s="13" t="inlineStr">
        <is>
          <t>C</t>
        </is>
      </c>
      <c r="D122" s="14" t="n">
        <v>7671</v>
      </c>
      <c r="E122" s="14" t="n">
        <v>9196</v>
      </c>
      <c r="F122" s="14" t="n">
        <v>1525</v>
      </c>
      <c r="G122" s="14" t="n">
        <v>870.5</v>
      </c>
      <c r="H122" s="13" t="inlineStr">
        <is>
          <t>Car#121</t>
        </is>
      </c>
      <c r="I122" s="14">
        <f>E122-E121</f>
        <v/>
      </c>
      <c r="J122" s="14">
        <f>I122-58</f>
        <v/>
      </c>
      <c r="K122" s="14">
        <f>MAX(0,J122)</f>
        <v/>
      </c>
      <c r="L122" s="14">
        <f>MAX(0,-J122)</f>
        <v/>
      </c>
      <c r="M122" s="14">
        <f>M121+I122</f>
        <v/>
      </c>
      <c r="N122" s="14">
        <f>D122+F122-E122</f>
        <v/>
      </c>
      <c r="O122" s="13" t="inlineStr">
        <is>
          <t>能力超目标：四轮定位上、下、ARHUD+慢充</t>
        </is>
      </c>
      <c r="P122" s="13" t="inlineStr">
        <is>
          <t>ST1 引取(开:7671.0s 加:56.0s 等前:769.0s 等后:9.5s) | ST2 集约(开:7736.5s 加:111.0s 等前:0.0s 等后:26.5s) | ST3 空气悬挂+快充(开:7874.0s 加:108.5s 等前:0.0s 等后:35.0s) | ST4 四轮定位上、下(开:8017.5s 加:120.5s 等前:0.0s 等后:23.0s) | ST5 ADAS(开:8161.0s 加:107.0s 等前:0.0s 等后:7.5s) | ST6 ARHUD+慢充(开:8275.5s 加:143.5s 等前:0.0s 等后:0.0s) | ST7 转毂(开:8419.0s 加:114.5s 等前:0.0s 等后:0.0s) | ST8 制动(开:8533.5s 加:114.0s 等前:0.0s 等后:0.0s) | ST9 EG漏液/底盘漏液(开:8647.5s 加:112.5s 等前:0.0s 等后:0.0s) | ST10 全景/空调检查(开:8760.0s 加:0.0s 等前:0.0s 等后:0.0s) | ST11 气囊安装+绝缘(开:8760.0s 加:116.0s 等前:0.0s 等后:0.0s) | ST12 L2++(开:8876.0s 加:88.0s 等前:0.0s 等后:0.0s) | ST13 电检1(开:8964.0s 加:84.5s 等前:0.0s 等后:0.0s) | ST14 电检2(开:9048.5s 加:97.5s 等前:0.0s 等后:0.0s) | ST15 小跑道(开:9146.0s 加:50.0s 等前:0.0s 等后:0.0s)</t>
        </is>
      </c>
    </row>
    <row r="123">
      <c r="A123" s="15" t="n">
        <v>122</v>
      </c>
      <c r="B123" s="15" t="inlineStr">
        <is>
          <t>Car#123</t>
        </is>
      </c>
      <c r="C123" s="15" t="inlineStr">
        <is>
          <t>C</t>
        </is>
      </c>
      <c r="D123" s="16" t="n">
        <v>7874</v>
      </c>
      <c r="E123" s="16" t="n">
        <v>9297.5</v>
      </c>
      <c r="F123" s="16" t="n">
        <v>1423.5</v>
      </c>
      <c r="G123" s="16" t="n">
        <v>798</v>
      </c>
      <c r="H123" s="15" t="inlineStr">
        <is>
          <t>Car#120</t>
        </is>
      </c>
      <c r="I123" s="16">
        <f>E123-E122</f>
        <v/>
      </c>
      <c r="J123" s="16">
        <f>I123-58</f>
        <v/>
      </c>
      <c r="K123" s="16">
        <f>MAX(0,J123)</f>
        <v/>
      </c>
      <c r="L123" s="16">
        <f>MAX(0,-J123)</f>
        <v/>
      </c>
      <c r="M123" s="16">
        <f>M122+I123</f>
        <v/>
      </c>
      <c r="N123" s="16">
        <f>D123+F123-E123</f>
        <v/>
      </c>
      <c r="O123" s="15" t="inlineStr">
        <is>
          <t>能力超目标：四轮定位上、下、ARHUD+慢充</t>
        </is>
      </c>
      <c r="P123" s="15" t="inlineStr">
        <is>
          <t>ST1 引取(开:7874.0s 加:56.0s 等前:798.0s 等后:0.0s) | ST2 集约(开:7930.0s 加:111.0s 等前:0.0s 等后:0.0s) | ST3 空气悬挂+快充(开:8041.0s 加:108.5s 等前:0.0s 等后:0.0s) | ST4 四轮定位上、下(开:8149.5s 加:120.5s 等前:0.0s 等后:0.0s) | ST5 ADAS(开:8270.0s 加:107.0s 等前:0.0s 等后:0.0s) | ST6 ARHUD+慢充(开:8377.0s 加:143.5s 等前:0.0s 等后:0.0s) | ST7 转毂(开:8520.5s 加:114.5s 等前:0.0s 等后:0.0s) | ST8 制动(开:8635.0s 加:114.0s 等前:0.0s 等后:0.0s) | ST9 EG漏液/底盘漏液(开:8749.0s 加:112.5s 等前:0.0s 等后:0.0s) | ST10 全景/空调检查(开:8861.5s 加:0.0s 等前:0.0s 等后:0.0s) | ST11 气囊安装+绝缘(开:8861.5s 加:116.0s 等前:0.0s 等后:0.0s) | ST12 L2++(开:8977.5s 加:88.0s 等前:0.0s 等后:0.0s) | ST13 电检1(开:9065.5s 加:84.5s 等前:0.0s 等后:0.0s) | ST14 电检2(开:9150.0s 加:97.5s 等前:0.0s 等后:0.0s) | ST15 小跑道(开:9247.5s 加:50.0s 等前:0.0s 等后:0.0s)</t>
        </is>
      </c>
    </row>
    <row r="124">
      <c r="A124" s="13" t="n">
        <v>123</v>
      </c>
      <c r="B124" s="13" t="inlineStr">
        <is>
          <t>Car#122</t>
        </is>
      </c>
      <c r="C124" s="13" t="inlineStr">
        <is>
          <t>C</t>
        </is>
      </c>
      <c r="D124" s="14" t="n">
        <v>7792.5</v>
      </c>
      <c r="E124" s="14" t="n">
        <v>9347.5</v>
      </c>
      <c r="F124" s="14" t="n">
        <v>1555</v>
      </c>
      <c r="G124" s="14" t="n">
        <v>906</v>
      </c>
      <c r="H124" s="13" t="inlineStr">
        <is>
          <t>Car#123</t>
        </is>
      </c>
      <c r="I124" s="14">
        <f>E124-E123</f>
        <v/>
      </c>
      <c r="J124" s="14">
        <f>I124-58</f>
        <v/>
      </c>
      <c r="K124" s="14">
        <f>MAX(0,J124)</f>
        <v/>
      </c>
      <c r="L124" s="14">
        <f>MAX(0,-J124)</f>
        <v/>
      </c>
      <c r="M124" s="14">
        <f>M123+I124</f>
        <v/>
      </c>
      <c r="N124" s="14">
        <f>D124+F124-E124</f>
        <v/>
      </c>
      <c r="O124" s="13" t="inlineStr">
        <is>
          <t>能力超目标：四轮定位上、下、ARHUD+慢充</t>
        </is>
      </c>
      <c r="P124" s="13" t="inlineStr">
        <is>
          <t>ST1 引取(开:7792.5s 加:56.0s 等前:774.5s 等后:25.5s) | ST2 集约(开:7874.0s 加:111.0s 等前:0.0s 等后:32.5s) | ST3 空气悬挂+快充(开:8017.5s 加:108.5s 等前:0.0s 等后:35.0s) | ST4 四轮定位上、下(开:8161.0s 加:120.5s 等前:0.0s 等后:0.0s) | ST5 ADAS(开:8281.5s 加:107.0s 等前:0.0s 等后:30.5s) | ST6 ARHUD+慢充(开:8419.0s 加:143.5s 等前:0.0s 等后:0.0s) | ST7 转毂(开:8562.5s 加:114.5s 等前:0.0s 等后:0.0s) | ST8 制动(开:8677.0s 加:114.0s 等前:0.0s 等后:0.0s) | ST9 EG漏液/底盘漏液(开:8791.0s 加:112.5s 等前:0.0s 等后:0.0s) | ST10 全景/空调检查(开:8903.5s 加:0.0s 等前:0.0s 等后:0.0s) | ST11 气囊安装+绝缘(开:8903.5s 加:116.0s 等前:0.0s 等后:0.0s) | ST12 L2++(开:9019.5s 加:88.0s 等前:0.0s 等后:0.0s) | ST13 电检1(开:9107.5s 加:84.5s 等前:0.0s 等后:0.0s) | ST14 电检2(开:9192.0s 加:97.5s 等前:0.0s 等后:8.0s) | ST15 小跑道(开:9297.5s 加:50.0s 等前:0.0s 等后:0.0s)</t>
        </is>
      </c>
    </row>
    <row r="125">
      <c r="A125" s="15" t="n">
        <v>124</v>
      </c>
      <c r="B125" s="15" t="inlineStr">
        <is>
          <t>Car#125</t>
        </is>
      </c>
      <c r="C125" s="15" t="inlineStr">
        <is>
          <t>B</t>
        </is>
      </c>
      <c r="D125" s="16" t="n">
        <v>8017.5</v>
      </c>
      <c r="E125" s="16" t="n">
        <v>9413.5</v>
      </c>
      <c r="F125" s="16" t="n">
        <v>1396</v>
      </c>
      <c r="G125" s="16" t="n">
        <v>890</v>
      </c>
      <c r="H125" s="15" t="inlineStr">
        <is>
          <t>Car#122</t>
        </is>
      </c>
      <c r="I125" s="16">
        <f>E125-E124</f>
        <v/>
      </c>
      <c r="J125" s="16">
        <f>I125-58</f>
        <v/>
      </c>
      <c r="K125" s="16">
        <f>MAX(0,J125)</f>
        <v/>
      </c>
      <c r="L125" s="16">
        <f>MAX(0,-J125)</f>
        <v/>
      </c>
      <c r="M125" s="16">
        <f>M124+I125</f>
        <v/>
      </c>
      <c r="N125" s="16">
        <f>D125+F125-E125</f>
        <v/>
      </c>
      <c r="O125" s="15" t="inlineStr">
        <is>
          <t>能力超目标：四轮定位上、下</t>
        </is>
      </c>
      <c r="P125" s="15" t="inlineStr">
        <is>
          <t>ST1 引取(开:8017.5s 加:56.0s 等前:825.5s 等后:0.0s) | ST2 集约(开:8073.5s 加:111.0s 等前:0.0s 等后:0.0s) | ST3 空气悬挂+快充(开:8184.5s 加:108.5s 等前:0.0s 等后:0.0s) | ST4 四轮定位上、下(开:8293.0s 加:120.5s 等前:0.0s 等后:0.0s) | ST5 ADAS(开:8413.5s 加:107.0s 等前:0.0s 等后:0.0s) | ST6 ARHUD+慢充(开:8520.5s 加:51.5s 等前:0.0s 等后:63.0s) | ST7 转毂(开:8635.0s 加:114.5s 等前:0.0s 等后:0.0s) | ST8 制动(开:8749.5s 加:114.0s 等前:0.0s 等后:0.0s) | ST9 EG漏液/底盘漏液(开:8863.5s 加:112.5s 等前:0.0s 等后:0.0s) | ST10 全景/空调检查(开:8976.0s 加:0.0s 等前:0.0s 等后:1.5s) | ST11 气囊安装+绝缘(开:8977.5s 加:116.0s 等前:0.0s 等后:0.0s) | ST12 L2++(开:9093.5s 加:88.0s 等前:0.0s 等后:0.0s) | ST13 电检1(开:9181.5s 加:84.5s 等前:0.0s 等后:0.0s) | ST14 电检2(开:9266.0s 加:97.5s 等前:0.0s 等后:0.0s) | ST15 小跑道(开:9363.5s 加:50.0s 等前:0.0s 等后:0.0s)</t>
        </is>
      </c>
    </row>
    <row r="126">
      <c r="A126" s="13" t="n">
        <v>125</v>
      </c>
      <c r="B126" s="13" t="inlineStr">
        <is>
          <t>Car#124</t>
        </is>
      </c>
      <c r="C126" s="13" t="inlineStr">
        <is>
          <t>B</t>
        </is>
      </c>
      <c r="D126" s="14" t="n">
        <v>7930</v>
      </c>
      <c r="E126" s="14" t="n">
        <v>9463.5</v>
      </c>
      <c r="F126" s="14" t="n">
        <v>1533.5</v>
      </c>
      <c r="G126" s="14" t="n">
        <v>998</v>
      </c>
      <c r="H126" s="13" t="inlineStr">
        <is>
          <t>Car#125</t>
        </is>
      </c>
      <c r="I126" s="14">
        <f>E126-E125</f>
        <v/>
      </c>
      <c r="J126" s="14">
        <f>I126-58</f>
        <v/>
      </c>
      <c r="K126" s="14">
        <f>MAX(0,J126)</f>
        <v/>
      </c>
      <c r="L126" s="14">
        <f>MAX(0,-J126)</f>
        <v/>
      </c>
      <c r="M126" s="14">
        <f>M125+I126</f>
        <v/>
      </c>
      <c r="N126" s="14">
        <f>D126+F126-E126</f>
        <v/>
      </c>
      <c r="O126" s="13" t="inlineStr">
        <is>
          <t>能力超目标：四轮定位上、下</t>
        </is>
      </c>
      <c r="P126" s="13" t="inlineStr">
        <is>
          <t>ST1 引取(开:7930.0s 加:56.0s 等前:796.0s 等后:31.5s) | ST2 集约(开:8017.5s 加:111.0s 等前:0.0s 等后:32.5s) | ST3 空气悬挂+快充(开:8161.0s 加:108.5s 等前:0.0s 等后:12.0s) | ST4 四轮定位上、下(开:8281.5s 加:120.5s 等前:0.0s 等后:17.0s) | ST5 ADAS(开:8419.0s 加:107.0s 等前:0.0s 等后:36.5s) | ST6 ARHUD+慢充(开:8562.5s 加:51.5s 等前:0.0s 等后:63.0s) | ST7 转毂(开:8677.0s 加:114.5s 等前:0.0s 等后:0.0s) | ST8 制动(开:8791.5s 加:114.0s 等前:0.0s 等后:0.0s) | ST9 EG漏液/底盘漏液(开:8905.5s 加:112.5s 等前:0.0s 等后:0.0s) | ST10 全景/空调检查(开:9018.0s 加:0.0s 等前:0.0s 等后:1.5s) | ST11 气囊安装+绝缘(开:9019.5s 加:116.0s 等前:0.0s 等后:0.0s) | ST12 L2++(开:9135.5s 加:88.0s 等前:0.0s 等后:0.0s) | ST13 电检1(开:9223.5s 加:84.5s 等前:0.0s 等后:0.0s) | ST14 电检2(开:9308.0s 加:97.5s 等前:0.0s 等后:8.0s) | ST15 小跑道(开:9413.5s 加:50.0s 等前:0.0s 等后:0.0s)</t>
        </is>
      </c>
    </row>
    <row r="127">
      <c r="A127" s="15" t="n">
        <v>126</v>
      </c>
      <c r="B127" s="15" t="inlineStr">
        <is>
          <t>Car#127</t>
        </is>
      </c>
      <c r="C127" s="15" t="inlineStr">
        <is>
          <t>C</t>
        </is>
      </c>
      <c r="D127" s="16" t="n">
        <v>8161</v>
      </c>
      <c r="E127" s="16" t="n">
        <v>9584.5</v>
      </c>
      <c r="F127" s="16" t="n">
        <v>1423.5</v>
      </c>
      <c r="G127" s="16" t="n">
        <v>853</v>
      </c>
      <c r="H127" s="15" t="inlineStr">
        <is>
          <t>Car#124</t>
        </is>
      </c>
      <c r="I127" s="16">
        <f>E127-E126</f>
        <v/>
      </c>
      <c r="J127" s="16">
        <f>I127-58</f>
        <v/>
      </c>
      <c r="K127" s="16">
        <f>MAX(0,J127)</f>
        <v/>
      </c>
      <c r="L127" s="16">
        <f>MAX(0,-J127)</f>
        <v/>
      </c>
      <c r="M127" s="16">
        <f>M126+I127</f>
        <v/>
      </c>
      <c r="N127" s="16">
        <f>D127+F127-E127</f>
        <v/>
      </c>
      <c r="O127" s="15" t="inlineStr">
        <is>
          <t>能力超目标：四轮定位上、下、ARHUD+慢充</t>
        </is>
      </c>
      <c r="P127" s="15" t="inlineStr">
        <is>
          <t>ST1 引取(开:8161.0s 加:56.0s 等前:853.0s 等后:0.0s) | ST2 集约(开:8217.0s 加:111.0s 等前:0.0s 等后:0.0s) | ST3 空气悬挂+快充(开:8328.0s 加:108.5s 等前:0.0s 等后:0.0s) | ST4 四轮定位上、下(开:8436.5s 加:120.5s 等前:0.0s 等后:0.0s) | ST5 ADAS(开:8557.0s 加:107.0s 等前:0.0s 等后:0.0s) | ST6 ARHUD+慢充(开:8664.0s 加:143.5s 等前:0.0s 等后:0.0s) | ST7 转毂(开:8807.5s 加:114.5s 等前:0.0s 等后:0.0s) | ST8 制动(开:8922.0s 加:114.0s 等前:0.0s 等后:0.0s) | ST9 EG漏液/底盘漏液(开:9036.0s 加:112.5s 等前:0.0s 等后:0.0s) | ST10 全景/空调检查(开:9148.5s 加:0.0s 等前:0.0s 等后:0.0s) | ST11 气囊安装+绝缘(开:9148.5s 加:116.0s 等前:0.0s 等后:0.0s) | ST12 L2++(开:9264.5s 加:88.0s 等前:0.0s 等后:0.0s) | ST13 电检1(开:9352.5s 加:84.5s 等前:0.0s 等后:0.0s) | ST14 电检2(开:9437.0s 加:97.5s 等前:0.0s 等后:0.0s) | ST15 小跑道(开:9534.5s 加:50.0s 等前:0.0s 等后:0.0s)</t>
        </is>
      </c>
    </row>
    <row r="128">
      <c r="A128" s="13" t="n">
        <v>127</v>
      </c>
      <c r="B128" s="13" t="inlineStr">
        <is>
          <t>Car#129</t>
        </is>
      </c>
      <c r="C128" s="13" t="inlineStr">
        <is>
          <t>A</t>
        </is>
      </c>
      <c r="D128" s="14" t="n">
        <v>8281.5</v>
      </c>
      <c r="E128" s="14" t="n">
        <v>9635.5</v>
      </c>
      <c r="F128" s="14" t="n">
        <v>1354</v>
      </c>
      <c r="G128" s="14" t="n">
        <v>1350.5</v>
      </c>
      <c r="H128" s="13" t="inlineStr">
        <is>
          <t>Car#127</t>
        </is>
      </c>
      <c r="I128" s="14">
        <f>E128-E127</f>
        <v/>
      </c>
      <c r="J128" s="14">
        <f>I128-58</f>
        <v/>
      </c>
      <c r="K128" s="14">
        <f>MAX(0,J128)</f>
        <v/>
      </c>
      <c r="L128" s="14">
        <f>MAX(0,-J128)</f>
        <v/>
      </c>
      <c r="M128" s="14">
        <f>M127+I128</f>
        <v/>
      </c>
      <c r="N128" s="14">
        <f>D128+F128-E128</f>
        <v/>
      </c>
      <c r="O128" s="13" t="inlineStr">
        <is>
          <t>能力满足</t>
        </is>
      </c>
      <c r="P128" s="13" t="inlineStr">
        <is>
          <t>ST1 引取(开:8281.5s 加:55.0s 等前:857.5s 等后:0.0s) | ST2 集约(开:8336.5s 加:106.0s 等前:0.0s 等后:0.0s) | ST3 空气悬挂+快充(开:8442.5s 加:0.0s 等前:0.0s 等后:114.5s) | ST4 四轮定位上、下(开:8557.0s 加:115.0s 等前:0.0s 等后:0.0s) | ST5 ADAS(开:8672.0s 加:97.0s 等前:0.0s 等后:38.5s) | ST6 ARHUD+慢充(开:8807.5s 加:0.0s 等前:0.0s 等后:114.5s) | ST7 转毂(开:8922.0s 加:116.0s 等前:0.0s 等后:0.0s) | ST8 制动(开:9038.0s 加:108.0s 等前:0.0s 等后:2.5s) | ST9 EG漏液/底盘漏液(开:9148.5s 加:115.0s 等前:0.0s 等后:0.0s) | ST10 全景/空调检查(开:9263.5s 加:98.0s 等前:0.0s 等后:0.0s) | ST11 气囊安装+绝缘(开:9361.5s 加:0.0s 等前:0.0s 等后:0.0s) | ST12 L2++(开:9361.5s 加:0.0s 等前:0.0s 等后:75.5s) | ST13 电检1(开:9437.0s 加:0.0s 等前:0.0s 等后:97.5s) | ST14 电检2(开:9534.5s 加:0.0s 等前:0.0s 等后:50.0s) | ST15 小跑道(开:9584.5s 加:51.0s 等前:0.0s 等后:0.0s)</t>
        </is>
      </c>
    </row>
    <row r="129">
      <c r="A129" s="15" t="n">
        <v>128</v>
      </c>
      <c r="B129" s="15" t="inlineStr">
        <is>
          <t>Car#126</t>
        </is>
      </c>
      <c r="C129" s="15" t="inlineStr">
        <is>
          <t>C</t>
        </is>
      </c>
      <c r="D129" s="16" t="n">
        <v>8073.5</v>
      </c>
      <c r="E129" s="16" t="n">
        <v>9685.5</v>
      </c>
      <c r="F129" s="16" t="n">
        <v>1612</v>
      </c>
      <c r="G129" s="16" t="n">
        <v>1012</v>
      </c>
      <c r="H129" s="15" t="inlineStr">
        <is>
          <t>Car#129</t>
        </is>
      </c>
      <c r="I129" s="16">
        <f>E129-E128</f>
        <v/>
      </c>
      <c r="J129" s="16">
        <f>I129-58</f>
        <v/>
      </c>
      <c r="K129" s="16">
        <f>MAX(0,J129)</f>
        <v/>
      </c>
      <c r="L129" s="16">
        <f>MAX(0,-J129)</f>
        <v/>
      </c>
      <c r="M129" s="16">
        <f>M128+I129</f>
        <v/>
      </c>
      <c r="N129" s="16">
        <f>D129+F129-E129</f>
        <v/>
      </c>
      <c r="O129" s="15" t="inlineStr">
        <is>
          <t>能力超目标：四轮定位上、下、ARHUD+慢充</t>
        </is>
      </c>
      <c r="P129" s="15" t="inlineStr">
        <is>
          <t>ST1 引取(开:8073.5s 加:56.0s 等前:823.5s 等后:31.5s) | ST2 集约(开:8161.0s 加:111.0s 等前:0.0s 等后:9.5s) | ST3 空气悬挂+快充(开:8281.5s 加:108.5s 等前:0.0s 等后:29.0s) | ST4 四轮定位上、下(开:8419.0s 加:120.5s 等前:0.0s 等后:23.0s) | ST5 ADAS(开:8562.5s 加:107.0s 等前:0.0s 等后:7.5s) | ST6 ARHUD+慢充(开:8677.0s 加:143.5s 等前:0.0s 等后:0.0s) | ST7 转毂(开:8820.5s 加:114.5s 等前:0.0s 等后:0.0s) | ST8 制动(开:8935.0s 加:114.0s 等前:0.0s 等后:0.0s) | ST9 EG漏液/底盘漏液(开:9049.0s 加:112.5s 等前:0.0s 等后:0.0s) | ST10 全景/空调检查(开:9161.5s 加:0.0s 等前:0.0s 等后:0.0s) | ST11 气囊安装+绝缘(开:9161.5s 加:116.0s 等前:0.0s 等后:0.0s) | ST12 L2++(开:9277.5s 加:88.0s 等前:0.0s 等后:0.0s) | ST13 电检1(开:9365.5s 加:84.5s 等前:0.0s 等后:0.0s) | ST14 电检2(开:9450.0s 加:97.5s 等前:0.0s 等后:88.0s) | ST15 小跑道(开:9635.5s 加:50.0s 等前:0.0s 等后:0.0s)</t>
        </is>
      </c>
    </row>
    <row r="130">
      <c r="A130" s="13" t="n">
        <v>129</v>
      </c>
      <c r="B130" s="13" t="inlineStr">
        <is>
          <t>Car#131</t>
        </is>
      </c>
      <c r="C130" s="13" t="inlineStr">
        <is>
          <t>A</t>
        </is>
      </c>
      <c r="D130" s="14" t="n">
        <v>8419</v>
      </c>
      <c r="E130" s="14" t="n">
        <v>9736.5</v>
      </c>
      <c r="F130" s="14" t="n">
        <v>1317.5</v>
      </c>
      <c r="G130" s="14" t="n">
        <v>1335.5</v>
      </c>
      <c r="H130" s="13" t="inlineStr">
        <is>
          <t>Car#126</t>
        </is>
      </c>
      <c r="I130" s="14">
        <f>E130-E129</f>
        <v/>
      </c>
      <c r="J130" s="14">
        <f>I130-58</f>
        <v/>
      </c>
      <c r="K130" s="14">
        <f>MAX(0,J130)</f>
        <v/>
      </c>
      <c r="L130" s="14">
        <f>MAX(0,-J130)</f>
        <v/>
      </c>
      <c r="M130" s="14">
        <f>M129+I130</f>
        <v/>
      </c>
      <c r="N130" s="14">
        <f>D130+F130-E130</f>
        <v/>
      </c>
      <c r="O130" s="13" t="inlineStr">
        <is>
          <t>能力满足</t>
        </is>
      </c>
      <c r="P130" s="13" t="inlineStr">
        <is>
          <t>ST1 引取(开:8419.0s 加:55.0s 等前:879.0s 等后:0.0s) | ST2 集约(开:8474.0s 加:106.0s 等前:0.0s 等后:0.0s) | ST3 空气悬挂+快充(开:8580.0s 加:0.0s 等前:0.0s 等后:92.0s) | ST4 四轮定位上、下(开:8672.0s 加:115.0s 等前:0.0s 等后:20.5s) | ST5 ADAS(开:8807.5s 加:97.0s 等前:0.0s 等后:17.5s) | ST6 ARHUD+慢充(开:8922.0s 加:0.0s 等前:0.0s 等后:116.0s) | ST7 转毂(开:9038.0s 加:116.0s 等前:0.0s 等后:0.0s) | ST8 制动(开:9154.0s 加:108.0s 等前:0.0s 等后:1.5s) | ST9 EG漏液/底盘漏液(开:9263.5s 加:115.0s 等前:0.0s 等后:0.0s) | ST10 全景/空调检查(开:9378.5s 加:98.0s 等前:0.0s 等后:0.0s) | ST11 气囊安装+绝缘(开:9476.5s 加:0.0s 等前:0.0s 等后:0.0s) | ST12 L2++(开:9476.5s 加:0.0s 等前:0.0s 等后:58.0s) | ST13 电检1(开:9534.5s 加:0.0s 等前:0.0s 等后:50.0s) | ST14 电检2(开:9584.5s 加:0.0s 等前:0.0s 等后:101.0s) | ST15 小跑道(开:9685.5s 加:51.0s 等前:0.0s 等后:0.0s)</t>
        </is>
      </c>
    </row>
    <row r="131">
      <c r="A131" s="15" t="n">
        <v>130</v>
      </c>
      <c r="B131" s="15" t="inlineStr">
        <is>
          <t>Car#128</t>
        </is>
      </c>
      <c r="C131" s="15" t="inlineStr">
        <is>
          <t>C</t>
        </is>
      </c>
      <c r="D131" s="16" t="n">
        <v>8217</v>
      </c>
      <c r="E131" s="16" t="n">
        <v>9786.5</v>
      </c>
      <c r="F131" s="16" t="n">
        <v>1569.5</v>
      </c>
      <c r="G131" s="16" t="n">
        <v>997</v>
      </c>
      <c r="H131" s="15" t="inlineStr">
        <is>
          <t>Car#131</t>
        </is>
      </c>
      <c r="I131" s="16">
        <f>E131-E130</f>
        <v/>
      </c>
      <c r="J131" s="16">
        <f>I131-58</f>
        <v/>
      </c>
      <c r="K131" s="16">
        <f>MAX(0,J131)</f>
        <v/>
      </c>
      <c r="L131" s="16">
        <f>MAX(0,-J131)</f>
        <v/>
      </c>
      <c r="M131" s="16">
        <f>M130+I131</f>
        <v/>
      </c>
      <c r="N131" s="16">
        <f>D131+F131-E131</f>
        <v/>
      </c>
      <c r="O131" s="15" t="inlineStr">
        <is>
          <t>能力超目标：四轮定位上、下、ARHUD+慢充</t>
        </is>
      </c>
      <c r="P131" s="15" t="inlineStr">
        <is>
          <t>ST1 引取(开:8217.0s 加:56.0s 等前:851.0s 等后:8.5s) | ST2 集约(开:8281.5s 加:111.0s 等前:0.0s 等后:26.5s) | ST3 空气悬挂+快充(开:8419.0s 加:108.5s 等前:0.0s 等后:35.0s) | ST4 四轮定位上、下(开:8562.5s 加:120.5s 等前:0.0s 等后:0.0s) | ST5 ADAS(开:8683.0s 加:107.0s 等前:0.0s 等后:30.5s) | ST6 ARHUD+慢充(开:8820.5s 加:143.5s 等前:0.0s 等后:0.0s) | ST7 转毂(开:8964.0s 加:114.5s 等前:0.0s 等后:0.0s) | ST8 制动(开:9078.5s 加:114.0s 等前:0.0s 等后:0.0s) | ST9 EG漏液/底盘漏液(开:9192.5s 加:112.5s 等前:0.0s 等后:0.0s) | ST10 全景/空调检查(开:9305.0s 加:0.0s 等前:0.0s 等后:0.0s) | ST11 气囊安装+绝缘(开:9305.0s 加:116.0s 等前:0.0s 等后:0.0s) | ST12 L2++(开:9421.0s 加:88.0s 等前:0.0s 等后:0.0s) | ST13 电检1(开:9509.0s 加:84.5s 等前:0.0s 等后:42.0s) | ST14 电检2(开:9635.5s 加:97.5s 等前:0.0s 等后:3.5s) | ST15 小跑道(开:9736.5s 加:50.0s 等前:0.0s 等后:0.0s)</t>
        </is>
      </c>
    </row>
    <row r="132">
      <c r="A132" s="13" t="n">
        <v>131</v>
      </c>
      <c r="B132" s="13" t="inlineStr">
        <is>
          <t>Car#130</t>
        </is>
      </c>
      <c r="C132" s="13" t="inlineStr">
        <is>
          <t>A</t>
        </is>
      </c>
      <c r="D132" s="14" t="n">
        <v>8336.5</v>
      </c>
      <c r="E132" s="14" t="n">
        <v>9837.5</v>
      </c>
      <c r="F132" s="14" t="n">
        <v>1501</v>
      </c>
      <c r="G132" s="14" t="n">
        <v>1494.5</v>
      </c>
      <c r="H132" s="13" t="inlineStr">
        <is>
          <t>Car#128</t>
        </is>
      </c>
      <c r="I132" s="14">
        <f>E132-E131</f>
        <v/>
      </c>
      <c r="J132" s="14">
        <f>I132-58</f>
        <v/>
      </c>
      <c r="K132" s="14">
        <f>MAX(0,J132)</f>
        <v/>
      </c>
      <c r="L132" s="14">
        <f>MAX(0,-J132)</f>
        <v/>
      </c>
      <c r="M132" s="14">
        <f>M131+I132</f>
        <v/>
      </c>
      <c r="N132" s="14">
        <f>D132+F132-E132</f>
        <v/>
      </c>
      <c r="O132" s="13" t="inlineStr">
        <is>
          <t>能力满足</t>
        </is>
      </c>
      <c r="P132" s="13" t="inlineStr">
        <is>
          <t>ST1 引取(开:8336.5s 加:55.0s 等前:854.5s 等后:27.5s) | ST2 集约(开:8419.0s 加:106.0s 等前:0.0s 等后:37.5s) | ST3 空气悬挂+快充(开:8562.5s 加:0.0s 等前:0.0s 等后:120.5s) | ST4 四轮定位上、下(开:8683.0s 加:115.0s 等前:0.0s 等后:22.5s) | ST5 ADAS(开:8820.5s 加:97.0s 等前:0.0s 等后:46.5s) | ST6 ARHUD+慢充(开:8964.0s 加:0.0s 等前:0.0s 等后:114.5s) | ST7 转毂(开:9078.5s 加:116.0s 等前:0.0s 等后:0.0s) | ST8 制动(开:9194.5s 加:108.0s 等前:0.0s 等后:2.5s) | ST9 EG漏液/底盘漏液(开:9305.0s 加:115.0s 等前:0.0s 等后:0.0s) | ST10 全景/空调检查(开:9420.0s 加:98.0s 等前:0.0s 等后:0.0s) | ST11 气囊安装+绝缘(开:9518.0s 加:0.0s 等前:0.0s 等后:0.0s) | ST12 L2++(开:9518.0s 加:0.0s 等前:0.0s 等后:117.5s) | ST13 电检1(开:9635.5s 加:0.0s 等前:0.0s 等后:101.0s) | ST14 电检2(开:9736.5s 加:0.0s 等前:0.0s 等后:50.0s) | ST15 小跑道(开:9786.5s 加:51.0s 等前:0.0s 等后:0.0s)</t>
        </is>
      </c>
    </row>
    <row r="133">
      <c r="A133" s="15" t="n">
        <v>132</v>
      </c>
      <c r="B133" s="15" t="inlineStr">
        <is>
          <t>Car#132</t>
        </is>
      </c>
      <c r="C133" s="15" t="inlineStr">
        <is>
          <t>B</t>
        </is>
      </c>
      <c r="D133" s="16" t="n">
        <v>8474</v>
      </c>
      <c r="E133" s="16" t="n">
        <v>9971.5</v>
      </c>
      <c r="F133" s="16" t="n">
        <v>1497.5</v>
      </c>
      <c r="G133" s="16" t="n">
        <v>1042</v>
      </c>
      <c r="H133" s="15" t="inlineStr">
        <is>
          <t>Car#130</t>
        </is>
      </c>
      <c r="I133" s="16">
        <f>E133-E132</f>
        <v/>
      </c>
      <c r="J133" s="16">
        <f>I133-58</f>
        <v/>
      </c>
      <c r="K133" s="16">
        <f>MAX(0,J133)</f>
        <v/>
      </c>
      <c r="L133" s="16">
        <f>MAX(0,-J133)</f>
        <v/>
      </c>
      <c r="M133" s="16">
        <f>M132+I133</f>
        <v/>
      </c>
      <c r="N133" s="16">
        <f>D133+F133-E133</f>
        <v/>
      </c>
      <c r="O133" s="15" t="inlineStr">
        <is>
          <t>能力超目标：四轮定位上、下</t>
        </is>
      </c>
      <c r="P133" s="15" t="inlineStr">
        <is>
          <t>ST1 引取(开:8474.0s 加:56.0s 等前:876.0s 等后:32.5s) | ST2 集约(开:8562.5s 加:111.0s 等前:0.0s 等后:9.5s) | ST3 空气悬挂+快充(开:8683.0s 加:108.5s 等前:0.0s 等后:29.0s) | ST4 四轮定位上、下(开:8820.5s 加:120.5s 等前:0.0s 等后:23.0s) | ST5 ADAS(开:8964.0s 加:107.0s 等前:0.0s 等后:7.5s) | ST6 ARHUD+慢充(开:9078.5s 加:51.5s 等前:0.0s 等后:64.5s) | ST7 转毂(开:9194.5s 加:114.5s 等前:0.0s 等后:0.0s) | ST8 制动(开:9309.0s 加:114.0s 等前:0.0s 等后:0.0s) | ST9 EG漏液/底盘漏液(开:9423.0s 加:112.5s 等前:0.0s 等后:0.0s) | ST10 全景/空调检查(开:9535.5s 加:0.0s 等前:0.0s 等后:0.0s) | ST11 气囊安装+绝缘(开:9535.5s 加:116.0s 等前:0.0s 等后:0.0s) | ST12 L2++(开:9651.5s 加:88.0s 等前:0.0s 等后:0.0s) | ST13 电检1(开:9739.5s 加:84.5s 等前:0.0s 等后:0.0s) | ST14 电检2(开:9824.0s 加:97.5s 等前:0.0s 等后:0.0s) | ST15 小跑道(开:9921.5s 加:50.0s 等前:0.0s 等后:0.0s)</t>
        </is>
      </c>
    </row>
    <row r="134">
      <c r="A134" s="13" t="n">
        <v>133</v>
      </c>
      <c r="B134" s="13" t="inlineStr">
        <is>
          <t>Car#133</t>
        </is>
      </c>
      <c r="C134" s="13" t="inlineStr">
        <is>
          <t>C</t>
        </is>
      </c>
      <c r="D134" s="14" t="n">
        <v>8562.5</v>
      </c>
      <c r="E134" s="14" t="n">
        <v>10021.5</v>
      </c>
      <c r="F134" s="14" t="n">
        <v>1459</v>
      </c>
      <c r="G134" s="14" t="n">
        <v>942</v>
      </c>
      <c r="H134" s="13" t="inlineStr">
        <is>
          <t>Car#132</t>
        </is>
      </c>
      <c r="I134" s="14">
        <f>E134-E133</f>
        <v/>
      </c>
      <c r="J134" s="14">
        <f>I134-58</f>
        <v/>
      </c>
      <c r="K134" s="14">
        <f>MAX(0,J134)</f>
        <v/>
      </c>
      <c r="L134" s="14">
        <f>MAX(0,-J134)</f>
        <v/>
      </c>
      <c r="M134" s="14">
        <f>M133+I134</f>
        <v/>
      </c>
      <c r="N134" s="14">
        <f>D134+F134-E134</f>
        <v/>
      </c>
      <c r="O134" s="13" t="inlineStr">
        <is>
          <t>能力超目标：四轮定位上、下、ARHUD+慢充</t>
        </is>
      </c>
      <c r="P134" s="13" t="inlineStr">
        <is>
          <t>ST1 引取(开:8562.5s 加:56.0s 等前:906.5s 等后:0.0s) | ST2 集约(开:8618.5s 加:111.0s 等前:0.0s 等后:0.0s) | ST3 空气悬挂+快充(开:8729.5s 加:108.5s 等前:0.0s 等后:0.0s) | ST4 四轮定位上、下(开:8838.0s 加:120.5s 等前:0.0s 等后:0.0s) | ST5 ADAS(开:8958.5s 加:107.0s 等前:0.0s 等后:0.0s) | ST6 ARHUD+慢充(开:9065.5s 加:143.5s 等前:0.0s 等后:0.0s) | ST7 转毂(开:9209.0s 加:114.5s 等前:0.0s 等后:0.0s) | ST8 制动(开:9323.5s 加:114.0s 等前:0.0s 等后:0.0s) | ST9 EG漏液/底盘漏液(开:9437.5s 加:112.5s 等前:0.0s 等后:0.0s) | ST10 全景/空调检查(开:9550.0s 加:0.0s 等前:0.0s 等后:0.0s) | ST11 气囊安装+绝缘(开:9550.0s 加:116.0s 等前:0.0s 等后:0.0s) | ST12 L2++(开:9666.0s 加:88.0s 等前:0.0s 等后:0.0s) | ST13 电检1(开:9754.0s 加:84.5s 等前:0.0s 等后:0.0s) | ST14 电检2(开:9838.5s 加:97.5s 等前:0.0s 等后:35.5s) | ST15 小跑道(开:9971.5s 加:50.0s 等前:0.0s 等后:0.0s)</t>
        </is>
      </c>
    </row>
    <row r="135">
      <c r="A135" s="15" t="n">
        <v>134</v>
      </c>
      <c r="B135" s="15" t="inlineStr">
        <is>
          <t>Car#134</t>
        </is>
      </c>
      <c r="C135" s="15" t="inlineStr">
        <is>
          <t>C</t>
        </is>
      </c>
      <c r="D135" s="16" t="n">
        <v>8618.5</v>
      </c>
      <c r="E135" s="16" t="n">
        <v>10115</v>
      </c>
      <c r="F135" s="16" t="n">
        <v>1496.5</v>
      </c>
      <c r="G135" s="16" t="n">
        <v>977.5</v>
      </c>
      <c r="H135" s="15" t="inlineStr">
        <is>
          <t>Car#133</t>
        </is>
      </c>
      <c r="I135" s="16">
        <f>E135-E134</f>
        <v/>
      </c>
      <c r="J135" s="16">
        <f>I135-58</f>
        <v/>
      </c>
      <c r="K135" s="16">
        <f>MAX(0,J135)</f>
        <v/>
      </c>
      <c r="L135" s="16">
        <f>MAX(0,-J135)</f>
        <v/>
      </c>
      <c r="M135" s="16">
        <f>M134+I135</f>
        <v/>
      </c>
      <c r="N135" s="16">
        <f>D135+F135-E135</f>
        <v/>
      </c>
      <c r="O135" s="15" t="inlineStr">
        <is>
          <t>能力超目标：四轮定位上、下、ARHUD+慢充</t>
        </is>
      </c>
      <c r="P135" s="15" t="inlineStr">
        <is>
          <t>ST1 引取(开:8618.5s 加:56.0s 等前:904.5s 等后:8.5s) | ST2 集约(开:8683.0s 加:111.0s 等前:0.0s 等后:26.5s) | ST3 空气悬挂+快充(开:8820.5s 加:108.5s 等前:0.0s 等后:35.0s) | ST4 四轮定位上、下(开:8964.0s 加:120.5s 等前:0.0s 等后:0.0s) | ST5 ADAS(开:9084.5s 加:107.0s 等前:0.0s 等后:3.0s) | ST6 ARHUD+慢充(开:9194.5s 加:143.5s 等前:0.0s 等后:0.0s) | ST7 转毂(开:9338.0s 加:114.5s 等前:0.0s 等后:0.0s) | ST8 制动(开:9452.5s 加:114.0s 等前:0.0s 等后:0.0s) | ST9 EG漏液/底盘漏液(开:9566.5s 加:112.5s 等前:0.0s 等后:0.0s) | ST10 全景/空调检查(开:9679.0s 加:0.0s 等前:0.0s 等后:0.0s) | ST11 气囊安装+绝缘(开:9679.0s 加:116.0s 等前:0.0s 等后:0.0s) | ST12 L2++(开:9795.0s 加:88.0s 等前:0.0s 等后:0.0s) | ST13 电检1(开:9883.0s 加:84.5s 等前:0.0s 等后:0.0s) | ST14 电检2(开:9967.5s 加:97.5s 等前:0.0s 等后:0.0s) | ST15 小跑道(开:10065.0s 加:50.0s 等前:0.0s 等后:0.0s)</t>
        </is>
      </c>
    </row>
    <row r="136">
      <c r="A136" s="13" t="n">
        <v>135</v>
      </c>
      <c r="B136" s="13" t="inlineStr">
        <is>
          <t>Car#135</t>
        </is>
      </c>
      <c r="C136" s="13" t="inlineStr">
        <is>
          <t>C</t>
        </is>
      </c>
      <c r="D136" s="14" t="n">
        <v>8683</v>
      </c>
      <c r="E136" s="14" t="n">
        <v>10165</v>
      </c>
      <c r="F136" s="14" t="n">
        <v>1482</v>
      </c>
      <c r="G136" s="14" t="n">
        <v>969.5</v>
      </c>
      <c r="H136" s="13" t="inlineStr">
        <is>
          <t>Car#134</t>
        </is>
      </c>
      <c r="I136" s="14">
        <f>E136-E135</f>
        <v/>
      </c>
      <c r="J136" s="14">
        <f>I136-58</f>
        <v/>
      </c>
      <c r="K136" s="14">
        <f>MAX(0,J136)</f>
        <v/>
      </c>
      <c r="L136" s="14">
        <f>MAX(0,-J136)</f>
        <v/>
      </c>
      <c r="M136" s="14">
        <f>M135+I136</f>
        <v/>
      </c>
      <c r="N136" s="14">
        <f>D136+F136-E136</f>
        <v/>
      </c>
      <c r="O136" s="13" t="inlineStr">
        <is>
          <t>能力超目标：四轮定位上、下、ARHUD+慢充</t>
        </is>
      </c>
      <c r="P136" s="13" t="inlineStr">
        <is>
          <t>ST1 引取(开:8683.0s 加:56.0s 等前:911.0s 等后:0.0s) | ST2 集约(开:8739.0s 加:111.0s 等前:0.0s 等后:0.0s) | ST3 空气悬挂+快充(开:8850.0s 加:108.5s 等前:0.0s 等后:0.0s) | ST4 四轮定位上、下(开:8958.5s 加:120.5s 等前:0.0s 等后:0.0s) | ST5 ADAS(开:9079.0s 加:107.0s 等前:0.0s 等后:23.0s) | ST6 ARHUD+慢充(开:9209.0s 加:143.5s 等前:0.0s 等后:0.0s) | ST7 转毂(开:9352.5s 加:114.5s 等前:0.0s 等后:0.0s) | ST8 制动(开:9467.0s 加:114.0s 等前:0.0s 等后:0.0s) | ST9 EG漏液/底盘漏液(开:9581.0s 加:112.5s 等前:0.0s 等后:0.0s) | ST10 全景/空调检查(开:9693.5s 加:0.0s 等前:0.0s 等后:0.0s) | ST11 气囊安装+绝缘(开:9693.5s 加:116.0s 等前:0.0s 等后:0.0s) | ST12 L2++(开:9809.5s 加:88.0s 等前:0.0s 等后:0.0s) | ST13 电检1(开:9897.5s 加:84.5s 等前:0.0s 等后:0.0s) | ST14 电检2(开:9982.0s 加:97.5s 等前:0.0s 等后:35.5s) | ST15 小跑道(开:10115.0s 加:50.0s 等前:0.0s 等后:0.0s)</t>
        </is>
      </c>
    </row>
    <row r="137">
      <c r="A137" s="15" t="n">
        <v>136</v>
      </c>
      <c r="B137" s="15" t="inlineStr">
        <is>
          <t>Car#136</t>
        </is>
      </c>
      <c r="C137" s="15" t="inlineStr">
        <is>
          <t>B</t>
        </is>
      </c>
      <c r="D137" s="16" t="n">
        <v>8739</v>
      </c>
      <c r="E137" s="16" t="n">
        <v>10231</v>
      </c>
      <c r="F137" s="16" t="n">
        <v>1492</v>
      </c>
      <c r="G137" s="16" t="n">
        <v>1069.5</v>
      </c>
      <c r="H137" s="15" t="inlineStr">
        <is>
          <t>Car#135</t>
        </is>
      </c>
      <c r="I137" s="16">
        <f>E137-E136</f>
        <v/>
      </c>
      <c r="J137" s="16">
        <f>I137-58</f>
        <v/>
      </c>
      <c r="K137" s="16">
        <f>MAX(0,J137)</f>
        <v/>
      </c>
      <c r="L137" s="16">
        <f>MAX(0,-J137)</f>
        <v/>
      </c>
      <c r="M137" s="16">
        <f>M136+I137</f>
        <v/>
      </c>
      <c r="N137" s="16">
        <f>D137+F137-E137</f>
        <v/>
      </c>
      <c r="O137" s="15" t="inlineStr">
        <is>
          <t>能力超目标：四轮定位上、下</t>
        </is>
      </c>
      <c r="P137" s="15" t="inlineStr">
        <is>
          <t>ST1 引取(开:8739.0s 加:56.0s 等前:909.0s 等后:25.5s) | ST2 集约(开:8820.5s 加:111.0s 等前:0.0s 等后:32.5s) | ST3 空气悬挂+快充(开:8964.0s 加:108.5s 等前:0.0s 等后:12.0s) | ST4 四轮定位上、下(开:9084.5s 加:120.5s 等前:0.0s 等后:0.0s) | ST5 ADAS(开:9205.0s 加:107.0s 等前:0.0s 等后:26.0s) | ST6 ARHUD+慢充(开:9338.0s 加:51.5s 等前:0.0s 等后:63.0s) | ST7 转毂(开:9452.5s 加:114.5s 等前:0.0s 等后:0.0s) | ST8 制动(开:9567.0s 加:114.0s 等前:0.0s 等后:0.0s) | ST9 EG漏液/底盘漏液(开:9681.0s 加:112.5s 等前:0.0s 等后:0.0s) | ST10 全景/空调检查(开:9793.5s 加:0.0s 等前:0.0s 等后:1.5s) | ST11 气囊安装+绝缘(开:9795.0s 加:116.0s 等前:0.0s 等后:0.0s) | ST12 L2++(开:9911.0s 加:88.0s 等前:0.0s 等后:0.0s) | ST13 电检1(开:9999.0s 加:84.5s 等前:0.0s 等后:0.0s) | ST14 电检2(开:10083.5s 加:97.5s 等前:0.0s 等后:0.0s) | ST15 小跑道(开:10181.0s 加:50.0s 等前:0.0s 等后:0.0s)</t>
        </is>
      </c>
    </row>
    <row r="138">
      <c r="A138" s="13" t="n">
        <v>137</v>
      </c>
      <c r="B138" s="13" t="inlineStr">
        <is>
          <t>Car#137</t>
        </is>
      </c>
      <c r="C138" s="13" t="inlineStr">
        <is>
          <t>B</t>
        </is>
      </c>
      <c r="D138" s="14" t="n">
        <v>8820.5</v>
      </c>
      <c r="E138" s="14" t="n">
        <v>10281</v>
      </c>
      <c r="F138" s="14" t="n">
        <v>1460.5</v>
      </c>
      <c r="G138" s="14" t="n">
        <v>1061.5</v>
      </c>
      <c r="H138" s="13" t="inlineStr">
        <is>
          <t>Car#136</t>
        </is>
      </c>
      <c r="I138" s="14">
        <f>E138-E137</f>
        <v/>
      </c>
      <c r="J138" s="14">
        <f>I138-58</f>
        <v/>
      </c>
      <c r="K138" s="14">
        <f>MAX(0,J138)</f>
        <v/>
      </c>
      <c r="L138" s="14">
        <f>MAX(0,-J138)</f>
        <v/>
      </c>
      <c r="M138" s="14">
        <f>M137+I138</f>
        <v/>
      </c>
      <c r="N138" s="14">
        <f>D138+F138-E138</f>
        <v/>
      </c>
      <c r="O138" s="13" t="inlineStr">
        <is>
          <t>能力超目标：四轮定位上、下</t>
        </is>
      </c>
      <c r="P138" s="13" t="inlineStr">
        <is>
          <t>ST1 引取(开:8820.5s 加:56.0s 等前:932.5s 等后:0.0s) | ST2 集约(开:8876.5s 加:111.0s 等前:0.0s 等后:0.0s) | ST3 空气悬挂+快充(开:8987.5s 加:108.5s 等前:0.0s 等后:0.0s) | ST4 四轮定位上、下(开:9096.0s 加:120.5s 等前:0.0s 等后:0.0s) | ST5 ADAS(开:9216.5s 加:107.0s 等前:0.0s 等后:29.0s) | ST6 ARHUD+慢充(开:9352.5s 加:51.5s 等前:0.0s 等后:63.0s) | ST7 转毂(开:9467.0s 加:114.5s 等前:0.0s 等后:0.0s) | ST8 制动(开:9581.5s 加:114.0s 等前:0.0s 等后:0.0s) | ST9 EG漏液/底盘漏液(开:9695.5s 加:112.5s 等前:0.0s 等后:0.0s) | ST10 全景/空调检查(开:9808.0s 加:0.0s 等前:0.0s 等后:1.5s) | ST11 气囊安装+绝缘(开:9809.5s 加:116.0s 等前:0.0s 等后:0.0s) | ST12 L2++(开:9925.5s 加:88.0s 等前:0.0s 等后:0.0s) | ST13 电检1(开:10013.5s 加:84.5s 等前:0.0s 等后:17.0s) | ST14 电检2(开:10115.0s 加:97.5s 等前:0.0s 等后:18.5s) | ST15 小跑道(开:10231.0s 加:50.0s 等前:0.0s 等后:0.0s)</t>
        </is>
      </c>
    </row>
    <row r="139">
      <c r="A139" s="15" t="n">
        <v>138</v>
      </c>
      <c r="B139" s="15" t="inlineStr">
        <is>
          <t>Car#138</t>
        </is>
      </c>
      <c r="C139" s="15" t="inlineStr">
        <is>
          <t>C</t>
        </is>
      </c>
      <c r="D139" s="16" t="n">
        <v>8876.5</v>
      </c>
      <c r="E139" s="16" t="n">
        <v>10373</v>
      </c>
      <c r="F139" s="16" t="n">
        <v>1496.5</v>
      </c>
      <c r="G139" s="16" t="n">
        <v>1003.5</v>
      </c>
      <c r="H139" s="15" t="inlineStr">
        <is>
          <t>Car#137</t>
        </is>
      </c>
      <c r="I139" s="16">
        <f>E139-E138</f>
        <v/>
      </c>
      <c r="J139" s="16">
        <f>I139-58</f>
        <v/>
      </c>
      <c r="K139" s="16">
        <f>MAX(0,J139)</f>
        <v/>
      </c>
      <c r="L139" s="16">
        <f>MAX(0,-J139)</f>
        <v/>
      </c>
      <c r="M139" s="16">
        <f>M138+I139</f>
        <v/>
      </c>
      <c r="N139" s="16">
        <f>D139+F139-E139</f>
        <v/>
      </c>
      <c r="O139" s="15" t="inlineStr">
        <is>
          <t>能力超目标：四轮定位上、下、ARHUD+慢充</t>
        </is>
      </c>
      <c r="P139" s="15" t="inlineStr">
        <is>
          <t>ST1 引取(开:8876.5s 加:56.0s 等前:930.5s 等后:31.5s) | ST2 集约(开:8964.0s 加:111.0s 等前:0.0s 等后:9.5s) | ST3 空气悬挂+快充(开:9084.5s 加:108.5s 等前:0.0s 等后:12.0s) | ST4 四轮定位上、下(开:9205.0s 加:120.5s 等前:0.0s 等后:12.5s) | ST5 ADAS(开:9338.0s 加:107.0s 等前:0.0s 等后:7.5s) | ST6 ARHUD+慢充(开:9452.5s 加:143.5s 等前:0.0s 等后:0.0s) | ST7 转毂(开:9596.0s 加:114.5s 等前:0.0s 等后:0.0s) | ST8 制动(开:9710.5s 加:114.0s 等前:0.0s 等后:0.0s) | ST9 EG漏液/底盘漏液(开:9824.5s 加:112.5s 等前:0.0s 等后:0.0s) | ST10 全景/空调检查(开:9937.0s 加:0.0s 等前:0.0s 等后:0.0s) | ST11 气囊安装+绝缘(开:9937.0s 加:116.0s 等前:0.0s 等后:0.0s) | ST12 L2++(开:10053.0s 加:88.0s 等前:0.0s 等后:0.0s) | ST13 电检1(开:10141.0s 加:84.5s 等前:0.0s 等后:0.0s) | ST14 电检2(开:10225.5s 加:97.5s 等前:0.0s 等后:0.0s) | ST15 小跑道(开:10323.0s 加:50.0s 等前:0.0s 等后:0.0s)</t>
        </is>
      </c>
    </row>
    <row r="140">
      <c r="A140" s="13" t="n">
        <v>139</v>
      </c>
      <c r="B140" s="13" t="inlineStr">
        <is>
          <t>Car#139</t>
        </is>
      </c>
      <c r="C140" s="13" t="inlineStr">
        <is>
          <t>C</t>
        </is>
      </c>
      <c r="D140" s="14" t="n">
        <v>8964</v>
      </c>
      <c r="E140" s="14" t="n">
        <v>10423</v>
      </c>
      <c r="F140" s="14" t="n">
        <v>1459</v>
      </c>
      <c r="G140" s="14" t="n">
        <v>995.5</v>
      </c>
      <c r="H140" s="13" t="inlineStr">
        <is>
          <t>Car#138</t>
        </is>
      </c>
      <c r="I140" s="14">
        <f>E140-E139</f>
        <v/>
      </c>
      <c r="J140" s="14">
        <f>I140-58</f>
        <v/>
      </c>
      <c r="K140" s="14">
        <f>MAX(0,J140)</f>
        <v/>
      </c>
      <c r="L140" s="14">
        <f>MAX(0,-J140)</f>
        <v/>
      </c>
      <c r="M140" s="14">
        <f>M139+I140</f>
        <v/>
      </c>
      <c r="N140" s="14">
        <f>D140+F140-E140</f>
        <v/>
      </c>
      <c r="O140" s="13" t="inlineStr">
        <is>
          <t>能力超目标：四轮定位上、下、ARHUD+慢充</t>
        </is>
      </c>
      <c r="P140" s="13" t="inlineStr">
        <is>
          <t>ST1 引取(开:8964.0s 加:56.0s 等前:960.0s 等后:0.0s) | ST2 集约(开:9020.0s 加:111.0s 等前:0.0s 等后:0.0s) | ST3 空气悬挂+快充(开:9131.0s 加:108.5s 等前:0.0s 等后:0.0s) | ST4 四轮定位上、下(开:9239.5s 加:120.5s 等前:0.0s 等后:0.0s) | ST5 ADAS(开:9360.0s 加:107.0s 等前:0.0s 等后:0.0s) | ST6 ARHUD+慢充(开:9467.0s 加:143.5s 等前:0.0s 等后:0.0s) | ST7 转毂(开:9610.5s 加:114.5s 等前:0.0s 等后:0.0s) | ST8 制动(开:9725.0s 加:114.0s 等前:0.0s 等后:0.0s) | ST9 EG漏液/底盘漏液(开:9839.0s 加:112.5s 等前:0.0s 等后:0.0s) | ST10 全景/空调检查(开:9951.5s 加:0.0s 等前:0.0s 等后:0.0s) | ST11 气囊安装+绝缘(开:9951.5s 加:116.0s 等前:0.0s 等后:0.0s) | ST12 L2++(开:10067.5s 加:88.0s 等前:0.0s 等后:0.0s) | ST13 电检1(开:10155.5s 加:84.5s 等前:0.0s 等后:0.0s) | ST14 电检2(开:10240.0s 加:97.5s 等前:0.0s 等后:35.5s) | ST15 小跑道(开:10373.0s 加:50.0s 等前:0.0s 等后:0.0s)</t>
        </is>
      </c>
    </row>
    <row r="141">
      <c r="A141" s="15" t="n">
        <v>140</v>
      </c>
      <c r="B141" s="15" t="inlineStr">
        <is>
          <t>Car#140</t>
        </is>
      </c>
      <c r="C141" s="15" t="inlineStr">
        <is>
          <t>C</t>
        </is>
      </c>
      <c r="D141" s="16" t="n">
        <v>9020</v>
      </c>
      <c r="E141" s="16" t="n">
        <v>10516.5</v>
      </c>
      <c r="F141" s="16" t="n">
        <v>1496.5</v>
      </c>
      <c r="G141" s="16" t="n">
        <v>1031</v>
      </c>
      <c r="H141" s="15" t="inlineStr">
        <is>
          <t>Car#139</t>
        </is>
      </c>
      <c r="I141" s="16">
        <f>E141-E140</f>
        <v/>
      </c>
      <c r="J141" s="16">
        <f>I141-58</f>
        <v/>
      </c>
      <c r="K141" s="16">
        <f>MAX(0,J141)</f>
        <v/>
      </c>
      <c r="L141" s="16">
        <f>MAX(0,-J141)</f>
        <v/>
      </c>
      <c r="M141" s="16">
        <f>M140+I141</f>
        <v/>
      </c>
      <c r="N141" s="16">
        <f>D141+F141-E141</f>
        <v/>
      </c>
      <c r="O141" s="15" t="inlineStr">
        <is>
          <t>能力超目标：四轮定位上、下、ARHUD+慢充</t>
        </is>
      </c>
      <c r="P141" s="15" t="inlineStr">
        <is>
          <t>ST1 引取(开:9020.0s 加:56.0s 等前:958.0s 等后:8.5s) | ST2 集约(开:9084.5s 加:111.0s 等前:0.0s 等后:9.5s) | ST3 空气悬挂+快充(开:9205.0s 加:108.5s 等前:0.0s 等后:24.5s) | ST4 四轮定位上、下(开:9338.0s 加:120.5s 等前:0.0s 等后:0.0s) | ST5 ADAS(开:9458.5s 加:107.0s 等前:0.0s 等后:30.5s) | ST6 ARHUD+慢充(开:9596.0s 加:143.5s 等前:0.0s 等后:0.0s) | ST7 转毂(开:9739.5s 加:114.5s 等前:0.0s 等后:0.0s) | ST8 制动(开:9854.0s 加:114.0s 等前:0.0s 等后:0.0s) | ST9 EG漏液/底盘漏液(开:9968.0s 加:112.5s 等前:0.0s 等后:0.0s) | ST10 全景/空调检查(开:10080.5s 加:0.0s 等前:0.0s 等后:0.0s) | ST11 气囊安装+绝缘(开:10080.5s 加:116.0s 等前:0.0s 等后:0.0s) | ST12 L2++(开:10196.5s 加:88.0s 等前:0.0s 等后:0.0s) | ST13 电检1(开:10284.5s 加:84.5s 等前:0.0s 等后:0.0s) | ST14 电检2(开:10369.0s 加:97.5s 等前:0.0s 等后:0.0s) | ST15 小跑道(开:10466.5s 加:50.0s 等前:0.0s 等后:0.0s)</t>
        </is>
      </c>
    </row>
    <row r="142">
      <c r="A142" s="13" t="n">
        <v>141</v>
      </c>
      <c r="B142" s="13" t="inlineStr">
        <is>
          <t>Car#142</t>
        </is>
      </c>
      <c r="C142" s="13" t="inlineStr">
        <is>
          <t>A</t>
        </is>
      </c>
      <c r="D142" s="14" t="n">
        <v>9140.5</v>
      </c>
      <c r="E142" s="14" t="n">
        <v>10567.5</v>
      </c>
      <c r="F142" s="14" t="n">
        <v>1427</v>
      </c>
      <c r="G142" s="14" t="n">
        <v>1528.5</v>
      </c>
      <c r="H142" s="13" t="inlineStr">
        <is>
          <t>Car#140</t>
        </is>
      </c>
      <c r="I142" s="14">
        <f>E142-E141</f>
        <v/>
      </c>
      <c r="J142" s="14">
        <f>I142-58</f>
        <v/>
      </c>
      <c r="K142" s="14">
        <f>MAX(0,J142)</f>
        <v/>
      </c>
      <c r="L142" s="14">
        <f>MAX(0,-J142)</f>
        <v/>
      </c>
      <c r="M142" s="14">
        <f>M141+I142</f>
        <v/>
      </c>
      <c r="N142" s="14">
        <f>D142+F142-E142</f>
        <v/>
      </c>
      <c r="O142" s="13" t="inlineStr">
        <is>
          <t>能力满足</t>
        </is>
      </c>
      <c r="P142" s="13" t="inlineStr">
        <is>
          <t>ST1 引取(开:9140.5s 加:55.0s 等前:962.5s 等后:9.5s) | ST2 集约(开:9205.0s 加:106.0s 等前:0.0s 等后:27.0s) | ST3 空气悬挂+快充(开:9338.0s 加:0.0s 等前:0.0s 等后:120.5s) | ST4 四轮定位上、下(开:9458.5s 加:115.0s 等前:0.0s 等后:22.5s) | ST5 ADAS(开:9596.0s 加:97.0s 等前:0.0s 等后:46.5s) | ST6 ARHUD+慢充(开:9739.5s 加:0.0s 等前:0.0s 等后:114.5s) | ST7 转毂(开:9854.0s 加:116.0s 等前:0.0s 等后:0.0s) | ST8 制动(开:9970.0s 加:108.0s 等前:0.0s 等后:2.5s) | ST9 EG漏液/底盘漏液(开:10080.5s 加:115.0s 等前:0.0s 等后:0.0s) | ST10 全景/空调检查(开:10195.5s 加:98.0s 等前:0.0s 等后:0.0s) | ST11 气囊安装+绝缘(开:10293.5s 加:0.0s 等前:0.0s 等后:0.0s) | ST12 L2++(开:10293.5s 加:0.0s 等前:0.0s 等后:75.5s) | ST13 电检1(开:10369.0s 加:0.0s 等前:0.0s 等后:97.5s) | ST14 电检2(开:10466.5s 加:0.0s 等前:0.0s 等后:50.0s) | ST15 小跑道(开:10516.5s 加:51.0s 等前:0.0s 等后:0.0s)</t>
        </is>
      </c>
    </row>
    <row r="143">
      <c r="A143" s="15" t="n">
        <v>142</v>
      </c>
      <c r="B143" s="15" t="inlineStr">
        <is>
          <t>Car#141</t>
        </is>
      </c>
      <c r="C143" s="15" t="inlineStr">
        <is>
          <t>C</t>
        </is>
      </c>
      <c r="D143" s="16" t="n">
        <v>9084.5</v>
      </c>
      <c r="E143" s="16" t="n">
        <v>10617.5</v>
      </c>
      <c r="F143" s="16" t="n">
        <v>1533</v>
      </c>
      <c r="G143" s="16" t="n">
        <v>1074</v>
      </c>
      <c r="H143" s="15" t="inlineStr">
        <is>
          <t>Car#142</t>
        </is>
      </c>
      <c r="I143" s="16">
        <f>E143-E142</f>
        <v/>
      </c>
      <c r="J143" s="16">
        <f>I143-58</f>
        <v/>
      </c>
      <c r="K143" s="16">
        <f>MAX(0,J143)</f>
        <v/>
      </c>
      <c r="L143" s="16">
        <f>MAX(0,-J143)</f>
        <v/>
      </c>
      <c r="M143" s="16">
        <f>M142+I143</f>
        <v/>
      </c>
      <c r="N143" s="16">
        <f>D143+F143-E143</f>
        <v/>
      </c>
      <c r="O143" s="15" t="inlineStr">
        <is>
          <t>能力超目标：四轮定位上、下、ARHUD+慢充</t>
        </is>
      </c>
      <c r="P143" s="15" t="inlineStr">
        <is>
          <t>ST1 引取(开:9084.5s 加:56.0s 等前:964.5s 等后:0.0s) | ST2 集约(开:9140.5s 加:111.0s 等前:0.0s 等后:0.0s) | ST3 空气悬挂+快充(开:9251.5s 加:108.5s 等前:0.0s 等后:0.0s) | ST4 四轮定位上、下(开:9360.0s 加:120.5s 等前:0.0s 等后:0.0s) | ST5 ADAS(开:9480.5s 加:107.0s 等前:0.0s 等后:23.0s) | ST6 ARHUD+慢充(开:9610.5s 加:143.5s 等前:0.0s 等后:0.0s) | ST7 转毂(开:9754.0s 加:114.5s 等前:0.0s 等后:0.0s) | ST8 制动(开:9868.5s 加:114.0s 等前:0.0s 等后:0.0s) | ST9 EG漏液/底盘漏液(开:9982.5s 加:112.5s 等前:0.0s 等后:0.0s) | ST10 全景/空调检查(开:10095.0s 加:0.0s 等前:0.0s 等后:0.0s) | ST11 气囊安装+绝缘(开:10095.0s 加:116.0s 等前:0.0s 等后:0.0s) | ST12 L2++(开:10211.0s 加:88.0s 等前:0.0s 等后:0.0s) | ST13 电检1(开:10299.0s 加:84.5s 等前:0.0s 等后:0.0s) | ST14 电检2(开:10383.5s 加:97.5s 等前:0.0s 等后:86.5s) | ST15 小跑道(开:10567.5s 加:50.0s 等前:0.0s 等后:0.0s)</t>
        </is>
      </c>
    </row>
    <row r="144">
      <c r="A144" s="13" t="n">
        <v>143</v>
      </c>
      <c r="B144" s="13" t="inlineStr">
        <is>
          <t>Car#143</t>
        </is>
      </c>
      <c r="C144" s="13" t="inlineStr">
        <is>
          <t>B</t>
        </is>
      </c>
      <c r="D144" s="14" t="n">
        <v>9205</v>
      </c>
      <c r="E144" s="14" t="n">
        <v>10715</v>
      </c>
      <c r="F144" s="14" t="n">
        <v>1510</v>
      </c>
      <c r="G144" s="14" t="n">
        <v>1147.5</v>
      </c>
      <c r="H144" s="13" t="inlineStr">
        <is>
          <t>Car#141</t>
        </is>
      </c>
      <c r="I144" s="14">
        <f>E144-E143</f>
        <v/>
      </c>
      <c r="J144" s="14">
        <f>I144-58</f>
        <v/>
      </c>
      <c r="K144" s="14">
        <f>MAX(0,J144)</f>
        <v/>
      </c>
      <c r="L144" s="14">
        <f>MAX(0,-J144)</f>
        <v/>
      </c>
      <c r="M144" s="14">
        <f>M143+I144</f>
        <v/>
      </c>
      <c r="N144" s="14">
        <f>D144+F144-E144</f>
        <v/>
      </c>
      <c r="O144" s="13" t="inlineStr">
        <is>
          <t>能力超目标：四轮定位上、下</t>
        </is>
      </c>
      <c r="P144" s="13" t="inlineStr">
        <is>
          <t>ST1 引取(开:9205.0s 加:56.0s 等前:969.0s 等后:0.0s) | ST2 集约(开:9261.0s 加:111.0s 等前:0.0s 等后:0.0s) | ST3 空气悬挂+快充(开:9372.0s 加:108.5s 等前:0.0s 等后:0.0s) | ST4 四轮定位上、下(开:9480.5s 加:120.5s 等前:0.0s 等后:9.5s) | ST5 ADAS(开:9610.5s 加:107.0s 等前:0.0s 等后:36.5s) | ST6 ARHUD+慢充(开:9754.0s 加:51.5s 等前:0.0s 等后:63.0s) | ST7 转毂(开:9868.5s 加:114.5s 等前:0.0s 等后:0.0s) | ST8 制动(开:9983.0s 加:114.0s 等前:0.0s 等后:0.0s) | ST9 EG漏液/底盘漏液(开:10097.0s 加:112.5s 等前:0.0s 等后:0.0s) | ST10 全景/空调检查(开:10209.5s 加:0.0s 等前:0.0s 等后:1.5s) | ST11 气囊安装+绝缘(开:10211.0s 加:116.0s 等前:0.0s 等后:0.0s) | ST12 L2++(开:10327.0s 加:88.0s 等前:0.0s 等后:0.0s) | ST13 电检1(开:10415.0s 加:84.5s 等前:0.0s 等后:68.0s) | ST14 电检2(开:10567.5s 加:97.5s 等前:0.0s 等后:0.0s) | ST15 小跑道(开:10665.0s 加:50.0s 等前:0.0s 等后:0.0s)</t>
        </is>
      </c>
    </row>
    <row r="145">
      <c r="A145" s="15" t="n">
        <v>144</v>
      </c>
      <c r="B145" s="15" t="inlineStr">
        <is>
          <t>Car#144</t>
        </is>
      </c>
      <c r="C145" s="15" t="inlineStr">
        <is>
          <t>B</t>
        </is>
      </c>
      <c r="D145" s="16" t="n">
        <v>9261</v>
      </c>
      <c r="E145" s="16" t="n">
        <v>10765</v>
      </c>
      <c r="F145" s="16" t="n">
        <v>1504</v>
      </c>
      <c r="G145" s="16" t="n">
        <v>1139.5</v>
      </c>
      <c r="H145" s="15" t="inlineStr">
        <is>
          <t>Car#143</t>
        </is>
      </c>
      <c r="I145" s="16">
        <f>E145-E144</f>
        <v/>
      </c>
      <c r="J145" s="16">
        <f>I145-58</f>
        <v/>
      </c>
      <c r="K145" s="16">
        <f>MAX(0,J145)</f>
        <v/>
      </c>
      <c r="L145" s="16">
        <f>MAX(0,-J145)</f>
        <v/>
      </c>
      <c r="M145" s="16">
        <f>M144+I145</f>
        <v/>
      </c>
      <c r="N145" s="16">
        <f>D145+F145-E145</f>
        <v/>
      </c>
      <c r="O145" s="15" t="inlineStr">
        <is>
          <t>能力超目标：四轮定位上、下</t>
        </is>
      </c>
      <c r="P145" s="15" t="inlineStr">
        <is>
          <t>ST1 引取(开:9261.0s 加:56.0s 等前:967.0s 等后:21.0s) | ST2 集约(开:9338.0s 加:111.0s 等前:0.0s 等后:9.5s) | ST3 空气悬挂+快充(开:9458.5s 加:108.5s 等前:0.0s 等后:29.0s) | ST4 四轮定位上、下(开:9596.0s 加:120.5s 等前:0.0s 等后:23.0s) | ST5 ADAS(开:9739.5s 加:107.0s 等前:0.0s 等后:7.5s) | ST6 ARHUD+慢充(开:9854.0s 加:51.5s 等前:0.0s 等后:64.5s) | ST7 转毂(开:9970.0s 加:114.5s 等前:0.0s 等后:0.0s) | ST8 制动(开:10084.5s 加:114.0s 等前:0.0s 等后:0.0s) | ST9 EG漏液/底盘漏液(开:10198.5s 加:112.5s 等前:0.0s 等后:0.0s) | ST10 全景/空调检查(开:10311.0s 加:0.0s 等前:0.0s 等后:0.0s) | ST11 气囊安装+绝缘(开:10311.0s 加:116.0s 等前:0.0s 等后:0.0s) | ST12 L2++(开:10427.0s 加:88.0s 等前:0.0s 等后:0.0s) | ST13 电检1(开:10515.0s 加:84.5s 等前:0.0s 等后:0.0s) | ST14 电检2(开:10599.5s 加:97.5s 等前:0.0s 等后:18.0s) | ST15 小跑道(开:10715.0s 加:50.0s 等前:0.0s 等后:0.0s)</t>
        </is>
      </c>
    </row>
    <row r="146">
      <c r="A146" s="13" t="n">
        <v>145</v>
      </c>
      <c r="B146" s="13" t="inlineStr">
        <is>
          <t>Car#146</t>
        </is>
      </c>
      <c r="C146" s="13" t="inlineStr">
        <is>
          <t>A</t>
        </is>
      </c>
      <c r="D146" s="14" t="n">
        <v>9394</v>
      </c>
      <c r="E146" s="14" t="n">
        <v>10816</v>
      </c>
      <c r="F146" s="14" t="n">
        <v>1422</v>
      </c>
      <c r="G146" s="14" t="n">
        <v>1545</v>
      </c>
      <c r="H146" s="13" t="inlineStr">
        <is>
          <t>Car#144</t>
        </is>
      </c>
      <c r="I146" s="14">
        <f>E146-E145</f>
        <v/>
      </c>
      <c r="J146" s="14">
        <f>I146-58</f>
        <v/>
      </c>
      <c r="K146" s="14">
        <f>MAX(0,J146)</f>
        <v/>
      </c>
      <c r="L146" s="14">
        <f>MAX(0,-J146)</f>
        <v/>
      </c>
      <c r="M146" s="14">
        <f>M145+I146</f>
        <v/>
      </c>
      <c r="N146" s="14">
        <f>D146+F146-E146</f>
        <v/>
      </c>
      <c r="O146" s="13" t="inlineStr">
        <is>
          <t>能力满足</t>
        </is>
      </c>
      <c r="P146" s="13" t="inlineStr">
        <is>
          <t>ST1 引取(开:9394.0s 加:55.0s 等前:984.0s 等后:9.5s) | ST2 集约(开:9458.5s 加:106.0s 等前:0.0s 等后:31.5s) | ST3 空气悬挂+快充(开:9596.0s 加:0.0s 等前:0.0s 等后:143.5s) | ST4 四轮定位上、下(开:9739.5s 加:115.0s 等前:0.0s 等后:0.0s) | ST5 ADAS(开:9854.5s 加:97.0s 等前:0.0s 等后:18.5s) | ST6 ARHUD+慢充(开:9970.0s 加:0.0s 等前:0.0s 等后:114.5s) | ST7 转毂(开:10084.5s 加:116.0s 等前:0.0s 等后:0.0s) | ST8 制动(开:10200.5s 加:108.0s 等前:0.0s 等后:2.5s) | ST9 EG漏液/底盘漏液(开:10311.0s 加:115.0s 等前:0.0s 等后:0.0s) | ST10 全景/空调检查(开:10426.0s 加:98.0s 等前:0.0s 等后:0.0s) | ST11 气囊安装+绝缘(开:10524.0s 加:0.0s 等前:0.0s 等后:0.0s) | ST12 L2++(开:10524.0s 加:0.0s 等前:0.0s 等后:75.5s) | ST13 电检1(开:10599.5s 加:0.0s 等前:0.0s 等后:115.5s) | ST14 电检2(开:10715.0s 加:0.0s 等前:0.0s 等后:50.0s) | ST15 小跑道(开:10765.0s 加:51.0s 等前:0.0s 等后:0.0s)</t>
        </is>
      </c>
    </row>
    <row r="147">
      <c r="A147" s="15" t="n">
        <v>146</v>
      </c>
      <c r="B147" s="15" t="inlineStr">
        <is>
          <t>Car#145</t>
        </is>
      </c>
      <c r="C147" s="15" t="inlineStr">
        <is>
          <t>B</t>
        </is>
      </c>
      <c r="D147" s="16" t="n">
        <v>9338</v>
      </c>
      <c r="E147" s="16" t="n">
        <v>10866</v>
      </c>
      <c r="F147" s="16" t="n">
        <v>1528</v>
      </c>
      <c r="G147" s="16" t="n">
        <v>1182.5</v>
      </c>
      <c r="H147" s="15" t="inlineStr">
        <is>
          <t>Car#146</t>
        </is>
      </c>
      <c r="I147" s="16">
        <f>E147-E146</f>
        <v/>
      </c>
      <c r="J147" s="16">
        <f>I147-58</f>
        <v/>
      </c>
      <c r="K147" s="16">
        <f>MAX(0,J147)</f>
        <v/>
      </c>
      <c r="L147" s="16">
        <f>MAX(0,-J147)</f>
        <v/>
      </c>
      <c r="M147" s="16">
        <f>M146+I147</f>
        <v/>
      </c>
      <c r="N147" s="16">
        <f>D147+F147-E147</f>
        <v/>
      </c>
      <c r="O147" s="15" t="inlineStr">
        <is>
          <t>能力超目标：四轮定位上、下</t>
        </is>
      </c>
      <c r="P147" s="15" t="inlineStr">
        <is>
          <t>ST1 引取(开:9338.0s 加:56.0s 等前:986.0s 等后:0.0s) | ST2 集约(开:9394.0s 加:111.0s 等前:0.0s 等后:0.0s) | ST3 空气悬挂+快充(开:9505.0s 加:108.5s 等前:0.0s 等后:0.0s) | ST4 四轮定位上、下(开:9613.5s 加:120.5s 等前:0.0s 等后:20.0s) | ST5 ADAS(开:9754.0s 加:107.0s 等前:0.0s 等后:7.5s) | ST6 ARHUD+慢充(开:9868.5s 加:51.5s 等前:0.0s 等后:63.0s) | ST7 转毂(开:9983.0s 加:114.5s 等前:0.0s 等后:0.0s) | ST8 制动(开:10097.5s 加:114.0s 等前:0.0s 等后:0.0s) | ST9 EG漏液/底盘漏液(开:10211.5s 加:112.5s 等前:0.0s 等后:0.0s) | ST10 全景/空调检查(开:10324.0s 加:0.0s 等前:0.0s 等后:3.0s) | ST11 气囊安装+绝缘(开:10327.0s 加:116.0s 等前:0.0s 等后:0.0s) | ST12 L2++(开:10443.0s 加:88.0s 等前:0.0s 等后:36.5s) | ST13 电检1(开:10567.5s 加:84.5s 等前:0.0s 等后:13.0s) | ST14 电检2(开:10665.0s 加:97.5s 等前:0.0s 等后:53.5s) | ST15 小跑道(开:10816.0s 加:50.0s 等前:0.0s 等后:0.0s)</t>
        </is>
      </c>
    </row>
    <row r="148">
      <c r="A148" s="13" t="n">
        <v>147</v>
      </c>
      <c r="B148" s="13" t="inlineStr">
        <is>
          <t>Car#147</t>
        </is>
      </c>
      <c r="C148" s="13" t="inlineStr">
        <is>
          <t>C</t>
        </is>
      </c>
      <c r="D148" s="14" t="n">
        <v>9458.5</v>
      </c>
      <c r="E148" s="14" t="n">
        <v>10963.5</v>
      </c>
      <c r="F148" s="14" t="n">
        <v>1505</v>
      </c>
      <c r="G148" s="14" t="n">
        <v>1072</v>
      </c>
      <c r="H148" s="13" t="inlineStr">
        <is>
          <t>Car#145</t>
        </is>
      </c>
      <c r="I148" s="14">
        <f>E148-E147</f>
        <v/>
      </c>
      <c r="J148" s="14">
        <f>I148-58</f>
        <v/>
      </c>
      <c r="K148" s="14">
        <f>MAX(0,J148)</f>
        <v/>
      </c>
      <c r="L148" s="14">
        <f>MAX(0,-J148)</f>
        <v/>
      </c>
      <c r="M148" s="14">
        <f>M147+I148</f>
        <v/>
      </c>
      <c r="N148" s="14">
        <f>D148+F148-E148</f>
        <v/>
      </c>
      <c r="O148" s="13" t="inlineStr">
        <is>
          <t>能力超目标：四轮定位上、下、ARHUD+慢充</t>
        </is>
      </c>
      <c r="P148" s="13" t="inlineStr">
        <is>
          <t>ST1 引取(开:9458.5s 加:56.0s 等前:990.5s 等后:0.0s) | ST2 集约(开:9514.5s 加:111.0s 等前:0.0s 等后:0.0s) | ST3 空气悬挂+快充(开:9625.5s 加:108.5s 等前:0.0s 等后:20.0s) | ST4 四轮定位上、下(开:9754.0s 加:120.5s 等前:0.0s 等后:0.0s) | ST5 ADAS(开:9874.5s 加:107.0s 等前:0.0s 等后:1.5s) | ST6 ARHUD+慢充(开:9983.0s 加:143.5s 等前:0.0s 等后:0.0s) | ST7 转毂(开:10126.5s 加:114.5s 等前:0.0s 等后:0.0s) | ST8 制动(开:10241.0s 加:114.0s 等前:0.0s 等后:0.0s) | ST9 EG漏液/底盘漏液(开:10355.0s 加:112.5s 等前:0.0s 等后:0.0s) | ST10 全景/空调检查(开:10467.5s 加:0.0s 等前:0.0s 等后:0.0s) | ST11 气囊安装+绝缘(开:10467.5s 加:116.0s 等前:0.0s 等后:0.0s) | ST12 L2++(开:10583.5s 加:88.0s 等前:0.0s 等后:0.0s) | ST13 电检1(开:10671.5s 加:84.5s 等前:0.0s 等后:60.0s) | ST14 电检2(开:10816.0s 加:97.5s 等前:0.0s 等后:0.0s) | ST15 小跑道(开:10913.5s 加:50.0s 等前:0.0s 等后:0.0s)</t>
        </is>
      </c>
    </row>
    <row r="149">
      <c r="A149" s="15" t="n">
        <v>148</v>
      </c>
      <c r="B149" s="15" t="inlineStr">
        <is>
          <t>Car#148</t>
        </is>
      </c>
      <c r="C149" s="15" t="inlineStr">
        <is>
          <t>C</t>
        </is>
      </c>
      <c r="D149" s="16" t="n">
        <v>9514.5</v>
      </c>
      <c r="E149" s="16" t="n">
        <v>11013.5</v>
      </c>
      <c r="F149" s="16" t="n">
        <v>1499</v>
      </c>
      <c r="G149" s="16" t="n">
        <v>1064</v>
      </c>
      <c r="H149" s="15" t="inlineStr">
        <is>
          <t>Car#147</t>
        </is>
      </c>
      <c r="I149" s="16">
        <f>E149-E148</f>
        <v/>
      </c>
      <c r="J149" s="16">
        <f>I149-58</f>
        <v/>
      </c>
      <c r="K149" s="16">
        <f>MAX(0,J149)</f>
        <v/>
      </c>
      <c r="L149" s="16">
        <f>MAX(0,-J149)</f>
        <v/>
      </c>
      <c r="M149" s="16">
        <f>M148+I149</f>
        <v/>
      </c>
      <c r="N149" s="16">
        <f>D149+F149-E149</f>
        <v/>
      </c>
      <c r="O149" s="15" t="inlineStr">
        <is>
          <t>能力超目标：四轮定位上、下、ARHUD+慢充</t>
        </is>
      </c>
      <c r="P149" s="15" t="inlineStr">
        <is>
          <t>ST1 引取(开:9514.5s 加:56.0s 等前:988.5s 等后:25.5s) | ST2 集约(开:9596.0s 加:111.0s 等前:0.0s 等后:32.5s) | ST3 空气悬挂+快充(开:9739.5s 加:108.5s 等前:0.0s 等后:6.5s) | ST4 四轮定位上、下(开:9854.5s 加:120.5s 等前:0.0s 等后:0.0s) | ST5 ADAS(开:9975.0s 加:107.0s 等前:0.0s 等后:2.5s) | ST6 ARHUD+慢充(开:10084.5s 加:143.5s 等前:0.0s 等后:0.0s) | ST7 转毂(开:10228.0s 加:114.5s 等前:0.0s 等后:0.0s) | ST8 制动(开:10342.5s 加:114.0s 等前:0.0s 等后:0.0s) | ST9 EG漏液/底盘漏液(开:10456.5s 加:112.5s 等前:0.0s 等后:0.0s) | ST10 全景/空调检查(开:10569.0s 加:0.0s 等前:0.0s 等后:0.0s) | ST11 气囊安装+绝缘(开:10569.0s 加:116.0s 等前:0.0s 等后:0.0s) | ST12 L2++(开:10685.0s 加:88.0s 等前:0.0s 等后:0.0s) | ST13 电检1(开:10773.0s 加:84.5s 等前:0.0s 等后:0.0s) | ST14 电检2(开:10857.5s 加:97.5s 等前:0.0s 等后:8.5s) | ST15 小跑道(开:10963.5s 加:50.0s 等前:0.0s 等后:0.0s)</t>
        </is>
      </c>
    </row>
    <row r="150">
      <c r="A150" s="13" t="n">
        <v>149</v>
      </c>
      <c r="B150" s="13" t="inlineStr">
        <is>
          <t>Car#150</t>
        </is>
      </c>
      <c r="C150" s="13" t="inlineStr">
        <is>
          <t>A</t>
        </is>
      </c>
      <c r="D150" s="14" t="n">
        <v>9652</v>
      </c>
      <c r="E150" s="14" t="n">
        <v>11064.5</v>
      </c>
      <c r="F150" s="14" t="n">
        <v>1412.5</v>
      </c>
      <c r="G150" s="14" t="n">
        <v>1561.5</v>
      </c>
      <c r="H150" s="13" t="inlineStr">
        <is>
          <t>Car#148</t>
        </is>
      </c>
      <c r="I150" s="14">
        <f>E150-E149</f>
        <v/>
      </c>
      <c r="J150" s="14">
        <f>I150-58</f>
        <v/>
      </c>
      <c r="K150" s="14">
        <f>MAX(0,J150)</f>
        <v/>
      </c>
      <c r="L150" s="14">
        <f>MAX(0,-J150)</f>
        <v/>
      </c>
      <c r="M150" s="14">
        <f>M149+I150</f>
        <v/>
      </c>
      <c r="N150" s="14">
        <f>D150+F150-E150</f>
        <v/>
      </c>
      <c r="O150" s="13" t="inlineStr">
        <is>
          <t>能力满足</t>
        </is>
      </c>
      <c r="P150" s="13" t="inlineStr">
        <is>
          <t>ST1 引取(开:9652.0s 加:55.0s 等前:1010.0s 等后:32.5s) | ST2 集约(开:9739.5s 加:106.0s 等前:0.0s 等后:9.0s) | ST3 空气悬挂+快充(开:9854.5s 加:0.0s 等前:0.0s 等后:120.5s) | ST4 四轮定位上、下(开:9975.0s 加:115.0s 等前:0.0s 等后:0.0s) | ST5 ADAS(开:10090.0s 加:97.0s 等前:0.0s 等后:41.0s) | ST6 ARHUD+慢充(开:10228.0s 加:0.0s 等前:0.0s 等后:114.5s) | ST7 转毂(开:10342.5s 加:116.0s 等前:0.0s 等后:0.0s) | ST8 制动(开:10458.5s 加:108.0s 等前:0.0s 等后:2.5s) | ST9 EG漏液/底盘漏液(开:10569.0s 加:115.0s 等前:0.0s 等后:0.0s) | ST10 全景/空调检查(开:10684.0s 加:98.0s 等前:0.0s 等后:0.0s) | ST11 气囊安装+绝缘(开:10782.0s 加:0.0s 等前:0.0s 等后:0.0s) | ST12 L2++(开:10782.0s 加:0.0s 等前:0.0s 等后:75.5s) | ST13 电检1(开:10857.5s 加:0.0s 等前:0.0s 等后:106.0s) | ST14 电检2(开:10963.5s 加:0.0s 等前:0.0s 等后:50.0s) | ST15 小跑道(开:11013.5s 加:51.0s 等前:0.0s 等后:0.0s)</t>
        </is>
      </c>
    </row>
    <row r="151">
      <c r="A151" s="15" t="n">
        <v>150</v>
      </c>
      <c r="B151" s="15" t="inlineStr">
        <is>
          <t>Car#149</t>
        </is>
      </c>
      <c r="C151" s="15" t="inlineStr">
        <is>
          <t>C</t>
        </is>
      </c>
      <c r="D151" s="16" t="n">
        <v>9596</v>
      </c>
      <c r="E151" s="16" t="n">
        <v>11114.5</v>
      </c>
      <c r="F151" s="16" t="n">
        <v>1518.5</v>
      </c>
      <c r="G151" s="16" t="n">
        <v>1107</v>
      </c>
      <c r="H151" s="15" t="inlineStr">
        <is>
          <t>Car#150</t>
        </is>
      </c>
      <c r="I151" s="16">
        <f>E151-E150</f>
        <v/>
      </c>
      <c r="J151" s="16">
        <f>I151-58</f>
        <v/>
      </c>
      <c r="K151" s="16">
        <f>MAX(0,J151)</f>
        <v/>
      </c>
      <c r="L151" s="16">
        <f>MAX(0,-J151)</f>
        <v/>
      </c>
      <c r="M151" s="16">
        <f>M150+I151</f>
        <v/>
      </c>
      <c r="N151" s="16">
        <f>D151+F151-E151</f>
        <v/>
      </c>
      <c r="O151" s="15" t="inlineStr">
        <is>
          <t>能力超目标：四轮定位上、下、ARHUD+慢充</t>
        </is>
      </c>
      <c r="P151" s="15" t="inlineStr">
        <is>
          <t>ST1 引取(开:9596.0s 加:56.0s 等前:1012.0s 等后:0.0s) | ST2 集约(开:9652.0s 加:111.0s 等前:0.0s 等后:0.0s) | ST3 空气悬挂+快充(开:9763.0s 加:108.5s 等前:0.0s 等后:3.0s) | ST4 四轮定位上、下(开:9874.5s 加:120.5s 等前:0.0s 等后:0.0s) | ST5 ADAS(开:9995.0s 加:107.0s 等前:0.0s 等后:24.5s) | ST6 ARHUD+慢充(开:10126.5s 加:143.5s 等前:0.0s 等后:0.0s) | ST7 转毂(开:10270.0s 加:114.5s 等前:0.0s 等后:0.0s) | ST8 制动(开:10384.5s 加:114.0s 等前:0.0s 等后:0.0s) | ST9 EG漏液/底盘漏液(开:10498.5s 加:112.5s 等前:0.0s 等后:0.0s) | ST10 全景/空调检查(开:10611.0s 加:0.0s 等前:0.0s 等后:0.0s) | ST11 气囊安装+绝缘(开:10611.0s 加:116.0s 等前:0.0s 等后:0.0s) | ST12 L2++(开:10727.0s 加:88.0s 等前:0.0s 等后:1.0s) | ST13 电检1(开:10816.0s 加:84.5s 等前:0.0s 等后:13.0s) | ST14 电检2(开:10913.5s 加:97.5s 等前:0.0s 等后:53.5s) | ST15 小跑道(开:11064.5s 加:50.0s 等前:0.0s 等后:0.0s)</t>
        </is>
      </c>
    </row>
    <row r="152">
      <c r="A152" s="13" t="n">
        <v>151</v>
      </c>
      <c r="B152" s="13" t="inlineStr">
        <is>
          <t>Car#152</t>
        </is>
      </c>
      <c r="C152" s="13" t="inlineStr">
        <is>
          <t>A</t>
        </is>
      </c>
      <c r="D152" s="14" t="n">
        <v>9794.5</v>
      </c>
      <c r="E152" s="14" t="n">
        <v>11165.5</v>
      </c>
      <c r="F152" s="14" t="n">
        <v>1371</v>
      </c>
      <c r="G152" s="14" t="n">
        <v>1546.5</v>
      </c>
      <c r="H152" s="13" t="inlineStr">
        <is>
          <t>Car#149</t>
        </is>
      </c>
      <c r="I152" s="14">
        <f>E152-E151</f>
        <v/>
      </c>
      <c r="J152" s="14">
        <f>I152-58</f>
        <v/>
      </c>
      <c r="K152" s="14">
        <f>MAX(0,J152)</f>
        <v/>
      </c>
      <c r="L152" s="14">
        <f>MAX(0,-J152)</f>
        <v/>
      </c>
      <c r="M152" s="14">
        <f>M151+I152</f>
        <v/>
      </c>
      <c r="N152" s="14">
        <f>D152+F152-E152</f>
        <v/>
      </c>
      <c r="O152" s="13" t="inlineStr">
        <is>
          <t>能力满足</t>
        </is>
      </c>
      <c r="P152" s="13" t="inlineStr">
        <is>
          <t>ST1 引取(开:9794.5s 加:55.0s 等前:1036.5s 等后:5.0s) | ST2 集约(开:9854.5s 加:106.0s 等前:0.0s 等后:14.5s) | ST3 空气悬挂+快充(开:9975.0s 加:0.0s 等前:0.0s 等后:115.0s) | ST4 四轮定位上、下(开:10090.0s 加:115.0s 等前:0.0s 等后:23.0s) | ST5 ADAS(开:10228.0s 加:97.0s 等前:0.0s 等后:17.5s) | ST6 ARHUD+慢充(开:10342.5s 加:0.0s 等前:0.0s 等后:116.0s) | ST7 转毂(开:10458.5s 加:116.0s 等前:0.0s 等后:0.0s) | ST8 制动(开:10574.5s 加:108.0s 等前:0.0s 等后:1.5s) | ST9 EG漏液/底盘漏液(开:10684.0s 加:115.0s 等前:0.0s 等后:0.0s) | ST10 全景/空调检查(开:10799.0s 加:98.0s 等前:0.0s 等后:0.0s) | ST11 气囊安装+绝缘(开:10897.0s 加:0.0s 等前:0.0s 等后:0.0s) | ST12 L2++(开:10897.0s 加:0.0s 等前:0.0s 等后:66.5s) | ST13 电检1(开:10963.5s 加:0.0s 等前:0.0s 等后:50.0s) | ST14 电检2(开:11013.5s 加:0.0s 等前:0.0s 等后:101.0s) | ST15 小跑道(开:11114.5s 加:51.0s 等前:0.0s 等后:0.0s)</t>
        </is>
      </c>
    </row>
    <row r="153">
      <c r="A153" s="15" t="n">
        <v>152</v>
      </c>
      <c r="B153" s="15" t="inlineStr">
        <is>
          <t>Car#151</t>
        </is>
      </c>
      <c r="C153" s="15" t="inlineStr">
        <is>
          <t>A</t>
        </is>
      </c>
      <c r="D153" s="16" t="n">
        <v>9739.5</v>
      </c>
      <c r="E153" s="16" t="n">
        <v>11216.5</v>
      </c>
      <c r="F153" s="16" t="n">
        <v>1477</v>
      </c>
      <c r="G153" s="16" t="n">
        <v>1655.5</v>
      </c>
      <c r="H153" s="15" t="inlineStr">
        <is>
          <t>Car#152</t>
        </is>
      </c>
      <c r="I153" s="16">
        <f>E153-E152</f>
        <v/>
      </c>
      <c r="J153" s="16">
        <f>I153-58</f>
        <v/>
      </c>
      <c r="K153" s="16">
        <f>MAX(0,J153)</f>
        <v/>
      </c>
      <c r="L153" s="16">
        <f>MAX(0,-J153)</f>
        <v/>
      </c>
      <c r="M153" s="16">
        <f>M152+I153</f>
        <v/>
      </c>
      <c r="N153" s="16">
        <f>D153+F153-E153</f>
        <v/>
      </c>
      <c r="O153" s="15" t="inlineStr">
        <is>
          <t>能力满足</t>
        </is>
      </c>
      <c r="P153" s="15" t="inlineStr">
        <is>
          <t>ST1 引取(开:9739.5s 加:55.0s 等前:1039.5s 等后:0.0s) | ST2 集约(开:9794.5s 加:106.0s 等前:0.0s 等后:0.0s) | ST3 空气悬挂+快充(开:9900.5s 加:0.0s 等前:0.0s 等后:94.5s) | ST4 四轮定位上、下(开:9995.0s 加:115.0s 等前:0.0s 等后:16.5s) | ST5 ADAS(开:10126.5s 加:97.0s 等前:0.0s 等后:46.5s) | ST6 ARHUD+慢充(开:10270.0s 加:0.0s 等前:0.0s 等后:114.5s) | ST7 转毂(开:10384.5s 加:116.0s 等前:0.0s 等后:0.0s) | ST8 制动(开:10500.5s 加:108.0s 等前:0.0s 等后:2.5s) | ST9 EG漏液/底盘漏液(开:10611.0s 加:115.0s 等前:0.0s 等后:0.0s) | ST10 全景/空调检查(开:10726.0s 加:98.0s 等前:0.0s 等后:0.0s) | ST11 气囊安装+绝缘(开:10824.0s 加:0.0s 等前:0.0s 等后:0.0s) | ST12 L2++(开:10824.0s 加:0.0s 等前:0.0s 等后:89.5s) | ST13 电检1(开:10913.5s 加:0.0s 等前:0.0s 等后:151.0s) | ST14 电检2(开:11064.5s 加:0.0s 等前:0.0s 等后:101.0s) | ST15 小跑道(开:11165.5s 加:51.0s 等前:0.0s 等后:0.0s)</t>
        </is>
      </c>
    </row>
    <row r="154">
      <c r="A154" s="13" t="n">
        <v>153</v>
      </c>
      <c r="B154" s="13" t="inlineStr">
        <is>
          <t>Car#153</t>
        </is>
      </c>
      <c r="C154" s="13" t="inlineStr">
        <is>
          <t>C</t>
        </is>
      </c>
      <c r="D154" s="14" t="n">
        <v>9854.5</v>
      </c>
      <c r="E154" s="14" t="n">
        <v>11313</v>
      </c>
      <c r="F154" s="14" t="n">
        <v>1458.5</v>
      </c>
      <c r="G154" s="14" t="n">
        <v>1073.5</v>
      </c>
      <c r="H154" s="13" t="inlineStr">
        <is>
          <t>Car#151</t>
        </is>
      </c>
      <c r="I154" s="14">
        <f>E154-E153</f>
        <v/>
      </c>
      <c r="J154" s="14">
        <f>I154-58</f>
        <v/>
      </c>
      <c r="K154" s="14">
        <f>MAX(0,J154)</f>
        <v/>
      </c>
      <c r="L154" s="14">
        <f>MAX(0,-J154)</f>
        <v/>
      </c>
      <c r="M154" s="14">
        <f>M153+I154</f>
        <v/>
      </c>
      <c r="N154" s="14">
        <f>D154+F154-E154</f>
        <v/>
      </c>
      <c r="O154" s="13" t="inlineStr">
        <is>
          <t>能力超目标：四轮定位上、下、ARHUD+慢充</t>
        </is>
      </c>
      <c r="P154" s="13" t="inlineStr">
        <is>
          <t>ST1 引取(开:9854.5s 加:56.0s 等前:1038.5s 等后:0.0s) | ST2 集约(开:9910.5s 加:111.0s 等前:0.0s 等后:0.0s) | ST3 空气悬挂+快充(开:10021.5s 加:108.5s 等前:0.0s 等后:0.0s) | ST4 四轮定位上、下(开:10130.0s 加:120.5s 等前:0.0s 等后:19.5s) | ST5 ADAS(开:10270.0s 加:107.0s 等前:0.0s 等后:7.5s) | ST6 ARHUD+慢充(开:10384.5s 加:143.5s 等前:0.0s 等后:0.0s) | ST7 转毂(开:10528.0s 加:114.5s 等前:0.0s 等后:0.0s) | ST8 制动(开:10642.5s 加:114.0s 等前:0.0s 等后:0.0s) | ST9 EG漏液/底盘漏液(开:10756.5s 加:112.5s 等前:0.0s 等后:0.0s) | ST10 全景/空调检查(开:10869.0s 加:0.0s 等前:0.0s 等后:0.0s) | ST11 气囊安装+绝缘(开:10869.0s 加:116.0s 等前:0.0s 等后:0.0s) | ST12 L2++(开:10985.0s 加:88.0s 等前:0.0s 等后:0.0s) | ST13 电检1(开:11073.0s 加:84.5s 等前:0.0s 等后:8.0s) | ST14 电检2(开:11165.5s 加:97.5s 等前:0.0s 等后:0.0s) | ST15 小跑道(开:11263.0s 加:50.0s 等前:0.0s 等后:0.0s)</t>
        </is>
      </c>
    </row>
    <row r="155">
      <c r="A155" s="15" t="n">
        <v>154</v>
      </c>
      <c r="B155" s="15" t="inlineStr">
        <is>
          <t>Car#154</t>
        </is>
      </c>
      <c r="C155" s="15" t="inlineStr">
        <is>
          <t>B</t>
        </is>
      </c>
      <c r="D155" s="16" t="n">
        <v>9910.5</v>
      </c>
      <c r="E155" s="16" t="n">
        <v>11363</v>
      </c>
      <c r="F155" s="16" t="n">
        <v>1452.5</v>
      </c>
      <c r="G155" s="16" t="n">
        <v>1157.5</v>
      </c>
      <c r="H155" s="15" t="inlineStr">
        <is>
          <t>Car#153</t>
        </is>
      </c>
      <c r="I155" s="16">
        <f>E155-E154</f>
        <v/>
      </c>
      <c r="J155" s="16">
        <f>I155-58</f>
        <v/>
      </c>
      <c r="K155" s="16">
        <f>MAX(0,J155)</f>
        <v/>
      </c>
      <c r="L155" s="16">
        <f>MAX(0,-J155)</f>
        <v/>
      </c>
      <c r="M155" s="16">
        <f>M154+I155</f>
        <v/>
      </c>
      <c r="N155" s="16">
        <f>D155+F155-E155</f>
        <v/>
      </c>
      <c r="O155" s="15" t="inlineStr">
        <is>
          <t>能力超目标：四轮定位上、下</t>
        </is>
      </c>
      <c r="P155" s="15" t="inlineStr">
        <is>
          <t>ST1 引取(开:9910.5s 加:56.0s 等前:1036.5s 等后:8.5s) | ST2 集约(开:9975.0s 加:111.0s 等前:0.0s 等后:4.0s) | ST3 空气悬挂+快充(开:10090.0s 加:108.5s 等前:0.0s 等后:29.5s) | ST4 四轮定位上、下(开:10228.0s 加:120.5s 等前:0.0s 等后:0.0s) | ST5 ADAS(开:10348.5s 加:107.0s 等前:0.0s 等后:3.0s) | ST6 ARHUD+慢充(开:10458.5s 加:51.5s 等前:0.0s 等后:64.5s) | ST7 转毂(开:10574.5s 加:114.5s 等前:0.0s 等后:0.0s) | ST8 制动(开:10689.0s 加:114.0s 等前:0.0s 等后:0.0s) | ST9 EG漏液/底盘漏液(开:10803.0s 加:112.5s 等前:0.0s 等后:0.0s) | ST10 全景/空调检查(开:10915.5s 加:0.0s 等前:0.0s 等后:0.0s) | ST11 气囊安装+绝缘(开:10915.5s 加:116.0s 等前:0.0s 等后:0.0s) | ST12 L2++(开:11031.5s 加:88.0s 等前:0.0s 等后:0.0s) | ST13 电检1(开:11119.5s 加:84.5s 等前:0.0s 等后:0.0s) | ST14 电检2(开:11204.0s 加:97.5s 等前:0.0s 等后:11.5s) | ST15 小跑道(开:11313.0s 加:50.0s 等前:0.0s 等后:0.0s)</t>
        </is>
      </c>
    </row>
    <row r="156">
      <c r="A156" s="13" t="n">
        <v>155</v>
      </c>
      <c r="B156" s="13" t="inlineStr">
        <is>
          <t>Car#155</t>
        </is>
      </c>
      <c r="C156" s="13" t="inlineStr">
        <is>
          <t>C</t>
        </is>
      </c>
      <c r="D156" s="14" t="n">
        <v>9975</v>
      </c>
      <c r="E156" s="14" t="n">
        <v>11448.5</v>
      </c>
      <c r="F156" s="14" t="n">
        <v>1473.5</v>
      </c>
      <c r="G156" s="14" t="n">
        <v>1093</v>
      </c>
      <c r="H156" s="13" t="inlineStr">
        <is>
          <t>Car#154</t>
        </is>
      </c>
      <c r="I156" s="14">
        <f>E156-E155</f>
        <v/>
      </c>
      <c r="J156" s="14">
        <f>I156-58</f>
        <v/>
      </c>
      <c r="K156" s="14">
        <f>MAX(0,J156)</f>
        <v/>
      </c>
      <c r="L156" s="14">
        <f>MAX(0,-J156)</f>
        <v/>
      </c>
      <c r="M156" s="14">
        <f>M155+I156</f>
        <v/>
      </c>
      <c r="N156" s="14">
        <f>D156+F156-E156</f>
        <v/>
      </c>
      <c r="O156" s="13" t="inlineStr">
        <is>
          <t>能力超目标：四轮定位上、下、ARHUD+慢充</t>
        </is>
      </c>
      <c r="P156" s="13" t="inlineStr">
        <is>
          <t>ST1 引取(开:9975.0s 加:56.0s 等前:1043.0s 等后:0.0s) | ST2 集约(开:10031.0s 加:111.0s 等前:0.0s 等后:0.0s) | ST3 空气悬挂+快充(开:10142.0s 加:108.5s 等前:0.0s 等后:19.5s) | ST4 四轮定位上、下(开:10270.0s 加:120.5s 等前:0.0s 等后:0.0s) | ST5 ADAS(开:10390.5s 加:107.0s 等前:0.0s 等后:30.5s) | ST6 ARHUD+慢充(开:10528.0s 加:143.5s 等前:0.0s 等后:0.0s) | ST7 转毂(开:10671.5s 加:114.5s 等前:0.0s 等后:0.0s) | ST8 制动(开:10786.0s 加:114.0s 等前:0.0s 等后:0.0s) | ST9 EG漏液/底盘漏液(开:10900.0s 加:112.5s 等前:0.0s 等后:0.0s) | ST10 全景/空调检查(开:11012.5s 加:0.0s 等前:0.0s 等后:0.0s) | ST11 气囊安装+绝缘(开:11012.5s 加:116.0s 等前:0.0s 等后:0.0s) | ST12 L2++(开:11128.5s 加:88.0s 等前:0.0s 等后:0.0s) | ST13 电检1(开:11216.5s 加:84.5s 等前:0.0s 等后:0.0s) | ST14 电检2(开:11301.0s 加:97.5s 等前:0.0s 等后:0.0s) | ST15 小跑道(开:11398.5s 加:50.0s 等前:0.0s 等后:0.0s)</t>
        </is>
      </c>
    </row>
    <row r="157">
      <c r="A157" s="15" t="n">
        <v>156</v>
      </c>
      <c r="B157" s="15" t="inlineStr">
        <is>
          <t>Car#156</t>
        </is>
      </c>
      <c r="C157" s="15" t="inlineStr">
        <is>
          <t>C</t>
        </is>
      </c>
      <c r="D157" s="16" t="n">
        <v>10031</v>
      </c>
      <c r="E157" s="16" t="n">
        <v>11498.5</v>
      </c>
      <c r="F157" s="16" t="n">
        <v>1467.5</v>
      </c>
      <c r="G157" s="16" t="n">
        <v>1085</v>
      </c>
      <c r="H157" s="15" t="inlineStr">
        <is>
          <t>Car#155</t>
        </is>
      </c>
      <c r="I157" s="16">
        <f>E157-E156</f>
        <v/>
      </c>
      <c r="J157" s="16">
        <f>I157-58</f>
        <v/>
      </c>
      <c r="K157" s="16">
        <f>MAX(0,J157)</f>
        <v/>
      </c>
      <c r="L157" s="16">
        <f>MAX(0,-J157)</f>
        <v/>
      </c>
      <c r="M157" s="16">
        <f>M156+I157</f>
        <v/>
      </c>
      <c r="N157" s="16">
        <f>D157+F157-E157</f>
        <v/>
      </c>
      <c r="O157" s="15" t="inlineStr">
        <is>
          <t>能力超目标：四轮定位上、下、ARHUD+慢充</t>
        </is>
      </c>
      <c r="P157" s="15" t="inlineStr">
        <is>
          <t>ST1 引取(开:10031.0s 加:56.0s 等前:1041.0s 等后:3.0s) | ST2 集约(开:10090.0s 加:111.0s 等前:0.0s 等后:27.0s) | ST3 空气悬挂+快充(开:10228.0s 加:108.5s 等前:0.0s 等后:12.0s) | ST4 四轮定位上、下(开:10348.5s 加:120.5s 等前:0.0s 等后:0.0s) | ST5 ADAS(开:10469.0s 加:107.0s 等前:0.0s 等后:0.0s) | ST6 ARHUD+慢充(开:10576.0s 加:143.5s 等前:0.0s 等后:0.0s) | ST7 转毂(开:10719.5s 加:114.5s 等前:0.0s 等后:0.0s) | ST8 制动(开:10834.0s 加:114.0s 等前:0.0s 等后:0.0s) | ST9 EG漏液/底盘漏液(开:10948.0s 加:112.5s 等前:0.0s 等后:0.0s) | ST10 全景/空调检查(开:11060.5s 加:0.0s 等前:0.0s 等后:0.0s) | ST11 气囊安装+绝缘(开:11060.5s 加:116.0s 等前:0.0s 等后:0.0s) | ST12 L2++(开:11176.5s 加:88.0s 等前:0.0s 等后:0.0s) | ST13 电检1(开:11264.5s 加:84.5s 等前:0.0s 等后:0.0s) | ST14 电检2(开:11349.0s 加:97.5s 等前:0.0s 等后:2.0s) | ST15 小跑道(开:11448.5s 加:50.0s 等前:0.0s 等后:0.0s)</t>
        </is>
      </c>
    </row>
    <row r="158">
      <c r="A158" s="13" t="n">
        <v>157</v>
      </c>
      <c r="B158" s="13" t="inlineStr">
        <is>
          <t>Car#157</t>
        </is>
      </c>
      <c r="C158" s="13" t="inlineStr">
        <is>
          <t>C</t>
        </is>
      </c>
      <c r="D158" s="14" t="n">
        <v>10090</v>
      </c>
      <c r="E158" s="14" t="n">
        <v>11592</v>
      </c>
      <c r="F158" s="14" t="n">
        <v>1502</v>
      </c>
      <c r="G158" s="14" t="n">
        <v>1120.5</v>
      </c>
      <c r="H158" s="13" t="inlineStr">
        <is>
          <t>Car#156</t>
        </is>
      </c>
      <c r="I158" s="14">
        <f>E158-E157</f>
        <v/>
      </c>
      <c r="J158" s="14">
        <f>I158-58</f>
        <v/>
      </c>
      <c r="K158" s="14">
        <f>MAX(0,J158)</f>
        <v/>
      </c>
      <c r="L158" s="14">
        <f>MAX(0,-J158)</f>
        <v/>
      </c>
      <c r="M158" s="14">
        <f>M157+I158</f>
        <v/>
      </c>
      <c r="N158" s="14">
        <f>D158+F158-E158</f>
        <v/>
      </c>
      <c r="O158" s="13" t="inlineStr">
        <is>
          <t>能力超目标：四轮定位上、下、ARHUD+慢充</t>
        </is>
      </c>
      <c r="P158" s="13" t="inlineStr">
        <is>
          <t>ST1 引取(开:10090.0s 加:56.0s 等前:1042.0s 等后:0.0s) | ST2 集约(开:10146.0s 加:111.0s 等前:0.0s 等后:13.0s) | ST3 空气悬挂+快充(开:10270.0s 加:108.5s 等前:0.0s 等后:12.0s) | ST4 四轮定位上、下(开:10390.5s 加:120.5s 等前:0.0s 等后:17.0s) | ST5 ADAS(开:10528.0s 加:107.0s 等前:0.0s 等后:36.5s) | ST6 ARHUD+慢充(开:10671.5s 加:143.5s 等前:0.0s 等后:0.0s) | ST7 转毂(开:10815.0s 加:114.5s 等前:0.0s 等后:0.0s) | ST8 制动(开:10929.5s 加:114.0s 等前:0.0s 等后:0.0s) | ST9 EG漏液/底盘漏液(开:11043.5s 加:112.5s 等前:0.0s 等后:0.0s) | ST10 全景/空调检查(开:11156.0s 加:0.0s 等前:0.0s 等后:0.0s) | ST11 气囊安装+绝缘(开:11156.0s 加:116.0s 等前:0.0s 等后:0.0s) | ST12 L2++(开:11272.0s 加:88.0s 等前:0.0s 等后:0.0s) | ST13 电检1(开:11360.0s 加:84.5s 等前:0.0s 等后:0.0s) | ST14 电检2(开:11444.5s 加:97.5s 等前:0.0s 等后:0.0s) | ST15 小跑道(开:11542.0s 加:50.0s 等前:0.0s 等后:0.0s)</t>
        </is>
      </c>
    </row>
    <row r="159">
      <c r="A159" s="15" t="n">
        <v>158</v>
      </c>
      <c r="B159" s="15" t="inlineStr">
        <is>
          <t>Car#158</t>
        </is>
      </c>
      <c r="C159" s="15" t="inlineStr">
        <is>
          <t>B</t>
        </is>
      </c>
      <c r="D159" s="16" t="n">
        <v>10146</v>
      </c>
      <c r="E159" s="16" t="n">
        <v>11642</v>
      </c>
      <c r="F159" s="16" t="n">
        <v>1496</v>
      </c>
      <c r="G159" s="16" t="n">
        <v>1204.5</v>
      </c>
      <c r="H159" s="15" t="inlineStr">
        <is>
          <t>Car#157</t>
        </is>
      </c>
      <c r="I159" s="16">
        <f>E159-E158</f>
        <v/>
      </c>
      <c r="J159" s="16">
        <f>I159-58</f>
        <v/>
      </c>
      <c r="K159" s="16">
        <f>MAX(0,J159)</f>
        <v/>
      </c>
      <c r="L159" s="16">
        <f>MAX(0,-J159)</f>
        <v/>
      </c>
      <c r="M159" s="16">
        <f>M158+I159</f>
        <v/>
      </c>
      <c r="N159" s="16">
        <f>D159+F159-E159</f>
        <v/>
      </c>
      <c r="O159" s="15" t="inlineStr">
        <is>
          <t>能力超目标：四轮定位上、下</t>
        </is>
      </c>
      <c r="P159" s="15" t="inlineStr">
        <is>
          <t>ST1 引取(开:10146.0s 加:56.0s 等前:1040.0s 等后:26.0s) | ST2 集约(开:10228.0s 加:111.0s 等前:0.0s 等后:9.5s) | ST3 空气悬挂+快充(开:10348.5s 加:108.5s 等前:0.0s 等后:12.0s) | ST4 四轮定位上、下(开:10469.0s 加:120.5s 等前:0.0s 等后:0.0s) | ST5 ADAS(开:10589.5s 加:107.0s 等前:0.0s 等后:23.0s) | ST6 ARHUD+慢充(开:10719.5s 加:51.5s 等前:0.0s 等后:63.0s) | ST7 转毂(开:10834.0s 加:114.5s 等前:0.0s 等后:0.0s) | ST8 制动(开:10948.5s 加:114.0s 等前:0.0s 等后:0.0s) | ST9 EG漏液/底盘漏液(开:11062.5s 加:112.5s 等前:0.0s 等后:0.0s) | ST10 全景/空调检查(开:11175.0s 加:0.0s 等前:0.0s 等后:1.5s) | ST11 气囊安装+绝缘(开:11176.5s 加:116.0s 等前:0.0s 等后:0.0s) | ST12 L2++(开:11292.5s 加:88.0s 等前:0.0s 等后:0.0s) | ST13 电检1(开:11380.5s 加:84.5s 等前:0.0s 等后:0.0s) | ST14 电检2(开:11465.0s 加:97.5s 等前:0.0s 等后:29.5s) | ST15 小跑道(开:11592.0s 加:50.0s 等前:0.0s 等后:0.0s)</t>
        </is>
      </c>
    </row>
    <row r="160">
      <c r="A160" s="13" t="n">
        <v>159</v>
      </c>
      <c r="B160" s="13" t="inlineStr">
        <is>
          <t>Car#159</t>
        </is>
      </c>
      <c r="C160" s="13" t="inlineStr">
        <is>
          <t>B</t>
        </is>
      </c>
      <c r="D160" s="14" t="n">
        <v>10228</v>
      </c>
      <c r="E160" s="14" t="n">
        <v>11708</v>
      </c>
      <c r="F160" s="14" t="n">
        <v>1480</v>
      </c>
      <c r="G160" s="14" t="n">
        <v>1212.5</v>
      </c>
      <c r="H160" s="13" t="inlineStr">
        <is>
          <t>Car#158</t>
        </is>
      </c>
      <c r="I160" s="14">
        <f>E160-E159</f>
        <v/>
      </c>
      <c r="J160" s="14">
        <f>I160-58</f>
        <v/>
      </c>
      <c r="K160" s="14">
        <f>MAX(0,J160)</f>
        <v/>
      </c>
      <c r="L160" s="14">
        <f>MAX(0,-J160)</f>
        <v/>
      </c>
      <c r="M160" s="14">
        <f>M159+I160</f>
        <v/>
      </c>
      <c r="N160" s="14">
        <f>D160+F160-E160</f>
        <v/>
      </c>
      <c r="O160" s="13" t="inlineStr">
        <is>
          <t>能力超目标：四轮定位上、下</t>
        </is>
      </c>
      <c r="P160" s="13" t="inlineStr">
        <is>
          <t>ST1 引取(开:10228.0s 加:56.0s 等前:1064.0s 等后:0.0s) | ST2 集约(开:10284.0s 加:111.0s 等前:0.0s 等后:0.0s) | ST3 空气悬挂+快充(开:10395.0s 加:108.5s 等前:0.0s 等后:24.5s) | ST4 四轮定位上、下(开:10528.0s 加:120.5s 等前:0.0s 等后:23.0s) | ST5 ADAS(开:10671.5s 加:107.0s 等前:0.0s 等后:36.5s) | ST6 ARHUD+慢充(开:10815.0s 加:51.5s 等前:0.0s 等后:63.0s) | ST7 转毂(开:10929.5s 加:114.5s 等前:0.0s 等后:0.0s) | ST8 制动(开:11044.0s 加:114.0s 等前:0.0s 等后:0.0s) | ST9 EG漏液/底盘漏液(开:11158.0s 加:112.5s 等前:0.0s 等后:0.0s) | ST10 全景/空调检查(开:11270.5s 加:0.0s 等前:0.0s 等后:1.5s) | ST11 气囊安装+绝缘(开:11272.0s 加:116.0s 等前:0.0s 等后:0.0s) | ST12 L2++(开:11388.0s 加:88.0s 等前:0.0s 等后:0.0s) | ST13 电检1(开:11476.0s 加:84.5s 等前:0.0s 等后:0.0s) | ST14 电检2(开:11560.5s 加:97.5s 等前:0.0s 等后:0.0s) | ST15 小跑道(开:11658.0s 加:50.0s 等前:0.0s 等后:0.0s)</t>
        </is>
      </c>
    </row>
    <row r="161">
      <c r="A161" s="15" t="n">
        <v>160</v>
      </c>
      <c r="B161" s="15" t="inlineStr">
        <is>
          <t>Car#160</t>
        </is>
      </c>
      <c r="C161" s="15" t="inlineStr">
        <is>
          <t>B</t>
        </is>
      </c>
      <c r="D161" s="16" t="n">
        <v>10284</v>
      </c>
      <c r="E161" s="16" t="n">
        <v>11758</v>
      </c>
      <c r="F161" s="16" t="n">
        <v>1474</v>
      </c>
      <c r="G161" s="16" t="n">
        <v>1204.5</v>
      </c>
      <c r="H161" s="15" t="inlineStr">
        <is>
          <t>Car#159</t>
        </is>
      </c>
      <c r="I161" s="16">
        <f>E161-E160</f>
        <v/>
      </c>
      <c r="J161" s="16">
        <f>I161-58</f>
        <v/>
      </c>
      <c r="K161" s="16">
        <f>MAX(0,J161)</f>
        <v/>
      </c>
      <c r="L161" s="16">
        <f>MAX(0,-J161)</f>
        <v/>
      </c>
      <c r="M161" s="16">
        <f>M160+I161</f>
        <v/>
      </c>
      <c r="N161" s="16">
        <f>D161+F161-E161</f>
        <v/>
      </c>
      <c r="O161" s="15" t="inlineStr">
        <is>
          <t>能力超目标：四轮定位上、下</t>
        </is>
      </c>
      <c r="P161" s="15" t="inlineStr">
        <is>
          <t>ST1 引取(开:10284.0s 加:56.0s 等前:1062.0s 等后:8.5s) | ST2 集约(开:10348.5s 加:111.0s 等前:0.0s 等后:9.5s) | ST3 空气悬挂+快充(开:10469.0s 加:108.5s 等前:0.0s 等后:12.0s) | ST4 四轮定位上、下(开:10589.5s 加:120.5s 等前:0.0s 等后:9.5s) | ST5 ADAS(开:10719.5s 加:107.0s 等前:0.0s 等后:7.5s) | ST6 ARHUD+慢充(开:10834.0s 加:51.5s 等前:0.0s 等后:63.0s) | ST7 转毂(开:10948.5s 加:114.5s 等前:0.0s 等后:0.0s) | ST8 制动(开:11063.0s 加:114.0s 等前:0.0s 等后:0.0s) | ST9 EG漏液/底盘漏液(开:11177.0s 加:112.5s 等前:0.0s 等后:0.0s) | ST10 全景/空调检查(开:11289.5s 加:0.0s 等前:0.0s 等后:3.0s) | ST11 气囊安装+绝缘(开:11292.5s 加:116.0s 等前:0.0s 等后:0.0s) | ST12 L2++(开:11408.5s 加:88.0s 等前:0.0s 等后:0.0s) | ST13 电检1(开:11496.5s 加:84.5s 等前:0.0s 等后:11.0s) | ST14 电检2(开:11592.0s 加:97.5s 等前:0.0s 等后:18.5s) | ST15 小跑道(开:11708.0s 加:50.0s 等前:0.0s 等后:0.0s)</t>
        </is>
      </c>
    </row>
    <row r="162">
      <c r="A162" s="13" t="n">
        <v>161</v>
      </c>
      <c r="B162" s="13" t="inlineStr">
        <is>
          <t>Car#161</t>
        </is>
      </c>
      <c r="C162" s="13" t="inlineStr">
        <is>
          <t>C</t>
        </is>
      </c>
      <c r="D162" s="14" t="n">
        <v>10348.5</v>
      </c>
      <c r="E162" s="14" t="n">
        <v>11850</v>
      </c>
      <c r="F162" s="14" t="n">
        <v>1501.5</v>
      </c>
      <c r="G162" s="14" t="n">
        <v>1146.5</v>
      </c>
      <c r="H162" s="13" t="inlineStr">
        <is>
          <t>Car#160</t>
        </is>
      </c>
      <c r="I162" s="14">
        <f>E162-E161</f>
        <v/>
      </c>
      <c r="J162" s="14">
        <f>I162-58</f>
        <v/>
      </c>
      <c r="K162" s="14">
        <f>MAX(0,J162)</f>
        <v/>
      </c>
      <c r="L162" s="14">
        <f>MAX(0,-J162)</f>
        <v/>
      </c>
      <c r="M162" s="14">
        <f>M161+I162</f>
        <v/>
      </c>
      <c r="N162" s="14">
        <f>D162+F162-E162</f>
        <v/>
      </c>
      <c r="O162" s="13" t="inlineStr">
        <is>
          <t>能力超目标：四轮定位上、下、ARHUD+慢充</t>
        </is>
      </c>
      <c r="P162" s="13" t="inlineStr">
        <is>
          <t>ST1 引取(开:10348.5s 加:56.0s 等前:1068.5s 等后:0.0s) | ST2 集约(开:10404.5s 加:111.0s 等前:0.0s 等后:12.5s) | ST3 空气悬挂+快充(开:10528.0s 加:108.5s 等前:0.0s 等后:35.0s) | ST4 四轮定位上、下(开:10671.5s 加:120.5s 等前:0.0s 等后:23.0s) | ST5 ADAS(开:10815.0s 加:107.0s 等前:0.0s 等后:7.5s) | ST6 ARHUD+慢充(开:10929.5s 加:143.5s 等前:0.0s 等后:0.0s) | ST7 转毂(开:11073.0s 加:114.5s 等前:0.0s 等后:0.0s) | ST8 制动(开:11187.5s 加:114.0s 等前:0.0s 等后:0.0s) | ST9 EG漏液/底盘漏液(开:11301.5s 加:112.5s 等前:0.0s 等后:0.0s) | ST10 全景/空调检查(开:11414.0s 加:0.0s 等前:0.0s 等后:0.0s) | ST11 气囊安装+绝缘(开:11414.0s 加:116.0s 等前:0.0s 等后:0.0s) | ST12 L2++(开:11530.0s 加:88.0s 等前:0.0s 等后:0.0s) | ST13 电检1(开:11618.0s 加:84.5s 等前:0.0s 等后:0.0s) | ST14 电检2(开:11702.5s 加:97.5s 等前:0.0s 等后:0.0s) | ST15 小跑道(开:11800.0s 加:50.0s 等前:0.0s 等后:0.0s)</t>
        </is>
      </c>
    </row>
    <row r="163">
      <c r="A163" s="15" t="n">
        <v>162</v>
      </c>
      <c r="B163" s="15" t="inlineStr">
        <is>
          <t>Car#163</t>
        </is>
      </c>
      <c r="C163" s="15" t="inlineStr">
        <is>
          <t>A</t>
        </is>
      </c>
      <c r="D163" s="16" t="n">
        <v>10469</v>
      </c>
      <c r="E163" s="16" t="n">
        <v>11901</v>
      </c>
      <c r="F163" s="16" t="n">
        <v>1432</v>
      </c>
      <c r="G163" s="16" t="n">
        <v>1644</v>
      </c>
      <c r="H163" s="15" t="inlineStr">
        <is>
          <t>Car#161</t>
        </is>
      </c>
      <c r="I163" s="16">
        <f>E163-E162</f>
        <v/>
      </c>
      <c r="J163" s="16">
        <f>I163-58</f>
        <v/>
      </c>
      <c r="K163" s="16">
        <f>MAX(0,J163)</f>
        <v/>
      </c>
      <c r="L163" s="16">
        <f>MAX(0,-J163)</f>
        <v/>
      </c>
      <c r="M163" s="16">
        <f>M162+I163</f>
        <v/>
      </c>
      <c r="N163" s="16">
        <f>D163+F163-E163</f>
        <v/>
      </c>
      <c r="O163" s="15" t="inlineStr">
        <is>
          <t>能力满足</t>
        </is>
      </c>
      <c r="P163" s="15" t="inlineStr">
        <is>
          <t>ST1 引取(开:10469.0s 加:55.0s 等前:1073.0s 等后:4.0s) | ST2 集约(开:10528.0s 加:106.0s 等前:0.0s 等后:37.5s) | ST3 空气悬挂+快充(开:10671.5s 加:0.0s 等前:0.0s 等后:143.5s) | ST4 四轮定位上、下(开:10815.0s 加:115.0s 等前:0.0s 等后:0.0s) | ST5 ADAS(开:10930.0s 加:97.0s 等前:0.0s 等后:46.0s) | ST6 ARHUD+慢充(开:11073.0s 加:0.0s 等前:0.0s 等后:114.5s) | ST7 转毂(开:11187.5s 加:116.0s 等前:0.0s 等后:0.0s) | ST8 制动(开:11303.5s 加:108.0s 等前:0.0s 等后:2.5s) | ST9 EG漏液/底盘漏液(开:11414.0s 加:115.0s 等前:0.0s 等后:0.0s) | ST10 全景/空调检查(开:11529.0s 加:98.0s 等前:0.0s 等后:0.0s) | ST11 气囊安装+绝缘(开:11627.0s 加:0.0s 等前:0.0s 等后:0.0s) | ST12 L2++(开:11627.0s 加:0.0s 等前:0.0s 等后:75.5s) | ST13 电检1(开:11702.5s 加:0.0s 等前:0.0s 等后:97.5s) | ST14 电检2(开:11800.0s 加:0.0s 等前:0.0s 等后:50.0s) | ST15 小跑道(开:11850.0s 加:51.0s 等前:0.0s 等后:0.0s)</t>
        </is>
      </c>
    </row>
    <row r="164">
      <c r="A164" s="13" t="n">
        <v>163</v>
      </c>
      <c r="B164" s="13" t="inlineStr">
        <is>
          <t>Car#162</t>
        </is>
      </c>
      <c r="C164" s="13" t="inlineStr">
        <is>
          <t>C</t>
        </is>
      </c>
      <c r="D164" s="14" t="n">
        <v>10404.5</v>
      </c>
      <c r="E164" s="14" t="n">
        <v>11951</v>
      </c>
      <c r="F164" s="14" t="n">
        <v>1546.5</v>
      </c>
      <c r="G164" s="14" t="n">
        <v>1189.5</v>
      </c>
      <c r="H164" s="13" t="inlineStr">
        <is>
          <t>Car#163</t>
        </is>
      </c>
      <c r="I164" s="14">
        <f>E164-E163</f>
        <v/>
      </c>
      <c r="J164" s="14">
        <f>I164-58</f>
        <v/>
      </c>
      <c r="K164" s="14">
        <f>MAX(0,J164)</f>
        <v/>
      </c>
      <c r="L164" s="14">
        <f>MAX(0,-J164)</f>
        <v/>
      </c>
      <c r="M164" s="14">
        <f>M163+I164</f>
        <v/>
      </c>
      <c r="N164" s="14">
        <f>D164+F164-E164</f>
        <v/>
      </c>
      <c r="O164" s="13" t="inlineStr">
        <is>
          <t>能力超目标：四轮定位上、下、ARHUD+慢充</t>
        </is>
      </c>
      <c r="P164" s="13" t="inlineStr">
        <is>
          <t>ST1 引取(开:10404.5s 加:56.0s 等前:1066.5s 等后:8.5s) | ST2 集约(开:10469.0s 加:111.0s 等前:0.0s 等后:9.5s) | ST3 空气悬挂+快充(开:10589.5s 加:108.5s 等前:0.0s 等后:21.5s) | ST4 四轮定位上、下(开:10719.5s 加:120.5s 等前:0.0s 等后:0.0s) | ST5 ADAS(开:10840.0s 加:107.0s 等前:0.0s 等后:1.5s) | ST6 ARHUD+慢充(开:10948.5s 加:143.5s 等前:0.0s 等后:0.0s) | ST7 转毂(开:11092.0s 加:114.5s 等前:0.0s 等后:0.0s) | ST8 制动(开:11206.5s 加:114.0s 等前:0.0s 等后:0.0s) | ST9 EG漏液/底盘漏液(开:11320.5s 加:112.5s 等前:0.0s 等后:0.0s) | ST10 全景/空调检查(开:11433.0s 加:0.0s 等前:0.0s 等后:0.0s) | ST11 气囊安装+绝缘(开:11433.0s 加:116.0s 等前:0.0s 等后:0.0s) | ST12 L2++(开:11549.0s 加:88.0s 等前:0.0s 等后:0.0s) | ST13 电检1(开:11637.0s 加:84.5s 等前:0.0s 等后:0.0s) | ST14 电检2(开:11721.5s 加:97.5s 等前:0.0s 等后:82.0s) | ST15 小跑道(开:11901.0s 加:50.0s 等前:0.0s 等后:0.0s)</t>
        </is>
      </c>
    </row>
    <row r="165">
      <c r="A165" s="15" t="n">
        <v>164</v>
      </c>
      <c r="B165" s="15" t="inlineStr">
        <is>
          <t>Car#164</t>
        </is>
      </c>
      <c r="C165" s="15" t="inlineStr">
        <is>
          <t>A</t>
        </is>
      </c>
      <c r="D165" s="16" t="n">
        <v>10528</v>
      </c>
      <c r="E165" s="16" t="n">
        <v>12002</v>
      </c>
      <c r="F165" s="16" t="n">
        <v>1474</v>
      </c>
      <c r="G165" s="16" t="n">
        <v>1687</v>
      </c>
      <c r="H165" s="15" t="inlineStr">
        <is>
          <t>Car#162</t>
        </is>
      </c>
      <c r="I165" s="16">
        <f>E165-E164</f>
        <v/>
      </c>
      <c r="J165" s="16">
        <f>I165-58</f>
        <v/>
      </c>
      <c r="K165" s="16">
        <f>MAX(0,J165)</f>
        <v/>
      </c>
      <c r="L165" s="16">
        <f>MAX(0,-J165)</f>
        <v/>
      </c>
      <c r="M165" s="16">
        <f>M164+I165</f>
        <v/>
      </c>
      <c r="N165" s="16">
        <f>D165+F165-E165</f>
        <v/>
      </c>
      <c r="O165" s="15" t="inlineStr">
        <is>
          <t>能力满足</t>
        </is>
      </c>
      <c r="P165" s="15" t="inlineStr">
        <is>
          <t>ST1 引取(开:10528.0s 加:55.0s 等前:1074.0s 等后:6.5s) | ST2 集约(开:10589.5s 加:106.0s 等前:0.0s 等后:24.0s) | ST3 空气悬挂+快充(开:10719.5s 加:0.0s 等前:0.0s 等后:120.5s) | ST4 四轮定位上、下(开:10840.0s 加:115.0s 等前:0.0s 等后:0.0s) | ST5 ADAS(开:10955.0s 加:97.0s 等前:0.0s 等后:40.0s) | ST6 ARHUD+慢充(开:11092.0s 加:0.0s 等前:0.0s 等后:114.5s) | ST7 转毂(开:11206.5s 加:116.0s 等前:0.0s 等后:0.0s) | ST8 制动(开:11322.5s 加:108.0s 等前:0.0s 等后:2.5s) | ST9 EG漏液/底盘漏液(开:11433.0s 加:115.0s 等前:0.0s 等后:0.0s) | ST10 全景/空调检查(开:11548.0s 加:98.0s 等前:0.0s 等后:0.0s) | ST11 气囊安装+绝缘(开:11646.0s 加:0.0s 等前:0.0s 等后:0.0s) | ST12 L2++(开:11646.0s 加:0.0s 等前:0.0s 等后:75.5s) | ST13 电检1(开:11721.5s 加:0.0s 等前:0.0s 等后:179.5s) | ST14 电检2(开:11901.0s 加:0.0s 等前:0.0s 等后:50.0s) | ST15 小跑道(开:11951.0s 加:51.0s 等前:0.0s 等后:0.0s)</t>
        </is>
      </c>
    </row>
    <row r="166">
      <c r="A166" s="13" t="n">
        <v>165</v>
      </c>
      <c r="B166" s="13" t="inlineStr">
        <is>
          <t>Car#165</t>
        </is>
      </c>
      <c r="C166" s="13" t="inlineStr">
        <is>
          <t>C</t>
        </is>
      </c>
      <c r="D166" s="14" t="n">
        <v>10589.5</v>
      </c>
      <c r="E166" s="14" t="n">
        <v>12108</v>
      </c>
      <c r="F166" s="14" t="n">
        <v>1518.5</v>
      </c>
      <c r="G166" s="14" t="n">
        <v>1172.5</v>
      </c>
      <c r="H166" s="13" t="inlineStr">
        <is>
          <t>Car#164</t>
        </is>
      </c>
      <c r="I166" s="14">
        <f>E166-E165</f>
        <v/>
      </c>
      <c r="J166" s="14">
        <f>I166-58</f>
        <v/>
      </c>
      <c r="K166" s="14">
        <f>MAX(0,J166)</f>
        <v/>
      </c>
      <c r="L166" s="14">
        <f>MAX(0,-J166)</f>
        <v/>
      </c>
      <c r="M166" s="14">
        <f>M165+I166</f>
        <v/>
      </c>
      <c r="N166" s="14">
        <f>D166+F166-E166</f>
        <v/>
      </c>
      <c r="O166" s="13" t="inlineStr">
        <is>
          <t>能力超目标：四轮定位上、下、ARHUD+慢充</t>
        </is>
      </c>
      <c r="P166" s="13" t="inlineStr">
        <is>
          <t>ST1 引取(开:10589.5s 加:56.0s 等前:1077.5s 等后:26.0s) | ST2 集约(开:10671.5s 加:111.0s 等前:0.0s 等后:32.5s) | ST3 空气悬挂+快充(开:10815.0s 加:108.5s 等前:0.0s 等后:6.5s) | ST4 四轮定位上、下(开:10930.0s 加:120.5s 等前:0.0s 等后:22.5s) | ST5 ADAS(开:11073.0s 加:107.0s 等前:0.0s 等后:7.5s) | ST6 ARHUD+慢充(开:11187.5s 加:143.5s 等前:0.0s 等后:0.0s) | ST7 转毂(开:11331.0s 加:114.5s 等前:0.0s 等后:0.0s) | ST8 制动(开:11445.5s 加:114.0s 等前:0.0s 等后:0.0s) | ST9 EG漏液/底盘漏液(开:11559.5s 加:112.5s 等前:0.0s 等后:0.0s) | ST10 全景/空调检查(开:11672.0s 加:0.0s 等前:0.0s 等后:0.0s) | ST11 气囊安装+绝缘(开:11672.0s 加:116.0s 等前:0.0s 等后:0.0s) | ST12 L2++(开:11788.0s 加:88.0s 等前:0.0s 等后:0.0s) | ST13 电检1(开:11876.0s 加:84.5s 等前:0.0s 等后:0.0s) | ST14 电检2(开:11960.5s 加:97.5s 等前:0.0s 等后:0.0s) | ST15 小跑道(开:12058.0s 加:50.0s 等前:0.0s 等后:0.0s)</t>
        </is>
      </c>
    </row>
    <row r="167">
      <c r="A167" s="15" t="n">
        <v>166</v>
      </c>
      <c r="B167" s="15" t="inlineStr">
        <is>
          <t>Car#166</t>
        </is>
      </c>
      <c r="C167" s="15" t="inlineStr">
        <is>
          <t>C</t>
        </is>
      </c>
      <c r="D167" s="16" t="n">
        <v>10671.5</v>
      </c>
      <c r="E167" s="16" t="n">
        <v>12158</v>
      </c>
      <c r="F167" s="16" t="n">
        <v>1486.5</v>
      </c>
      <c r="G167" s="16" t="n">
        <v>1164.5</v>
      </c>
      <c r="H167" s="15" t="inlineStr">
        <is>
          <t>Car#165</t>
        </is>
      </c>
      <c r="I167" s="16">
        <f>E167-E166</f>
        <v/>
      </c>
      <c r="J167" s="16">
        <f>I167-58</f>
        <v/>
      </c>
      <c r="K167" s="16">
        <f>MAX(0,J167)</f>
        <v/>
      </c>
      <c r="L167" s="16">
        <f>MAX(0,-J167)</f>
        <v/>
      </c>
      <c r="M167" s="16">
        <f>M166+I167</f>
        <v/>
      </c>
      <c r="N167" s="16">
        <f>D167+F167-E167</f>
        <v/>
      </c>
      <c r="O167" s="15" t="inlineStr">
        <is>
          <t>能力超目标：四轮定位上、下、ARHUD+慢充</t>
        </is>
      </c>
      <c r="P167" s="15" t="inlineStr">
        <is>
          <t>ST1 引取(开:10671.5s 加:56.0s 等前:1101.5s 等后:0.0s) | ST2 集约(开:10727.5s 加:111.0s 等前:0.0s 等后:1.5s) | ST3 空气悬挂+快充(开:10840.0s 加:108.5s 等前:0.0s 等后:6.5s) | ST4 四轮定位上、下(开:10955.0s 加:120.5s 等前:0.0s 等后:16.5s) | ST5 ADAS(开:11092.0s 加:107.0s 等前:0.0s 等后:7.5s) | ST6 ARHUD+慢充(开:11206.5s 加:143.5s 等前:0.0s 等后:0.0s) | ST7 转毂(开:11350.0s 加:114.5s 等前:0.0s 等后:0.0s) | ST8 制动(开:11464.5s 加:114.0s 等前:0.0s 等后:0.0s) | ST9 EG漏液/底盘漏液(开:11578.5s 加:112.5s 等前:0.0s 等后:0.0s) | ST10 全景/空调检查(开:11691.0s 加:0.0s 等前:0.0s 等后:0.0s) | ST11 气囊安装+绝缘(开:11691.0s 加:116.0s 等前:0.0s 等后:0.0s) | ST12 L2++(开:11807.0s 加:88.0s 等前:0.0s 等后:6.0s) | ST13 电检1(开:11901.0s 加:84.5s 等前:0.0s 等后:0.0s) | ST14 电检2(开:11985.5s 加:97.5s 等前:0.0s 等后:25.0s) | ST15 小跑道(开:12108.0s 加:50.0s 等前:0.0s 等后:0.0s)</t>
        </is>
      </c>
    </row>
    <row r="168">
      <c r="A168" s="13" t="n">
        <v>167</v>
      </c>
      <c r="B168" s="13" t="inlineStr">
        <is>
          <t>Car#167</t>
        </is>
      </c>
      <c r="C168" s="13" t="inlineStr">
        <is>
          <t>C</t>
        </is>
      </c>
      <c r="D168" s="14" t="n">
        <v>10727.5</v>
      </c>
      <c r="E168" s="14" t="n">
        <v>12251.5</v>
      </c>
      <c r="F168" s="14" t="n">
        <v>1524</v>
      </c>
      <c r="G168" s="14" t="n">
        <v>1200</v>
      </c>
      <c r="H168" s="13" t="inlineStr">
        <is>
          <t>Car#166</t>
        </is>
      </c>
      <c r="I168" s="14">
        <f>E168-E167</f>
        <v/>
      </c>
      <c r="J168" s="14">
        <f>I168-58</f>
        <v/>
      </c>
      <c r="K168" s="14">
        <f>MAX(0,J168)</f>
        <v/>
      </c>
      <c r="L168" s="14">
        <f>MAX(0,-J168)</f>
        <v/>
      </c>
      <c r="M168" s="14">
        <f>M167+I168</f>
        <v/>
      </c>
      <c r="N168" s="14">
        <f>D168+F168-E168</f>
        <v/>
      </c>
      <c r="O168" s="13" t="inlineStr">
        <is>
          <t>能力超目标：四轮定位上、下、ARHUD+慢充</t>
        </is>
      </c>
      <c r="P168" s="13" t="inlineStr">
        <is>
          <t>ST1 引取(开:10727.5s 加:56.0s 等前:1099.5s 等后:31.5s) | ST2 集约(开:10815.0s 加:111.0s 等前:0.0s 等后:4.0s) | ST3 空气悬挂+快充(开:10930.0s 加:108.5s 等前:0.0s 等后:34.5s) | ST4 四轮定位上、下(开:11073.0s 加:120.5s 等前:0.0s 等后:0.0s) | ST5 ADAS(开:11193.5s 加:107.0s 等前:0.0s 等后:30.5s) | ST6 ARHUD+慢充(开:11331.0s 加:143.5s 等前:0.0s 等后:0.0s) | ST7 转毂(开:11474.5s 加:114.5s 等前:0.0s 等后:0.0s) | ST8 制动(开:11589.0s 加:114.0s 等前:0.0s 等后:0.0s) | ST9 EG漏液/底盘漏液(开:11703.0s 加:112.5s 等前:0.0s 等后:0.0s) | ST10 全景/空调检查(开:11815.5s 加:0.0s 等前:0.0s 等后:0.0s) | ST11 气囊安装+绝缘(开:11815.5s 加:116.0s 等前:0.0s 等后:0.0s) | ST12 L2++(开:11931.5s 加:88.0s 等前:0.0s 等后:0.0s) | ST13 电检1(开:12019.5s 加:84.5s 等前:0.0s 等后:0.0s) | ST14 电检2(开:12104.0s 加:97.5s 等前:0.0s 等后:0.0s) | ST15 小跑道(开:12201.5s 加:50.0s 等前:0.0s 等后:0.0s)</t>
        </is>
      </c>
    </row>
    <row r="169">
      <c r="A169" s="15" t="n">
        <v>168</v>
      </c>
      <c r="B169" s="15" t="inlineStr">
        <is>
          <t>Car#168</t>
        </is>
      </c>
      <c r="C169" s="15" t="inlineStr">
        <is>
          <t>C</t>
        </is>
      </c>
      <c r="D169" s="16" t="n">
        <v>10815</v>
      </c>
      <c r="E169" s="16" t="n">
        <v>12301.5</v>
      </c>
      <c r="F169" s="16" t="n">
        <v>1486.5</v>
      </c>
      <c r="G169" s="16" t="n">
        <v>1192</v>
      </c>
      <c r="H169" s="15" t="inlineStr">
        <is>
          <t>Car#167</t>
        </is>
      </c>
      <c r="I169" s="16">
        <f>E169-E168</f>
        <v/>
      </c>
      <c r="J169" s="16">
        <f>I169-58</f>
        <v/>
      </c>
      <c r="K169" s="16">
        <f>MAX(0,J169)</f>
        <v/>
      </c>
      <c r="L169" s="16">
        <f>MAX(0,-J169)</f>
        <v/>
      </c>
      <c r="M169" s="16">
        <f>M168+I169</f>
        <v/>
      </c>
      <c r="N169" s="16">
        <f>D169+F169-E169</f>
        <v/>
      </c>
      <c r="O169" s="15" t="inlineStr">
        <is>
          <t>能力超目标：四轮定位上、下、ARHUD+慢充</t>
        </is>
      </c>
      <c r="P169" s="15" t="inlineStr">
        <is>
          <t>ST1 引取(开:10815.0s 加:56.0s 等前:1129.0s 等后:0.0s) | ST2 集约(开:10871.0s 加:111.0s 等前:0.0s 等后:0.0s) | ST3 空气悬挂+快充(开:10982.0s 加:108.5s 等前:0.0s 等后:1.5s) | ST4 四轮定位上、下(开:11092.0s 加:120.5s 等前:0.0s 等后:0.0s) | ST5 ADAS(开:11212.5s 加:107.0s 等前:0.0s 等后:30.5s) | ST6 ARHUD+慢充(开:11350.0s 加:143.5s 等前:0.0s 等后:0.0s) | ST7 转毂(开:11493.5s 加:114.5s 等前:0.0s 等后:0.0s) | ST8 制动(开:11608.0s 加:114.0s 等前:0.0s 等后:0.0s) | ST9 EG漏液/底盘漏液(开:11722.0s 加:112.5s 等前:0.0s 等后:0.0s) | ST10 全景/空调检查(开:11834.5s 加:0.0s 等前:0.0s 等后:0.0s) | ST11 气囊安装+绝缘(开:11834.5s 加:116.0s 等前:0.0s 等后:0.0s) | ST12 L2++(开:11950.5s 加:88.0s 等前:0.0s 等后:0.0s) | ST13 电检1(开:12038.5s 加:84.5s 等前:0.0s 等后:0.0s) | ST14 电检2(开:12123.0s 加:97.5s 等前:0.0s 等后:31.0s) | ST15 小跑道(开:12251.5s 加:50.0s 等前:0.0s 等后:0.0s)</t>
        </is>
      </c>
    </row>
    <row r="170">
      <c r="A170" s="13" t="n">
        <v>169</v>
      </c>
      <c r="B170" s="13" t="inlineStr">
        <is>
          <t>Car#169</t>
        </is>
      </c>
      <c r="C170" s="13" t="inlineStr">
        <is>
          <t>B</t>
        </is>
      </c>
      <c r="D170" s="14" t="n">
        <v>10871</v>
      </c>
      <c r="E170" s="14" t="n">
        <v>12367.5</v>
      </c>
      <c r="F170" s="14" t="n">
        <v>1496.5</v>
      </c>
      <c r="G170" s="14" t="n">
        <v>1292</v>
      </c>
      <c r="H170" s="13" t="inlineStr">
        <is>
          <t>Car#168</t>
        </is>
      </c>
      <c r="I170" s="14">
        <f>E170-E169</f>
        <v/>
      </c>
      <c r="J170" s="14">
        <f>I170-58</f>
        <v/>
      </c>
      <c r="K170" s="14">
        <f>MAX(0,J170)</f>
        <v/>
      </c>
      <c r="L170" s="14">
        <f>MAX(0,-J170)</f>
        <v/>
      </c>
      <c r="M170" s="14">
        <f>M169+I170</f>
        <v/>
      </c>
      <c r="N170" s="14">
        <f>D170+F170-E170</f>
        <v/>
      </c>
      <c r="O170" s="13" t="inlineStr">
        <is>
          <t>能力超目标：四轮定位上、下</t>
        </is>
      </c>
      <c r="P170" s="13" t="inlineStr">
        <is>
          <t>ST1 引取(开:10871.0s 加:56.0s 等前:1127.0s 等后:3.0s) | ST2 集约(开:10930.0s 加:111.0s 等前:0.0s 等后:32.0s) | ST3 空气悬挂+快充(开:11073.0s 加:108.5s 等前:0.0s 等后:12.0s) | ST4 四轮定位上、下(开:11193.5s 加:120.5s 等前:0.0s 等后:17.0s) | ST5 ADAS(开:11331.0s 加:107.0s 等前:0.0s 等后:36.5s) | ST6 ARHUD+慢充(开:11474.5s 加:51.5s 等前:0.0s 等后:63.0s) | ST7 转毂(开:11589.0s 加:114.5s 等前:0.0s 等后:0.0s) | ST8 制动(开:11703.5s 加:114.0s 等前:0.0s 等后:0.0s) | ST9 EG漏液/底盘漏液(开:11817.5s 加:112.5s 等前:0.0s 等后:0.0s) | ST10 全景/空调检查(开:11930.0s 加:0.0s 等前:0.0s 等后:1.5s) | ST11 气囊安装+绝缘(开:11931.5s 加:116.0s 等前:0.0s 等后:0.0s) | ST12 L2++(开:12047.5s 加:88.0s 等前:0.0s 等后:0.0s) | ST13 电检1(开:12135.5s 加:84.5s 等前:0.0s 等后:0.0s) | ST14 电检2(开:12220.0s 加:97.5s 等前:0.0s 等后:0.0s) | ST15 小跑道(开:12317.5s 加:50.0s 等前:0.0s 等后:0.0s)</t>
        </is>
      </c>
    </row>
    <row r="171">
      <c r="A171" s="15" t="n">
        <v>170</v>
      </c>
      <c r="B171" s="15" t="inlineStr">
        <is>
          <t>Car#171</t>
        </is>
      </c>
      <c r="C171" s="15" t="inlineStr">
        <is>
          <t>A</t>
        </is>
      </c>
      <c r="D171" s="16" t="n">
        <v>10986</v>
      </c>
      <c r="E171" s="16" t="n">
        <v>12418.5</v>
      </c>
      <c r="F171" s="16" t="n">
        <v>1432.5</v>
      </c>
      <c r="G171" s="16" t="n">
        <v>1697.5</v>
      </c>
      <c r="H171" s="15" t="inlineStr">
        <is>
          <t>Car#169</t>
        </is>
      </c>
      <c r="I171" s="16">
        <f>E171-E170</f>
        <v/>
      </c>
      <c r="J171" s="16">
        <f>I171-58</f>
        <v/>
      </c>
      <c r="K171" s="16">
        <f>MAX(0,J171)</f>
        <v/>
      </c>
      <c r="L171" s="16">
        <f>MAX(0,-J171)</f>
        <v/>
      </c>
      <c r="M171" s="16">
        <f>M170+I171</f>
        <v/>
      </c>
      <c r="N171" s="16">
        <f>D171+F171-E171</f>
        <v/>
      </c>
      <c r="O171" s="15" t="inlineStr">
        <is>
          <t>能力满足</t>
        </is>
      </c>
      <c r="P171" s="15" t="inlineStr">
        <is>
          <t>ST1 引取(开:10986.0s 加:55.0s 等前:1126.0s 等后:32.0s) | ST2 集约(开:11073.0s 加:106.0s 等前:0.0s 等后:14.5s) | ST3 空气悬挂+快充(开:11193.5s 加:0.0s 等前:0.0s 等后:137.5s) | ST4 四轮定位上、下(开:11331.0s 加:115.0s 等前:0.0s 等后:28.5s) | ST5 ADAS(开:11474.5s 加:97.0s 等前:0.0s 等后:17.5s) | ST6 ARHUD+慢充(开:11589.0s 加:0.0s 等前:0.0s 等后:114.5s) | ST7 转毂(开:11703.5s 加:116.0s 等前:0.0s 等后:0.0s) | ST8 制动(开:11819.5s 加:108.0s 等前:0.0s 等后:2.5s) | ST9 EG漏液/底盘漏液(开:11930.0s 加:115.0s 等前:0.0s 等后:0.0s) | ST10 全景/空调检查(开:12045.0s 加:98.0s 等前:0.0s 等后:0.0s) | ST11 气囊安装+绝缘(开:12143.0s 加:0.0s 等前:0.0s 等后:0.0s) | ST12 L2++(开:12143.0s 加:0.0s 等前:0.0s 等后:77.0s) | ST13 电检1(开:12220.0s 加:0.0s 等前:0.0s 等后:97.5s) | ST14 电检2(开:12317.5s 加:0.0s 等前:0.0s 等后:50.0s) | ST15 小跑道(开:12367.5s 加:51.0s 等前:0.0s 等后:0.0s)</t>
        </is>
      </c>
    </row>
    <row r="172">
      <c r="A172" s="13" t="n">
        <v>171</v>
      </c>
      <c r="B172" s="13" t="inlineStr">
        <is>
          <t>Car#170</t>
        </is>
      </c>
      <c r="C172" s="13" t="inlineStr">
        <is>
          <t>B</t>
        </is>
      </c>
      <c r="D172" s="14" t="n">
        <v>10930</v>
      </c>
      <c r="E172" s="14" t="n">
        <v>12468.5</v>
      </c>
      <c r="F172" s="14" t="n">
        <v>1538.5</v>
      </c>
      <c r="G172" s="14" t="n">
        <v>1335</v>
      </c>
      <c r="H172" s="13" t="inlineStr">
        <is>
          <t>Car#171</t>
        </is>
      </c>
      <c r="I172" s="14">
        <f>E172-E171</f>
        <v/>
      </c>
      <c r="J172" s="14">
        <f>I172-58</f>
        <v/>
      </c>
      <c r="K172" s="14">
        <f>MAX(0,J172)</f>
        <v/>
      </c>
      <c r="L172" s="14">
        <f>MAX(0,-J172)</f>
        <v/>
      </c>
      <c r="M172" s="14">
        <f>M171+I172</f>
        <v/>
      </c>
      <c r="N172" s="14">
        <f>D172+F172-E172</f>
        <v/>
      </c>
      <c r="O172" s="13" t="inlineStr">
        <is>
          <t>能力超目标：四轮定位上、下</t>
        </is>
      </c>
      <c r="P172" s="13" t="inlineStr">
        <is>
          <t>ST1 引取(开:10930.0s 加:56.0s 等前:1128.0s 等后:0.0s) | ST2 集约(开:10986.0s 加:111.0s 等前:0.0s 等后:0.0s) | ST3 空气悬挂+快充(开:11097.0s 加:108.5s 等前:0.0s 等后:7.0s) | ST4 四轮定位上、下(开:11212.5s 加:120.5s 等前:0.0s 等后:17.0s) | ST5 ADAS(开:11350.0s 加:107.0s 等前:0.0s 等后:36.5s) | ST6 ARHUD+慢充(开:11493.5s 加:51.5s 等前:0.0s 等后:63.0s) | ST7 转毂(开:11608.0s 加:114.5s 等前:0.0s 等后:0.0s) | ST8 制动(开:11722.5s 加:114.0s 等前:0.0s 等后:0.0s) | ST9 EG漏液/底盘漏液(开:11836.5s 加:112.5s 等前:0.0s 等后:0.0s) | ST10 全景/空调检查(开:11949.0s 加:0.0s 等前:0.0s 等后:1.5s) | ST11 气囊安装+绝缘(开:11950.5s 加:116.0s 等前:0.0s 等后:0.0s) | ST12 L2++(开:12066.5s 加:88.0s 等前:0.0s 等后:0.0s) | ST13 电检1(开:12154.5s 加:84.5s 等前:0.0s 等后:12.5s) | ST14 电检2(开:12251.5s 加:97.5s 等前:0.0s 等后:69.5s) | ST15 小跑道(开:12418.5s 加:50.0s 等前:0.0s 等后:0.0s)</t>
        </is>
      </c>
    </row>
    <row r="173">
      <c r="A173" s="15" t="n">
        <v>172</v>
      </c>
      <c r="B173" s="15" t="inlineStr">
        <is>
          <t>Car#172</t>
        </is>
      </c>
      <c r="C173" s="15" t="inlineStr">
        <is>
          <t>A</t>
        </is>
      </c>
      <c r="D173" s="16" t="n">
        <v>11073</v>
      </c>
      <c r="E173" s="16" t="n">
        <v>12519.5</v>
      </c>
      <c r="F173" s="16" t="n">
        <v>1446.5</v>
      </c>
      <c r="G173" s="16" t="n">
        <v>1740.5</v>
      </c>
      <c r="H173" s="15" t="inlineStr">
        <is>
          <t>Car#170</t>
        </is>
      </c>
      <c r="I173" s="16">
        <f>E173-E172</f>
        <v/>
      </c>
      <c r="J173" s="16">
        <f>I173-58</f>
        <v/>
      </c>
      <c r="K173" s="16">
        <f>MAX(0,J173)</f>
        <v/>
      </c>
      <c r="L173" s="16">
        <f>MAX(0,-J173)</f>
        <v/>
      </c>
      <c r="M173" s="16">
        <f>M172+I173</f>
        <v/>
      </c>
      <c r="N173" s="16">
        <f>D173+F173-E173</f>
        <v/>
      </c>
      <c r="O173" s="15" t="inlineStr">
        <is>
          <t>能力满足</t>
        </is>
      </c>
      <c r="P173" s="15" t="inlineStr">
        <is>
          <t>ST1 引取(开:11073.0s 加:55.0s 等前:1155.0s 等后:0.0s) | ST2 集约(开:11128.0s 加:106.0s 等前:0.0s 等后:0.0s) | ST3 空气悬挂+快充(开:11234.0s 加:0.0s 等前:0.0s 等后:116.0s) | ST4 四轮定位上、下(开:11350.0s 加:115.0s 等前:0.0s 等后:28.5s) | ST5 ADAS(开:11493.5s 加:97.0s 等前:0.0s 等后:17.5s) | ST6 ARHUD+慢充(开:11608.0s 加:0.0s 等前:0.0s 等后:114.5s) | ST7 转毂(开:11722.5s 加:116.0s 等前:0.0s 等后:0.0s) | ST8 制动(开:11838.5s 加:108.0s 等前:0.0s 等后:2.5s) | ST9 EG漏液/底盘漏液(开:11949.0s 加:115.0s 等前:0.0s 等后:0.0s) | ST10 全景/空调检查(开:12064.0s 加:98.0s 等前:0.0s 等后:0.0s) | ST11 气囊安装+绝缘(开:12162.0s 加:0.0s 等前:0.0s 等后:0.0s) | ST12 L2++(开:12162.0s 加:0.0s 等前:0.0s 等后:89.5s) | ST13 电检1(开:12251.5s 加:0.0s 等前:0.0s 等后:167.0s) | ST14 电检2(开:12418.5s 加:0.0s 等前:0.0s 等后:50.0s) | ST15 小跑道(开:12468.5s 加:51.0s 等前:0.0s 等后:0.0s)</t>
        </is>
      </c>
    </row>
    <row r="174">
      <c r="A174" s="13" t="n">
        <v>173</v>
      </c>
      <c r="B174" s="13" t="inlineStr">
        <is>
          <t>Car#173</t>
        </is>
      </c>
      <c r="C174" s="13" t="inlineStr">
        <is>
          <t>C</t>
        </is>
      </c>
      <c r="D174" s="14" t="n">
        <v>11128</v>
      </c>
      <c r="E174" s="14" t="n">
        <v>12624</v>
      </c>
      <c r="F174" s="14" t="n">
        <v>1496</v>
      </c>
      <c r="G174" s="14" t="n">
        <v>1224.5</v>
      </c>
      <c r="H174" s="13" t="inlineStr">
        <is>
          <t>Car#172</t>
        </is>
      </c>
      <c r="I174" s="14">
        <f>E174-E173</f>
        <v/>
      </c>
      <c r="J174" s="14">
        <f>I174-58</f>
        <v/>
      </c>
      <c r="K174" s="14">
        <f>MAX(0,J174)</f>
        <v/>
      </c>
      <c r="L174" s="14">
        <f>MAX(0,-J174)</f>
        <v/>
      </c>
      <c r="M174" s="14">
        <f>M173+I174</f>
        <v/>
      </c>
      <c r="N174" s="14">
        <f>D174+F174-E174</f>
        <v/>
      </c>
      <c r="O174" s="13" t="inlineStr">
        <is>
          <t>能力超目标：四轮定位上、下、ARHUD+慢充</t>
        </is>
      </c>
      <c r="P174" s="13" t="inlineStr">
        <is>
          <t>ST1 引取(开:11128.0s 加:56.0s 等前:1152.0s 等后:9.5s) | ST2 集约(开:11193.5s 加:111.0s 等前:0.0s 等后:26.5s) | ST3 空气悬挂+快充(开:11331.0s 加:108.5s 等前:0.0s 等后:35.0s) | ST4 四轮定位上、下(开:11474.5s 加:120.5s 等前:0.0s 等后:0.0s) | ST5 ADAS(开:11595.0s 加:107.0s 等前:0.0s 等后:1.5s) | ST6 ARHUD+慢充(开:11703.5s 加:143.5s 等前:0.0s 等后:0.0s) | ST7 转毂(开:11847.0s 加:114.5s 等前:0.0s 等后:0.0s) | ST8 制动(开:11961.5s 加:114.0s 等前:0.0s 等后:0.0s) | ST9 EG漏液/底盘漏液(开:12075.5s 加:112.5s 等前:0.0s 等后:0.0s) | ST10 全景/空调检查(开:12188.0s 加:0.0s 等前:0.0s 等后:0.0s) | ST11 气囊安装+绝缘(开:12188.0s 加:116.0s 等前:0.0s 等后:0.0s) | ST12 L2++(开:12304.0s 加:88.0s 等前:0.0s 等后:0.0s) | ST13 电检1(开:12392.0s 加:84.5s 等前:0.0s 等后:0.0s) | ST14 电检2(开:12476.5s 加:97.5s 等前:0.0s 等后:0.0s) | ST15 小跑道(开:12574.0s 加:50.0s 等前:0.0s 等后:0.0s)</t>
        </is>
      </c>
    </row>
    <row r="175">
      <c r="A175" s="15" t="n">
        <v>174</v>
      </c>
      <c r="B175" s="15" t="inlineStr">
        <is>
          <t>Car#174</t>
        </is>
      </c>
      <c r="C175" s="15" t="inlineStr">
        <is>
          <t>C</t>
        </is>
      </c>
      <c r="D175" s="16" t="n">
        <v>11193.5</v>
      </c>
      <c r="E175" s="16" t="n">
        <v>12674</v>
      </c>
      <c r="F175" s="16" t="n">
        <v>1480.5</v>
      </c>
      <c r="G175" s="16" t="n">
        <v>1216.5</v>
      </c>
      <c r="H175" s="15" t="inlineStr">
        <is>
          <t>Car#173</t>
        </is>
      </c>
      <c r="I175" s="16">
        <f>E175-E174</f>
        <v/>
      </c>
      <c r="J175" s="16">
        <f>I175-58</f>
        <v/>
      </c>
      <c r="K175" s="16">
        <f>MAX(0,J175)</f>
        <v/>
      </c>
      <c r="L175" s="16">
        <f>MAX(0,-J175)</f>
        <v/>
      </c>
      <c r="M175" s="16">
        <f>M174+I175</f>
        <v/>
      </c>
      <c r="N175" s="16">
        <f>D175+F175-E175</f>
        <v/>
      </c>
      <c r="O175" s="15" t="inlineStr">
        <is>
          <t>能力超目标：四轮定位上、下、ARHUD+慢充</t>
        </is>
      </c>
      <c r="P175" s="15" t="inlineStr">
        <is>
          <t>ST1 引取(开:11193.5s 加:56.0s 等前:1159.5s 等后:0.0s) | ST2 集约(开:11249.5s 加:111.0s 等前:0.0s 等后:0.0s) | ST3 空气悬挂+快充(开:11360.5s 加:108.5s 等前:0.0s 等后:24.5s) | ST4 四轮定位上、下(开:11493.5s 加:120.5s 等前:0.0s 等后:0.0s) | ST5 ADAS(开:11614.0s 加:107.0s 等前:0.0s 等后:1.5s) | ST6 ARHUD+慢充(开:11722.5s 加:143.5s 等前:0.0s 等后:0.0s) | ST7 转毂(开:11866.0s 加:114.5s 等前:0.0s 等后:0.0s) | ST8 制动(开:11980.5s 加:114.0s 等前:0.0s 等后:0.0s) | ST9 EG漏液/底盘漏液(开:12094.5s 加:112.5s 等前:0.0s 等后:0.0s) | ST10 全景/空调检查(开:12207.0s 加:0.0s 等前:0.0s 等后:0.0s) | ST11 气囊安装+绝缘(开:12207.0s 加:116.0s 等前:0.0s 等后:0.0s) | ST12 L2++(开:12323.0s 加:88.0s 等前:0.0s 等后:7.5s) | ST13 电检1(开:12418.5s 加:84.5s 等前:0.0s 等后:0.0s) | ST14 电检2(开:12503.0s 加:97.5s 等前:0.0s 等后:23.5s) | ST15 小跑道(开:12624.0s 加:50.0s 等前:0.0s 等后:0.0s)</t>
        </is>
      </c>
    </row>
    <row r="176">
      <c r="A176" s="13" t="n">
        <v>175</v>
      </c>
      <c r="B176" s="13" t="inlineStr">
        <is>
          <t>Car#175</t>
        </is>
      </c>
      <c r="C176" s="13" t="inlineStr">
        <is>
          <t>C</t>
        </is>
      </c>
      <c r="D176" s="14" t="n">
        <v>11249.5</v>
      </c>
      <c r="E176" s="14" t="n">
        <v>12767.5</v>
      </c>
      <c r="F176" s="14" t="n">
        <v>1518</v>
      </c>
      <c r="G176" s="14" t="n">
        <v>1252</v>
      </c>
      <c r="H176" s="13" t="inlineStr">
        <is>
          <t>Car#174</t>
        </is>
      </c>
      <c r="I176" s="14">
        <f>E176-E175</f>
        <v/>
      </c>
      <c r="J176" s="14">
        <f>I176-58</f>
        <v/>
      </c>
      <c r="K176" s="14">
        <f>MAX(0,J176)</f>
        <v/>
      </c>
      <c r="L176" s="14">
        <f>MAX(0,-J176)</f>
        <v/>
      </c>
      <c r="M176" s="14">
        <f>M175+I176</f>
        <v/>
      </c>
      <c r="N176" s="14">
        <f>D176+F176-E176</f>
        <v/>
      </c>
      <c r="O176" s="13" t="inlineStr">
        <is>
          <t>能力超目标：四轮定位上、下、ARHUD+慢充</t>
        </is>
      </c>
      <c r="P176" s="13" t="inlineStr">
        <is>
          <t>ST1 引取(开:11249.5s 加:56.0s 等前:1157.5s 等后:25.5s) | ST2 集约(开:11331.0s 加:111.0s 等前:0.0s 等后:32.5s) | ST3 空气悬挂+快充(开:11474.5s 加:108.5s 等前:0.0s 等后:12.0s) | ST4 四轮定位上、下(开:11595.0s 加:120.5s 等前:0.0s 等后:0.0s) | ST5 ADAS(开:11715.5s 加:107.0s 等前:0.0s 等后:24.5s) | ST6 ARHUD+慢充(开:11847.0s 加:143.5s 等前:0.0s 等后:0.0s) | ST7 转毂(开:11990.5s 加:114.5s 等前:0.0s 等后:0.0s) | ST8 制动(开:12105.0s 加:114.0s 等前:0.0s 等后:0.0s) | ST9 EG漏液/底盘漏液(开:12219.0s 加:112.5s 等前:0.0s 等后:0.0s) | ST10 全景/空调检查(开:12331.5s 加:0.0s 等前:0.0s 等后:0.0s) | ST11 气囊安装+绝缘(开:12331.5s 加:116.0s 等前:0.0s 等后:0.0s) | ST12 L2++(开:12447.5s 加:88.0s 等前:0.0s 等后:0.0s) | ST13 电检1(开:12535.5s 加:84.5s 等前:0.0s 等后:0.0s) | ST14 电检2(开:12620.0s 加:97.5s 等前:0.0s 等后:0.0s) | ST15 小跑道(开:12717.5s 加:50.0s 等前:0.0s 等后:0.0s)</t>
        </is>
      </c>
    </row>
    <row r="177">
      <c r="A177" s="15" t="n">
        <v>176</v>
      </c>
      <c r="B177" s="15" t="inlineStr">
        <is>
          <t>Car#176</t>
        </is>
      </c>
      <c r="C177" s="15" t="inlineStr">
        <is>
          <t>C</t>
        </is>
      </c>
      <c r="D177" s="16" t="n">
        <v>11331</v>
      </c>
      <c r="E177" s="16" t="n">
        <v>12817.5</v>
      </c>
      <c r="F177" s="16" t="n">
        <v>1486.5</v>
      </c>
      <c r="G177" s="16" t="n">
        <v>1244</v>
      </c>
      <c r="H177" s="15" t="inlineStr">
        <is>
          <t>Car#175</t>
        </is>
      </c>
      <c r="I177" s="16">
        <f>E177-E176</f>
        <v/>
      </c>
      <c r="J177" s="16">
        <f>I177-58</f>
        <v/>
      </c>
      <c r="K177" s="16">
        <f>MAX(0,J177)</f>
        <v/>
      </c>
      <c r="L177" s="16">
        <f>MAX(0,-J177)</f>
        <v/>
      </c>
      <c r="M177" s="16">
        <f>M176+I177</f>
        <v/>
      </c>
      <c r="N177" s="16">
        <f>D177+F177-E177</f>
        <v/>
      </c>
      <c r="O177" s="15" t="inlineStr">
        <is>
          <t>能力超目标：四轮定位上、下、ARHUD+慢充</t>
        </is>
      </c>
      <c r="P177" s="15" t="inlineStr">
        <is>
          <t>ST1 引取(开:11331.0s 加:56.0s 等前:1181.0s 等后:0.0s) | ST2 集约(开:11387.0s 加:111.0s 等前:0.0s 等后:0.0s) | ST3 空气悬挂+快充(开:11498.0s 加:108.5s 等前:0.0s 等后:7.5s) | ST4 四轮定位上、下(开:11614.0s 加:120.5s 等前:0.0s 等后:0.0s) | ST5 ADAS(开:11734.5s 加:107.0s 等前:0.0s 等后:24.5s) | ST6 ARHUD+慢充(开:11866.0s 加:143.5s 等前:0.0s 等后:0.0s) | ST7 转毂(开:12009.5s 加:114.5s 等前:0.0s 等后:0.0s) | ST8 制动(开:12124.0s 加:114.0s 等前:0.0s 等后:0.0s) | ST9 EG漏液/底盘漏液(开:12238.0s 加:112.5s 等前:0.0s 等后:0.0s) | ST10 全景/空调检查(开:12350.5s 加:0.0s 等前:0.0s 等后:0.0s) | ST11 气囊安装+绝缘(开:12350.5s 加:116.0s 等前:0.0s 等后:0.0s) | ST12 L2++(开:12466.5s 加:88.0s 等前:0.0s 等后:0.0s) | ST13 电检1(开:12554.5s 加:84.5s 等前:0.0s 等后:0.0s) | ST14 电检2(开:12639.0s 加:97.5s 等前:0.0s 等后:31.0s) | ST15 小跑道(开:12767.5s 加:50.0s 等前:0.0s 等后:0.0s)</t>
        </is>
      </c>
    </row>
    <row r="178">
      <c r="A178" s="13" t="n">
        <v>177</v>
      </c>
      <c r="B178" s="13" t="inlineStr">
        <is>
          <t>Car#177</t>
        </is>
      </c>
      <c r="C178" s="13" t="inlineStr">
        <is>
          <t>B</t>
        </is>
      </c>
      <c r="D178" s="14" t="n">
        <v>11387</v>
      </c>
      <c r="E178" s="14" t="n">
        <v>12883.5</v>
      </c>
      <c r="F178" s="14" t="n">
        <v>1496.5</v>
      </c>
      <c r="G178" s="14" t="n">
        <v>1344</v>
      </c>
      <c r="H178" s="13" t="inlineStr">
        <is>
          <t>Car#176</t>
        </is>
      </c>
      <c r="I178" s="14">
        <f>E178-E177</f>
        <v/>
      </c>
      <c r="J178" s="14">
        <f>I178-58</f>
        <v/>
      </c>
      <c r="K178" s="14">
        <f>MAX(0,J178)</f>
        <v/>
      </c>
      <c r="L178" s="14">
        <f>MAX(0,-J178)</f>
        <v/>
      </c>
      <c r="M178" s="14">
        <f>M177+I178</f>
        <v/>
      </c>
      <c r="N178" s="14">
        <f>D178+F178-E178</f>
        <v/>
      </c>
      <c r="O178" s="13" t="inlineStr">
        <is>
          <t>能力超目标：四轮定位上、下</t>
        </is>
      </c>
      <c r="P178" s="13" t="inlineStr">
        <is>
          <t>ST1 引取(开:11387.0s 加:56.0s 等前:1179.0s 等后:31.5s) | ST2 集约(开:11474.5s 加:111.0s 等前:0.0s 等后:9.5s) | ST3 空气悬挂+快充(开:11595.0s 加:108.5s 等前:0.0s 等后:12.0s) | ST4 四轮定位上、下(开:11715.5s 加:120.5s 等前:0.0s 等后:11.0s) | ST5 ADAS(开:11847.0s 加:107.0s 等前:0.0s 等后:36.5s) | ST6 ARHUD+慢充(开:11990.5s 加:51.5s 等前:0.0s 等后:63.0s) | ST7 转毂(开:12105.0s 加:114.5s 等前:0.0s 等后:0.0s) | ST8 制动(开:12219.5s 加:114.0s 等前:0.0s 等后:0.0s) | ST9 EG漏液/底盘漏液(开:12333.5s 加:112.5s 等前:0.0s 等后:0.0s) | ST10 全景/空调检查(开:12446.0s 加:0.0s 等前:0.0s 等后:1.5s) | ST11 气囊安装+绝缘(开:12447.5s 加:116.0s 等前:0.0s 等后:0.0s) | ST12 L2++(开:12563.5s 加:88.0s 等前:0.0s 等后:0.0s) | ST13 电检1(开:12651.5s 加:84.5s 等前:0.0s 等后:0.0s) | ST14 电检2(开:12736.0s 加:97.5s 等前:0.0s 等后:0.0s) | ST15 小跑道(开:12833.5s 加:50.0s 等前:0.0s 等后:0.0s)</t>
        </is>
      </c>
    </row>
    <row r="179">
      <c r="A179" s="15" t="n">
        <v>178</v>
      </c>
      <c r="B179" s="15" t="inlineStr">
        <is>
          <t>Car#179</t>
        </is>
      </c>
      <c r="C179" s="15" t="inlineStr">
        <is>
          <t>A</t>
        </is>
      </c>
      <c r="D179" s="16" t="n">
        <v>11530.5</v>
      </c>
      <c r="E179" s="16" t="n">
        <v>12934.5</v>
      </c>
      <c r="F179" s="16" t="n">
        <v>1404</v>
      </c>
      <c r="G179" s="16" t="n">
        <v>1749.5</v>
      </c>
      <c r="H179" s="15" t="inlineStr">
        <is>
          <t>Car#177</t>
        </is>
      </c>
      <c r="I179" s="16">
        <f>E179-E178</f>
        <v/>
      </c>
      <c r="J179" s="16">
        <f>I179-58</f>
        <v/>
      </c>
      <c r="K179" s="16">
        <f>MAX(0,J179)</f>
        <v/>
      </c>
      <c r="L179" s="16">
        <f>MAX(0,-J179)</f>
        <v/>
      </c>
      <c r="M179" s="16">
        <f>M178+I179</f>
        <v/>
      </c>
      <c r="N179" s="16">
        <f>D179+F179-E179</f>
        <v/>
      </c>
      <c r="O179" s="15" t="inlineStr">
        <is>
          <t>能力满足</t>
        </is>
      </c>
      <c r="P179" s="15" t="inlineStr">
        <is>
          <t>ST1 引取(开:11530.5s 加:55.0s 等前:1206.5s 等后:9.5s) | ST2 集约(开:11595.0s 加:106.0s 等前:0.0s 等后:14.5s) | ST3 空气悬挂+快充(开:11715.5s 加:0.0s 等前:0.0s 等后:131.5s) | ST4 四轮定位上、下(开:11847.0s 加:115.0s 等前:0.0s 等后:28.5s) | ST5 ADAS(开:11990.5s 加:97.0s 等前:0.0s 等后:17.5s) | ST6 ARHUD+慢充(开:12105.0s 加:0.0s 等前:0.0s 等后:114.5s) | ST7 转毂(开:12219.5s 加:116.0s 等前:0.0s 等后:0.0s) | ST8 制动(开:12335.5s 加:108.0s 等前:0.0s 等后:2.5s) | ST9 EG漏液/底盘漏液(开:12446.0s 加:115.0s 等前:0.0s 等后:0.0s) | ST10 全景/空调检查(开:12561.0s 加:98.0s 等前:0.0s 等后:0.0s) | ST11 气囊安装+绝缘(开:12659.0s 加:0.0s 等前:0.0s 等后:0.0s) | ST12 L2++(开:12659.0s 加:0.0s 等前:0.0s 等后:77.0s) | ST13 电检1(开:12736.0s 加:0.0s 等前:0.0s 等后:97.5s) | ST14 电检2(开:12833.5s 加:0.0s 等前:0.0s 等后:50.0s) | ST15 小跑道(开:12883.5s 加:51.0s 等前:0.0s 等后:0.0s)</t>
        </is>
      </c>
    </row>
    <row r="180">
      <c r="A180" s="13" t="n">
        <v>179</v>
      </c>
      <c r="B180" s="13" t="inlineStr">
        <is>
          <t>Car#178</t>
        </is>
      </c>
      <c r="C180" s="13" t="inlineStr">
        <is>
          <t>B</t>
        </is>
      </c>
      <c r="D180" s="14" t="n">
        <v>11474.5</v>
      </c>
      <c r="E180" s="14" t="n">
        <v>12984.5</v>
      </c>
      <c r="F180" s="14" t="n">
        <v>1510</v>
      </c>
      <c r="G180" s="14" t="n">
        <v>1387</v>
      </c>
      <c r="H180" s="13" t="inlineStr">
        <is>
          <t>Car#179</t>
        </is>
      </c>
      <c r="I180" s="14">
        <f>E180-E179</f>
        <v/>
      </c>
      <c r="J180" s="14">
        <f>I180-58</f>
        <v/>
      </c>
      <c r="K180" s="14">
        <f>MAX(0,J180)</f>
        <v/>
      </c>
      <c r="L180" s="14">
        <f>MAX(0,-J180)</f>
        <v/>
      </c>
      <c r="M180" s="14">
        <f>M179+I180</f>
        <v/>
      </c>
      <c r="N180" s="14">
        <f>D180+F180-E180</f>
        <v/>
      </c>
      <c r="O180" s="13" t="inlineStr">
        <is>
          <t>能力超目标：四轮定位上、下</t>
        </is>
      </c>
      <c r="P180" s="13" t="inlineStr">
        <is>
          <t>ST1 引取(开:11474.5s 加:56.0s 等前:1208.5s 等后:0.0s) | ST2 集约(开:11530.5s 加:111.0s 等前:0.0s 等后:0.0s) | ST3 空气悬挂+快充(开:11641.5s 加:108.5s 等前:0.0s 等后:0.0s) | ST4 四轮定位上、下(开:11750.0s 加:120.5s 等前:0.0s 等后:0.0s) | ST5 ADAS(开:11870.5s 加:107.0s 等前:0.0s 等后:32.0s) | ST6 ARHUD+慢充(开:12009.5s 加:51.5s 等前:0.0s 等后:63.0s) | ST7 转毂(开:12124.0s 加:114.5s 等前:0.0s 等后:0.0s) | ST8 制动(开:12238.5s 加:114.0s 等前:0.0s 等后:0.0s) | ST9 EG漏液/底盘漏液(开:12352.5s 加:112.5s 等前:0.0s 等后:0.0s) | ST10 全景/空调检查(开:12465.0s 加:0.0s 等前:0.0s 等后:1.5s) | ST11 气囊安装+绝缘(开:12466.5s 加:116.0s 等前:0.0s 等后:0.0s) | ST12 L2++(开:12582.5s 加:88.0s 等前:0.0s 等后:0.0s) | ST13 电检1(开:12670.5s 加:84.5s 等前:0.0s 等后:12.5s) | ST14 电检2(开:12767.5s 加:97.5s 等前:0.0s 等后:69.5s) | ST15 小跑道(开:12934.5s 加:50.0s 等前:0.0s 等后:0.0s)</t>
        </is>
      </c>
    </row>
    <row r="181">
      <c r="A181" s="15" t="n">
        <v>180</v>
      </c>
      <c r="B181" s="15" t="inlineStr">
        <is>
          <t>Car#180</t>
        </is>
      </c>
      <c r="C181" s="15" t="inlineStr">
        <is>
          <t>A</t>
        </is>
      </c>
      <c r="D181" s="16" t="n">
        <v>11595</v>
      </c>
      <c r="E181" s="16" t="n">
        <v>13035.5</v>
      </c>
      <c r="F181" s="16" t="n">
        <v>1440.5</v>
      </c>
      <c r="G181" s="16" t="n">
        <v>1792.5</v>
      </c>
      <c r="H181" s="15" t="inlineStr">
        <is>
          <t>Car#178</t>
        </is>
      </c>
      <c r="I181" s="16">
        <f>E181-E180</f>
        <v/>
      </c>
      <c r="J181" s="16">
        <f>I181-58</f>
        <v/>
      </c>
      <c r="K181" s="16">
        <f>MAX(0,J181)</f>
        <v/>
      </c>
      <c r="L181" s="16">
        <f>MAX(0,-J181)</f>
        <v/>
      </c>
      <c r="M181" s="16">
        <f>M180+I181</f>
        <v/>
      </c>
      <c r="N181" s="16">
        <f>D181+F181-E181</f>
        <v/>
      </c>
      <c r="O181" s="15" t="inlineStr">
        <is>
          <t>能力满足</t>
        </is>
      </c>
      <c r="P181" s="15" t="inlineStr">
        <is>
          <t>ST1 引取(开:11595.0s 加:55.0s 等前:1213.0s 等后:0.0s) | ST2 集约(开:11650.0s 加:106.0s 等前:0.0s 等后:0.0s) | ST3 空气悬挂+快充(开:11756.0s 加:0.0s 等前:0.0s 等后:114.5s) | ST4 四轮定位上、下(开:11870.5s 加:115.0s 等前:0.0s 等后:24.0s) | ST5 ADAS(开:12009.5s 加:97.0s 等前:0.0s 等后:17.5s) | ST6 ARHUD+慢充(开:12124.0s 加:0.0s 等前:0.0s 等后:114.5s) | ST7 转毂(开:12238.5s 加:116.0s 等前:0.0s 等后:0.0s) | ST8 制动(开:12354.5s 加:108.0s 等前:0.0s 等后:2.5s) | ST9 EG漏液/底盘漏液(开:12465.0s 加:115.0s 等前:0.0s 等后:0.0s) | ST10 全景/空调检查(开:12580.0s 加:98.0s 等前:0.0s 等后:0.0s) | ST11 气囊安装+绝缘(开:12678.0s 加:0.0s 等前:0.0s 等后:0.0s) | ST12 L2++(开:12678.0s 加:0.0s 等前:0.0s 等后:89.5s) | ST13 电检1(开:12767.5s 加:0.0s 等前:0.0s 等后:167.0s) | ST14 电检2(开:12934.5s 加:0.0s 等前:0.0s 等后:50.0s) | ST15 小跑道(开:12984.5s 加:51.0s 等前:0.0s 等后:0.0s)</t>
        </is>
      </c>
    </row>
    <row r="182">
      <c r="A182" s="13" t="n">
        <v>181</v>
      </c>
      <c r="B182" s="13" t="inlineStr">
        <is>
          <t>Car#181</t>
        </is>
      </c>
      <c r="C182" s="13" t="inlineStr">
        <is>
          <t>C</t>
        </is>
      </c>
      <c r="D182" s="14" t="n">
        <v>11650</v>
      </c>
      <c r="E182" s="14" t="n">
        <v>13140</v>
      </c>
      <c r="F182" s="14" t="n">
        <v>1490</v>
      </c>
      <c r="G182" s="14" t="n">
        <v>1276.5</v>
      </c>
      <c r="H182" s="13" t="inlineStr">
        <is>
          <t>Car#180</t>
        </is>
      </c>
      <c r="I182" s="14">
        <f>E182-E181</f>
        <v/>
      </c>
      <c r="J182" s="14">
        <f>I182-58</f>
        <v/>
      </c>
      <c r="K182" s="14">
        <f>MAX(0,J182)</f>
        <v/>
      </c>
      <c r="L182" s="14">
        <f>MAX(0,-J182)</f>
        <v/>
      </c>
      <c r="M182" s="14">
        <f>M181+I182</f>
        <v/>
      </c>
      <c r="N182" s="14">
        <f>D182+F182-E182</f>
        <v/>
      </c>
      <c r="O182" s="13" t="inlineStr">
        <is>
          <t>能力超目标：四轮定位上、下、ARHUD+慢充</t>
        </is>
      </c>
      <c r="P182" s="13" t="inlineStr">
        <is>
          <t>ST1 引取(开:11650.0s 加:56.0s 等前:1210.0s 等后:9.5s) | ST2 集约(开:11715.5s 加:111.0s 等前:0.0s 等后:20.5s) | ST3 空气悬挂+快充(开:11847.0s 加:108.5s 等前:0.0s 等后:35.0s) | ST4 四轮定位上、下(开:11990.5s 加:120.5s 等前:0.0s 等后:0.0s) | ST5 ADAS(开:12111.0s 加:107.0s 等前:0.0s 等后:1.5s) | ST6 ARHUD+慢充(开:12219.5s 加:143.5s 等前:0.0s 等后:0.0s) | ST7 转毂(开:12363.0s 加:114.5s 等前:0.0s 等后:0.0s) | ST8 制动(开:12477.5s 加:114.0s 等前:0.0s 等后:0.0s) | ST9 EG漏液/底盘漏液(开:12591.5s 加:112.5s 等前:0.0s 等后:0.0s) | ST10 全景/空调检查(开:12704.0s 加:0.0s 等前:0.0s 等后:0.0s) | ST11 气囊安装+绝缘(开:12704.0s 加:116.0s 等前:0.0s 等后:0.0s) | ST12 L2++(开:12820.0s 加:88.0s 等前:0.0s 等后:0.0s) | ST13 电检1(开:12908.0s 加:84.5s 等前:0.0s 等后:0.0s) | ST14 电检2(开:12992.5s 加:97.5s 等前:0.0s 等后:0.0s) | ST15 小跑道(开:13090.0s 加:50.0s 等前:0.0s 等后:0.0s)</t>
        </is>
      </c>
    </row>
    <row r="183">
      <c r="A183" s="15" t="n">
        <v>182</v>
      </c>
      <c r="B183" s="15" t="inlineStr">
        <is>
          <t>Car#182</t>
        </is>
      </c>
      <c r="C183" s="15" t="inlineStr">
        <is>
          <t>C</t>
        </is>
      </c>
      <c r="D183" s="16" t="n">
        <v>11715.5</v>
      </c>
      <c r="E183" s="16" t="n">
        <v>13190</v>
      </c>
      <c r="F183" s="16" t="n">
        <v>1474.5</v>
      </c>
      <c r="G183" s="16" t="n">
        <v>1268.5</v>
      </c>
      <c r="H183" s="15" t="inlineStr">
        <is>
          <t>Car#181</t>
        </is>
      </c>
      <c r="I183" s="16">
        <f>E183-E182</f>
        <v/>
      </c>
      <c r="J183" s="16">
        <f>I183-58</f>
        <v/>
      </c>
      <c r="K183" s="16">
        <f>MAX(0,J183)</f>
        <v/>
      </c>
      <c r="L183" s="16">
        <f>MAX(0,-J183)</f>
        <v/>
      </c>
      <c r="M183" s="16">
        <f>M182+I183</f>
        <v/>
      </c>
      <c r="N183" s="16">
        <f>D183+F183-E183</f>
        <v/>
      </c>
      <c r="O183" s="15" t="inlineStr">
        <is>
          <t>能力超目标：四轮定位上、下、ARHUD+慢充</t>
        </is>
      </c>
      <c r="P183" s="15" t="inlineStr">
        <is>
          <t>ST1 引取(开:11715.5s 加:56.0s 等前:1217.5s 等后:0.0s) | ST2 集约(开:11771.5s 加:111.0s 等前:0.0s 等后:0.0s) | ST3 空气悬挂+快充(开:11882.5s 加:108.5s 等前:0.0s 等后:18.5s) | ST4 四轮定位上、下(开:12009.5s 加:120.5s 等前:0.0s 等后:0.0s) | ST5 ADAS(开:12130.0s 加:107.0s 等前:0.0s 等后:1.5s) | ST6 ARHUD+慢充(开:12238.5s 加:143.5s 等前:0.0s 等后:0.0s) | ST7 转毂(开:12382.0s 加:114.5s 等前:0.0s 等后:0.0s) | ST8 制动(开:12496.5s 加:114.0s 等前:0.0s 等后:0.0s) | ST9 EG漏液/底盘漏液(开:12610.5s 加:112.5s 等前:0.0s 等后:0.0s) | ST10 全景/空调检查(开:12723.0s 加:0.0s 等前:0.0s 等后:0.0s) | ST11 气囊安装+绝缘(开:12723.0s 加:116.0s 等前:0.0s 等后:0.0s) | ST12 L2++(开:12839.0s 加:88.0s 等前:0.0s 等后:7.5s) | ST13 电检1(开:12934.5s 加:84.5s 等前:0.0s 等后:0.0s) | ST14 电检2(开:13019.0s 加:97.5s 等前:0.0s 等后:23.5s) | ST15 小跑道(开:13140.0s 加:50.0s 等前:0.0s 等后:0.0s)</t>
        </is>
      </c>
    </row>
    <row r="184">
      <c r="A184" s="13" t="n">
        <v>183</v>
      </c>
      <c r="B184" s="13" t="inlineStr">
        <is>
          <t>Car#183</t>
        </is>
      </c>
      <c r="C184" s="13" t="inlineStr">
        <is>
          <t>C</t>
        </is>
      </c>
      <c r="D184" s="14" t="n">
        <v>11771.5</v>
      </c>
      <c r="E184" s="14" t="n">
        <v>13283.5</v>
      </c>
      <c r="F184" s="14" t="n">
        <v>1512</v>
      </c>
      <c r="G184" s="14" t="n">
        <v>1304</v>
      </c>
      <c r="H184" s="13" t="inlineStr">
        <is>
          <t>Car#182</t>
        </is>
      </c>
      <c r="I184" s="14">
        <f>E184-E183</f>
        <v/>
      </c>
      <c r="J184" s="14">
        <f>I184-58</f>
        <v/>
      </c>
      <c r="K184" s="14">
        <f>MAX(0,J184)</f>
        <v/>
      </c>
      <c r="L184" s="14">
        <f>MAX(0,-J184)</f>
        <v/>
      </c>
      <c r="M184" s="14">
        <f>M183+I184</f>
        <v/>
      </c>
      <c r="N184" s="14">
        <f>D184+F184-E184</f>
        <v/>
      </c>
      <c r="O184" s="13" t="inlineStr">
        <is>
          <t>能力超目标：四轮定位上、下、ARHUD+慢充</t>
        </is>
      </c>
      <c r="P184" s="13" t="inlineStr">
        <is>
          <t>ST1 引取(开:11771.5s 加:56.0s 等前:1215.5s 等后:19.5s) | ST2 集约(开:11847.0s 加:111.0s 等前:0.0s 等后:32.5s) | ST3 空气悬挂+快充(开:11990.5s 加:108.5s 等前:0.0s 等后:12.0s) | ST4 四轮定位上、下(开:12111.0s 加:120.5s 等前:0.0s 等后:0.0s) | ST5 ADAS(开:12231.5s 加:107.0s 等前:0.0s 等后:24.5s) | ST6 ARHUD+慢充(开:12363.0s 加:143.5s 等前:0.0s 等后:0.0s) | ST7 转毂(开:12506.5s 加:114.5s 等前:0.0s 等后:0.0s) | ST8 制动(开:12621.0s 加:114.0s 等前:0.0s 等后:0.0s) | ST9 EG漏液/底盘漏液(开:12735.0s 加:112.5s 等前:0.0s 等后:0.0s) | ST10 全景/空调检查(开:12847.5s 加:0.0s 等前:0.0s 等后:0.0s) | ST11 气囊安装+绝缘(开:12847.5s 加:116.0s 等前:0.0s 等后:0.0s) | ST12 L2++(开:12963.5s 加:88.0s 等前:0.0s 等后:0.0s) | ST13 电检1(开:13051.5s 加:84.5s 等前:0.0s 等后:0.0s) | ST14 电检2(开:13136.0s 加:97.5s 等前:0.0s 等后:0.0s) | ST15 小跑道(开:13233.5s 加:50.0s 等前:0.0s 等后:0.0s)</t>
        </is>
      </c>
    </row>
    <row r="185">
      <c r="A185" s="15" t="n">
        <v>184</v>
      </c>
      <c r="B185" s="15" t="inlineStr">
        <is>
          <t>Car#184</t>
        </is>
      </c>
      <c r="C185" s="15" t="inlineStr">
        <is>
          <t>B</t>
        </is>
      </c>
      <c r="D185" s="16" t="n">
        <v>11847</v>
      </c>
      <c r="E185" s="16" t="n">
        <v>13333.5</v>
      </c>
      <c r="F185" s="16" t="n">
        <v>1486.5</v>
      </c>
      <c r="G185" s="16" t="n">
        <v>1388</v>
      </c>
      <c r="H185" s="15" t="inlineStr">
        <is>
          <t>Car#183</t>
        </is>
      </c>
      <c r="I185" s="16">
        <f>E185-E184</f>
        <v/>
      </c>
      <c r="J185" s="16">
        <f>I185-58</f>
        <v/>
      </c>
      <c r="K185" s="16">
        <f>MAX(0,J185)</f>
        <v/>
      </c>
      <c r="L185" s="16">
        <f>MAX(0,-J185)</f>
        <v/>
      </c>
      <c r="M185" s="16">
        <f>M184+I185</f>
        <v/>
      </c>
      <c r="N185" s="16">
        <f>D185+F185-E185</f>
        <v/>
      </c>
      <c r="O185" s="15" t="inlineStr">
        <is>
          <t>能力超目标：四轮定位上、下</t>
        </is>
      </c>
      <c r="P185" s="15" t="inlineStr">
        <is>
          <t>ST1 引取(开:11847.0s 加:56.0s 等前:1233.0s 等后:0.0s) | ST2 集约(开:11903.0s 加:111.0s 等前:0.0s 等后:0.0s) | ST3 空气悬挂+快充(开:12014.0s 加:108.5s 等前:0.0s 等后:7.5s) | ST4 四轮定位上、下(开:12130.0s 加:120.5s 等前:0.0s 等后:0.0s) | ST5 ADAS(开:12250.5s 加:107.0s 等前:0.0s 等后:24.5s) | ST6 ARHUD+慢充(开:12382.0s 加:51.5s 等前:0.0s 等后:63.0s) | ST7 转毂(开:12496.5s 加:114.5s 等前:0.0s 等后:0.0s) | ST8 制动(开:12611.0s 加:114.0s 等前:0.0s 等后:0.0s) | ST9 EG漏液/底盘漏液(开:12725.0s 加:112.5s 等前:0.0s 等后:0.0s) | ST10 全景/空调检查(开:12837.5s 加:0.0s 等前:0.0s 等后:1.5s) | ST11 气囊安装+绝缘(开:12839.0s 加:116.0s 等前:0.0s 等后:0.0s) | ST12 L2++(开:12955.0s 加:88.0s 等前:0.0s 等后:0.0s) | ST13 电检1(开:13043.0s 加:84.5s 等前:0.0s 等后:12.5s) | ST14 电检2(开:13140.0s 加:97.5s 等前:0.0s 等后:46.0s) | ST15 小跑道(开:13283.5s 加:50.0s 等前:0.0s 等后:0.0s)</t>
        </is>
      </c>
    </row>
    <row r="186">
      <c r="A186" s="13" t="n">
        <v>185</v>
      </c>
      <c r="B186" s="13" t="inlineStr">
        <is>
          <t>Car#185</t>
        </is>
      </c>
      <c r="C186" s="13" t="inlineStr">
        <is>
          <t>B</t>
        </is>
      </c>
      <c r="D186" s="14" t="n">
        <v>11903</v>
      </c>
      <c r="E186" s="14" t="n">
        <v>13399.5</v>
      </c>
      <c r="F186" s="14" t="n">
        <v>1496.5</v>
      </c>
      <c r="G186" s="14" t="n">
        <v>1396</v>
      </c>
      <c r="H186" s="13" t="inlineStr">
        <is>
          <t>Car#184</t>
        </is>
      </c>
      <c r="I186" s="14">
        <f>E186-E185</f>
        <v/>
      </c>
      <c r="J186" s="14">
        <f>I186-58</f>
        <v/>
      </c>
      <c r="K186" s="14">
        <f>MAX(0,J186)</f>
        <v/>
      </c>
      <c r="L186" s="14">
        <f>MAX(0,-J186)</f>
        <v/>
      </c>
      <c r="M186" s="14">
        <f>M185+I186</f>
        <v/>
      </c>
      <c r="N186" s="14">
        <f>D186+F186-E186</f>
        <v/>
      </c>
      <c r="O186" s="13" t="inlineStr">
        <is>
          <t>能力超目标：四轮定位上、下</t>
        </is>
      </c>
      <c r="P186" s="13" t="inlineStr">
        <is>
          <t>ST1 引取(开:11903.0s 加:56.0s 等前:1231.0s 等后:31.5s) | ST2 集约(开:11990.5s 加:111.0s 等前:0.0s 等后:9.5s) | ST3 空气悬挂+快充(开:12111.0s 加:108.5s 等前:0.0s 等后:12.0s) | ST4 四轮定位上、下(开:12231.5s 加:120.5s 等前:0.0s 等后:11.0s) | ST5 ADAS(开:12363.0s 加:107.0s 等前:0.0s 等后:36.5s) | ST6 ARHUD+慢充(开:12506.5s 加:51.5s 等前:0.0s 等后:63.0s) | ST7 转毂(开:12621.0s 加:114.5s 等前:0.0s 等后:0.0s) | ST8 制动(开:12735.5s 加:114.0s 等前:0.0s 等后:0.0s) | ST9 EG漏液/底盘漏液(开:12849.5s 加:112.5s 等前:0.0s 等后:0.0s) | ST10 全景/空调检查(开:12962.0s 加:0.0s 等前:0.0s 等后:1.5s) | ST11 气囊安装+绝缘(开:12963.5s 加:116.0s 等前:0.0s 等后:0.0s) | ST12 L2++(开:13079.5s 加:88.0s 等前:0.0s 等后:0.0s) | ST13 电检1(开:13167.5s 加:84.5s 等前:0.0s 等后:0.0s) | ST14 电检2(开:13252.0s 加:97.5s 等前:0.0s 等后:0.0s) | ST15 小跑道(开:13349.5s 加:50.0s 等前:0.0s 等后:0.0s)</t>
        </is>
      </c>
    </row>
    <row r="187">
      <c r="A187" s="15" t="n">
        <v>186</v>
      </c>
      <c r="B187" s="15" t="inlineStr">
        <is>
          <t>Car#186</t>
        </is>
      </c>
      <c r="C187" s="15" t="inlineStr">
        <is>
          <t>B</t>
        </is>
      </c>
      <c r="D187" s="16" t="n">
        <v>11990.5</v>
      </c>
      <c r="E187" s="16" t="n">
        <v>13449.5</v>
      </c>
      <c r="F187" s="16" t="n">
        <v>1459</v>
      </c>
      <c r="G187" s="16" t="n">
        <v>1388</v>
      </c>
      <c r="H187" s="15" t="inlineStr">
        <is>
          <t>Car#185</t>
        </is>
      </c>
      <c r="I187" s="16">
        <f>E187-E186</f>
        <v/>
      </c>
      <c r="J187" s="16">
        <f>I187-58</f>
        <v/>
      </c>
      <c r="K187" s="16">
        <f>MAX(0,J187)</f>
        <v/>
      </c>
      <c r="L187" s="16">
        <f>MAX(0,-J187)</f>
        <v/>
      </c>
      <c r="M187" s="16">
        <f>M186+I187</f>
        <v/>
      </c>
      <c r="N187" s="16">
        <f>D187+F187-E187</f>
        <v/>
      </c>
      <c r="O187" s="15" t="inlineStr">
        <is>
          <t>能力超目标：四轮定位上、下</t>
        </is>
      </c>
      <c r="P187" s="15" t="inlineStr">
        <is>
          <t>ST1 引取(开:11990.5s 加:56.0s 等前:1260.5s 等后:0.0s) | ST2 集约(开:12046.5s 加:111.0s 等前:0.0s 等后:0.0s) | ST3 空气悬挂+快充(开:12157.5s 加:108.5s 等前:0.0s 等后:0.0s) | ST4 四轮定位上、下(开:12266.0s 加:120.5s 等前:0.0s 等后:0.0s) | ST5 ADAS(开:12386.5s 加:107.0s 等前:0.0s 等后:3.0s) | ST6 ARHUD+慢充(开:12496.5s 加:51.5s 等前:0.0s 等后:63.0s) | ST7 转毂(开:12611.0s 加:114.5s 等前:0.0s 等后:0.0s) | ST8 制动(开:12725.5s 加:114.0s 等前:0.0s 等后:0.0s) | ST9 EG漏液/底盘漏液(开:12839.5s 加:112.5s 等前:0.0s 等后:0.0s) | ST10 全景/空调检查(开:12952.0s 加:0.0s 等前:0.0s 等后:3.0s) | ST11 气囊安装+绝缘(开:12955.0s 加:116.0s 等前:0.0s 等后:0.0s) | ST12 L2++(开:13071.0s 加:88.0s 等前:0.0s 等后:0.0s) | ST13 电检1(开:13159.0s 加:84.5s 等前:0.0s 等后:40.0s) | ST14 电检2(开:13283.5s 加:97.5s 等前:0.0s 等后:18.5s) | ST15 小跑道(开:13399.5s 加:50.0s 等前:0.0s 等后:0.0s)</t>
        </is>
      </c>
    </row>
    <row r="188">
      <c r="A188" s="13" t="n">
        <v>187</v>
      </c>
      <c r="B188" s="13" t="inlineStr">
        <is>
          <t>Car#188</t>
        </is>
      </c>
      <c r="C188" s="13" t="inlineStr">
        <is>
          <t>A</t>
        </is>
      </c>
      <c r="D188" s="14" t="n">
        <v>12111</v>
      </c>
      <c r="E188" s="14" t="n">
        <v>13500.5</v>
      </c>
      <c r="F188" s="14" t="n">
        <v>1389.5</v>
      </c>
      <c r="G188" s="14" t="n">
        <v>1793.5</v>
      </c>
      <c r="H188" s="13" t="inlineStr">
        <is>
          <t>Car#186</t>
        </is>
      </c>
      <c r="I188" s="14">
        <f>E188-E187</f>
        <v/>
      </c>
      <c r="J188" s="14">
        <f>I188-58</f>
        <v/>
      </c>
      <c r="K188" s="14">
        <f>MAX(0,J188)</f>
        <v/>
      </c>
      <c r="L188" s="14">
        <f>MAX(0,-J188)</f>
        <v/>
      </c>
      <c r="M188" s="14">
        <f>M187+I188</f>
        <v/>
      </c>
      <c r="N188" s="14">
        <f>D188+F188-E188</f>
        <v/>
      </c>
      <c r="O188" s="13" t="inlineStr">
        <is>
          <t>能力满足</t>
        </is>
      </c>
      <c r="P188" s="13" t="inlineStr">
        <is>
          <t>ST1 引取(开:12111.0s 加:55.0s 等前:1265.0s 等后:0.0s) | ST2 集约(开:12166.0s 加:106.0s 等前:0.0s 等后:0.0s) | ST3 空气悬挂+快充(开:12272.0s 加:0.0s 等前:0.0s 等后:114.5s) | ST4 四轮定位上、下(开:12386.5s 加:115.0s 等前:0.0s 等后:0.0s) | ST5 ADAS(开:12501.5s 加:97.0s 等前:0.0s 等后:12.5s) | ST6 ARHUD+慢充(开:12611.0s 加:0.0s 等前:0.0s 等后:114.5s) | ST7 转毂(开:12725.5s 加:116.0s 等前:0.0s 等后:0.0s) | ST8 制动(开:12841.5s 加:108.0s 等前:0.0s 等后:2.5s) | ST9 EG漏液/底盘漏液(开:12952.0s 加:115.0s 等前:0.0s 等后:0.0s) | ST10 全景/空调检查(开:13067.0s 加:98.0s 等前:0.0s 等后:0.0s) | ST11 气囊安装+绝缘(开:13165.0s 加:0.0s 等前:0.0s 等后:0.0s) | ST12 L2++(开:13165.0s 加:0.0s 等前:0.0s 等后:118.5s) | ST13 电检1(开:13283.5s 加:0.0s 等前:0.0s 等后:116.0s) | ST14 电检2(开:13399.5s 加:0.0s 等前:0.0s 等后:50.0s) | ST15 小跑道(开:13449.5s 加:51.0s 等前:0.0s 等后:0.0s)</t>
        </is>
      </c>
    </row>
    <row r="189">
      <c r="A189" s="15" t="n">
        <v>188</v>
      </c>
      <c r="B189" s="15" t="inlineStr">
        <is>
          <t>Car#187</t>
        </is>
      </c>
      <c r="C189" s="15" t="inlineStr">
        <is>
          <t>C</t>
        </is>
      </c>
      <c r="D189" s="16" t="n">
        <v>12046.5</v>
      </c>
      <c r="E189" s="16" t="n">
        <v>13550.5</v>
      </c>
      <c r="F189" s="16" t="n">
        <v>1504</v>
      </c>
      <c r="G189" s="16" t="n">
        <v>1339</v>
      </c>
      <c r="H189" s="15" t="inlineStr">
        <is>
          <t>Car#188</t>
        </is>
      </c>
      <c r="I189" s="16">
        <f>E189-E188</f>
        <v/>
      </c>
      <c r="J189" s="16">
        <f>I189-58</f>
        <v/>
      </c>
      <c r="K189" s="16">
        <f>MAX(0,J189)</f>
        <v/>
      </c>
      <c r="L189" s="16">
        <f>MAX(0,-J189)</f>
        <v/>
      </c>
      <c r="M189" s="16">
        <f>M188+I189</f>
        <v/>
      </c>
      <c r="N189" s="16">
        <f>D189+F189-E189</f>
        <v/>
      </c>
      <c r="O189" s="15" t="inlineStr">
        <is>
          <t>能力超目标：四轮定位上、下、ARHUD+慢充</t>
        </is>
      </c>
      <c r="P189" s="15" t="inlineStr">
        <is>
          <t>ST1 引取(开:12046.5s 加:56.0s 等前:1258.5s 等后:8.5s) | ST2 集约(开:12111.0s 加:111.0s 等前:0.0s 等后:9.5s) | ST3 空气悬挂+快充(开:12231.5s 加:108.5s 等前:0.0s 等后:23.0s) | ST4 四轮定位上、下(开:12363.0s 加:120.5s 等前:0.0s 等后:23.0s) | ST5 ADAS(开:12506.5s 加:107.0s 等前:0.0s 等后:7.5s) | ST6 ARHUD+慢充(开:12621.0s 加:143.5s 等前:0.0s 等后:0.0s) | ST7 转毂(开:12764.5s 加:114.5s 等前:0.0s 等后:0.0s) | ST8 制动(开:12879.0s 加:114.0s 等前:0.0s 等后:0.0s) | ST9 EG漏液/底盘漏液(开:12993.0s 加:112.5s 等前:0.0s 等后:0.0s) | ST10 全景/空调检查(开:13105.5s 加:0.0s 等前:0.0s 等后:0.0s) | ST11 气囊安装+绝缘(开:13105.5s 加:116.0s 等前:0.0s 等后:0.0s) | ST12 L2++(开:13221.5s 加:88.0s 等前:0.0s 等后:0.0s) | ST13 电检1(开:13309.5s 加:84.5s 等前:0.0s 等后:0.0s) | ST14 电检2(开:13394.0s 加:97.5s 等前:0.0s 等后:9.0s) | ST15 小跑道(开:13500.5s 加:50.0s 等前:0.0s 等后:0.0s)</t>
        </is>
      </c>
    </row>
    <row r="190">
      <c r="A190" s="13" t="n">
        <v>189</v>
      </c>
      <c r="B190" s="13" t="inlineStr">
        <is>
          <t>Car#190</t>
        </is>
      </c>
      <c r="C190" s="13" t="inlineStr">
        <is>
          <t>C</t>
        </is>
      </c>
      <c r="D190" s="14" t="n">
        <v>12231.5</v>
      </c>
      <c r="E190" s="14" t="n">
        <v>13655</v>
      </c>
      <c r="F190" s="14" t="n">
        <v>1423.5</v>
      </c>
      <c r="G190" s="14" t="n">
        <v>1269.5</v>
      </c>
      <c r="H190" s="13" t="inlineStr">
        <is>
          <t>Car#187</t>
        </is>
      </c>
      <c r="I190" s="14">
        <f>E190-E189</f>
        <v/>
      </c>
      <c r="J190" s="14">
        <f>I190-58</f>
        <v/>
      </c>
      <c r="K190" s="14">
        <f>MAX(0,J190)</f>
        <v/>
      </c>
      <c r="L190" s="14">
        <f>MAX(0,-J190)</f>
        <v/>
      </c>
      <c r="M190" s="14">
        <f>M189+I190</f>
        <v/>
      </c>
      <c r="N190" s="14">
        <f>D190+F190-E190</f>
        <v/>
      </c>
      <c r="O190" s="13" t="inlineStr">
        <is>
          <t>能力超目标：四轮定位上、下、ARHUD+慢充</t>
        </is>
      </c>
      <c r="P190" s="13" t="inlineStr">
        <is>
          <t>ST1 引取(开:12231.5s 加:56.0s 等前:1269.5s 等后:0.0s) | ST2 集约(开:12287.5s 加:111.0s 等前:0.0s 等后:0.0s) | ST3 空气悬挂+快充(开:12398.5s 加:108.5s 等前:0.0s 等后:0.0s) | ST4 四轮定位上、下(开:12507.0s 加:120.5s 等前:0.0s 等后:0.0s) | ST5 ADAS(开:12627.5s 加:107.0s 等前:0.0s 等后:0.0s) | ST6 ARHUD+慢充(开:12734.5s 加:143.5s 等前:0.0s 等后:0.0s) | ST7 转毂(开:12878.0s 加:114.5s 等前:0.0s 等后:0.0s) | ST8 制动(开:12992.5s 加:114.0s 等前:0.0s 等后:0.0s) | ST9 EG漏液/底盘漏液(开:13106.5s 加:112.5s 等前:0.0s 等后:0.0s) | ST10 全景/空调检查(开:13219.0s 加:0.0s 等前:0.0s 等后:0.0s) | ST11 气囊安装+绝缘(开:13219.0s 加:116.0s 等前:0.0s 等后:0.0s) | ST12 L2++(开:13335.0s 加:88.0s 等前:0.0s 等后:0.0s) | ST13 电检1(开:13423.0s 加:84.5s 等前:0.0s 等后:0.0s) | ST14 电检2(开:13507.5s 加:97.5s 等前:0.0s 等后:0.0s) | ST15 小跑道(开:13605.0s 加:50.0s 等前:0.0s 等后:0.0s)</t>
        </is>
      </c>
    </row>
    <row r="191">
      <c r="A191" s="15" t="n">
        <v>190</v>
      </c>
      <c r="B191" s="15" t="inlineStr">
        <is>
          <t>Car#192</t>
        </is>
      </c>
      <c r="C191" s="15" t="inlineStr">
        <is>
          <t>A</t>
        </is>
      </c>
      <c r="D191" s="16" t="n">
        <v>12363</v>
      </c>
      <c r="E191" s="16" t="n">
        <v>13706</v>
      </c>
      <c r="F191" s="16" t="n">
        <v>1343</v>
      </c>
      <c r="G191" s="16" t="n">
        <v>1767</v>
      </c>
      <c r="H191" s="15" t="inlineStr">
        <is>
          <t>Car#190</t>
        </is>
      </c>
      <c r="I191" s="16">
        <f>E191-E190</f>
        <v/>
      </c>
      <c r="J191" s="16">
        <f>I191-58</f>
        <v/>
      </c>
      <c r="K191" s="16">
        <f>MAX(0,J191)</f>
        <v/>
      </c>
      <c r="L191" s="16">
        <f>MAX(0,-J191)</f>
        <v/>
      </c>
      <c r="M191" s="16">
        <f>M190+I191</f>
        <v/>
      </c>
      <c r="N191" s="16">
        <f>D191+F191-E191</f>
        <v/>
      </c>
      <c r="O191" s="15" t="inlineStr">
        <is>
          <t>能力满足</t>
        </is>
      </c>
      <c r="P191" s="15" t="inlineStr">
        <is>
          <t>ST1 引取(开:12363.0s 加:55.0s 等前:1285.0s 等后:0.0s) | ST2 集约(开:12418.0s 加:106.0s 等前:0.0s 等后:0.0s) | ST3 空气悬挂+快充(开:12524.0s 加:0.0s 等前:0.0s 等后:103.5s) | ST4 四轮定位上、下(开:12627.5s 加:115.0s 等前:0.0s 等后:0.0s) | ST5 ADAS(开:12742.5s 加:97.0s 等前:0.0s 等后:38.5s) | ST6 ARHUD+慢充(开:12878.0s 加:0.0s 等前:0.0s 等后:114.5s) | ST7 转毂(开:12992.5s 加:116.0s 等前:0.0s 等后:0.0s) | ST8 制动(开:13108.5s 加:108.0s 等前:0.0s 等后:2.5s) | ST9 EG漏液/底盘漏液(开:13219.0s 加:115.0s 等前:0.0s 等后:0.0s) | ST10 全景/空调检查(开:13334.0s 加:98.0s 等前:0.0s 等后:0.0s) | ST11 气囊安装+绝缘(开:13432.0s 加:0.0s 等前:0.0s 等后:0.0s) | ST12 L2++(开:13432.0s 加:0.0s 等前:0.0s 等后:75.5s) | ST13 电检1(开:13507.5s 加:0.0s 等前:0.0s 等后:97.5s) | ST14 电检2(开:13605.0s 加:0.0s 等前:0.0s 等后:50.0s) | ST15 小跑道(开:13655.0s 加:51.0s 等前:0.0s 等后:0.0s)</t>
        </is>
      </c>
    </row>
    <row r="192">
      <c r="A192" s="13" t="n">
        <v>191</v>
      </c>
      <c r="B192" s="13" t="inlineStr">
        <is>
          <t>Car#189</t>
        </is>
      </c>
      <c r="C192" s="13" t="inlineStr">
        <is>
          <t>C</t>
        </is>
      </c>
      <c r="D192" s="14" t="n">
        <v>12166</v>
      </c>
      <c r="E192" s="14" t="n">
        <v>13756</v>
      </c>
      <c r="F192" s="14" t="n">
        <v>1590</v>
      </c>
      <c r="G192" s="14" t="n">
        <v>1428.5</v>
      </c>
      <c r="H192" s="13" t="inlineStr">
        <is>
          <t>Car#192</t>
        </is>
      </c>
      <c r="I192" s="14">
        <f>E192-E191</f>
        <v/>
      </c>
      <c r="J192" s="14">
        <f>I192-58</f>
        <v/>
      </c>
      <c r="K192" s="14">
        <f>MAX(0,J192)</f>
        <v/>
      </c>
      <c r="L192" s="14">
        <f>MAX(0,-J192)</f>
        <v/>
      </c>
      <c r="M192" s="14">
        <f>M191+I192</f>
        <v/>
      </c>
      <c r="N192" s="14">
        <f>D192+F192-E192</f>
        <v/>
      </c>
      <c r="O192" s="13" t="inlineStr">
        <is>
          <t>能力超目标：四轮定位上、下、ARHUD+慢充</t>
        </is>
      </c>
      <c r="P192" s="13" t="inlineStr">
        <is>
          <t>ST1 引取(开:12166.0s 加:56.0s 等前:1262.0s 等后:9.5s) | ST2 集约(开:12231.5s 加:111.0s 等前:0.0s 等后:20.5s) | ST3 空气悬挂+快充(开:12363.0s 加:108.5s 等前:0.0s 等后:35.0s) | ST4 四轮定位上、下(开:12506.5s 加:120.5s 等前:0.0s 等后:0.0s) | ST5 ADAS(开:12627.0s 加:107.0s 等前:0.0s 等后:30.5s) | ST6 ARHUD+慢充(开:12764.5s 加:143.5s 等前:0.0s 等后:0.0s) | ST7 转毂(开:12908.0s 加:114.5s 等前:0.0s 等后:0.0s) | ST8 制动(开:13022.5s 加:114.0s 等前:0.0s 等后:0.0s) | ST9 EG漏液/底盘漏液(开:13136.5s 加:112.5s 等前:0.0s 等后:0.0s) | ST10 全景/空调检查(开:13249.0s 加:0.0s 等前:0.0s 等后:0.0s) | ST11 气囊安装+绝缘(开:13249.0s 加:116.0s 等前:0.0s 等后:0.0s) | ST12 L2++(开:13365.0s 加:88.0s 等前:0.0s 等后:0.0s) | ST13 电检1(开:13453.0s 加:84.5s 等前:0.0s 等后:0.0s) | ST14 电检2(开:13537.5s 加:97.5s 等前:0.0s 等后:71.0s) | ST15 小跑道(开:13706.0s 加:50.0s 等前:0.0s 等后:0.0s)</t>
        </is>
      </c>
    </row>
    <row r="193">
      <c r="A193" s="15" t="n">
        <v>192</v>
      </c>
      <c r="B193" s="15" t="inlineStr">
        <is>
          <t>Car#194</t>
        </is>
      </c>
      <c r="C193" s="15" t="inlineStr">
        <is>
          <t>A</t>
        </is>
      </c>
      <c r="D193" s="16" t="n">
        <v>12506.5</v>
      </c>
      <c r="E193" s="16" t="n">
        <v>13807</v>
      </c>
      <c r="F193" s="16" t="n">
        <v>1300.5</v>
      </c>
      <c r="G193" s="16" t="n">
        <v>1752</v>
      </c>
      <c r="H193" s="15" t="inlineStr">
        <is>
          <t>Car#189</t>
        </is>
      </c>
      <c r="I193" s="16">
        <f>E193-E192</f>
        <v/>
      </c>
      <c r="J193" s="16">
        <f>I193-58</f>
        <v/>
      </c>
      <c r="K193" s="16">
        <f>MAX(0,J193)</f>
        <v/>
      </c>
      <c r="L193" s="16">
        <f>MAX(0,-J193)</f>
        <v/>
      </c>
      <c r="M193" s="16">
        <f>M192+I193</f>
        <v/>
      </c>
      <c r="N193" s="16">
        <f>D193+F193-E193</f>
        <v/>
      </c>
      <c r="O193" s="15" t="inlineStr">
        <is>
          <t>能力满足</t>
        </is>
      </c>
      <c r="P193" s="15" t="inlineStr">
        <is>
          <t>ST1 引取(开:12506.5s 加:55.0s 等前:1312.5s 等后:0.0s) | ST2 集约(开:12561.5s 加:106.0s 等前:0.0s 等后:0.0s) | ST3 空气悬挂+快充(开:12667.5s 加:0.0s 等前:0.0s 等后:75.0s) | ST4 四轮定位上、下(开:12742.5s 加:115.0s 等前:0.0s 等后:20.5s) | ST5 ADAS(开:12878.0s 加:97.0s 等前:0.0s 等后:17.5s) | ST6 ARHUD+慢充(开:12992.5s 加:0.0s 等前:0.0s 等后:116.0s) | ST7 转毂(开:13108.5s 加:116.0s 等前:0.0s 等后:0.0s) | ST8 制动(开:13224.5s 加:108.0s 等前:0.0s 等后:1.5s) | ST9 EG漏液/底盘漏液(开:13334.0s 加:115.0s 等前:0.0s 等后:0.0s) | ST10 全景/空调检查(开:13449.0s 加:98.0s 等前:0.0s 等后:0.0s) | ST11 气囊安装+绝缘(开:13547.0s 加:0.0s 等前:0.0s 等后:0.0s) | ST12 L2++(开:13547.0s 加:0.0s 等前:0.0s 等后:58.0s) | ST13 电检1(开:13605.0s 加:0.0s 等前:0.0s 等后:50.0s) | ST14 电检2(开:13655.0s 加:0.0s 等前:0.0s 等后:101.0s) | ST15 小跑道(开:13756.0s 加:51.0s 等前:0.0s 等后:0.0s)</t>
        </is>
      </c>
    </row>
    <row r="194">
      <c r="A194" s="13" t="n">
        <v>193</v>
      </c>
      <c r="B194" s="13" t="inlineStr">
        <is>
          <t>Car#191</t>
        </is>
      </c>
      <c r="C194" s="13" t="inlineStr">
        <is>
          <t>C</t>
        </is>
      </c>
      <c r="D194" s="14" t="n">
        <v>12287.5</v>
      </c>
      <c r="E194" s="14" t="n">
        <v>13857</v>
      </c>
      <c r="F194" s="14" t="n">
        <v>1569.5</v>
      </c>
      <c r="G194" s="14" t="n">
        <v>1413.5</v>
      </c>
      <c r="H194" s="13" t="inlineStr">
        <is>
          <t>Car#194</t>
        </is>
      </c>
      <c r="I194" s="14">
        <f>E194-E193</f>
        <v/>
      </c>
      <c r="J194" s="14">
        <f>I194-58</f>
        <v/>
      </c>
      <c r="K194" s="14">
        <f>MAX(0,J194)</f>
        <v/>
      </c>
      <c r="L194" s="14">
        <f>MAX(0,-J194)</f>
        <v/>
      </c>
      <c r="M194" s="14">
        <f>M193+I194</f>
        <v/>
      </c>
      <c r="N194" s="14">
        <f>D194+F194-E194</f>
        <v/>
      </c>
      <c r="O194" s="13" t="inlineStr">
        <is>
          <t>能力超目标：四轮定位上、下、ARHUD+慢充</t>
        </is>
      </c>
      <c r="P194" s="13" t="inlineStr">
        <is>
          <t>ST1 引取(开:12287.5s 加:56.0s 等前:1267.5s 等后:19.5s) | ST2 集约(开:12363.0s 加:111.0s 等前:0.0s 等后:32.5s) | ST3 空气悬挂+快充(开:12506.5s 加:108.5s 等前:0.0s 等后:12.0s) | ST4 四轮定位上、下(开:12627.0s 加:120.5s 等前:0.0s 等后:17.0s) | ST5 ADAS(开:12764.5s 加:107.0s 等前:0.0s 等后:36.5s) | ST6 ARHUD+慢充(开:12908.0s 加:143.5s 等前:0.0s 等后:0.0s) | ST7 转毂(开:13051.5s 加:114.5s 等前:0.0s 等后:0.0s) | ST8 制动(开:13166.0s 加:114.0s 等前:0.0s 等后:0.0s) | ST9 EG漏液/底盘漏液(开:13280.0s 加:112.5s 等前:0.0s 等后:0.0s) | ST10 全景/空调检查(开:13392.5s 加:0.0s 等前:0.0s 等后:0.0s) | ST11 气囊安装+绝缘(开:13392.5s 加:116.0s 等前:0.0s 等后:0.0s) | ST12 L2++(开:13508.5s 加:88.0s 等前:0.0s 等后:0.0s) | ST13 电检1(开:13596.5s 加:84.5s 等前:0.0s 等后:25.0s) | ST14 电检2(开:13706.0s 加:97.5s 等前:0.0s 等后:3.5s) | ST15 小跑道(开:13807.0s 加:50.0s 等前:0.0s 等后:0.0s)</t>
        </is>
      </c>
    </row>
    <row r="195">
      <c r="A195" s="15" t="n">
        <v>194</v>
      </c>
      <c r="B195" s="15" t="inlineStr">
        <is>
          <t>Car#193</t>
        </is>
      </c>
      <c r="C195" s="15" t="inlineStr">
        <is>
          <t>A</t>
        </is>
      </c>
      <c r="D195" s="16" t="n">
        <v>12418</v>
      </c>
      <c r="E195" s="16" t="n">
        <v>13908</v>
      </c>
      <c r="F195" s="16" t="n">
        <v>1490</v>
      </c>
      <c r="G195" s="16" t="n">
        <v>1911</v>
      </c>
      <c r="H195" s="15" t="inlineStr">
        <is>
          <t>Car#191</t>
        </is>
      </c>
      <c r="I195" s="16">
        <f>E195-E194</f>
        <v/>
      </c>
      <c r="J195" s="16">
        <f>I195-58</f>
        <v/>
      </c>
      <c r="K195" s="16">
        <f>MAX(0,J195)</f>
        <v/>
      </c>
      <c r="L195" s="16">
        <f>MAX(0,-J195)</f>
        <v/>
      </c>
      <c r="M195" s="16">
        <f>M194+I195</f>
        <v/>
      </c>
      <c r="N195" s="16">
        <f>D195+F195-E195</f>
        <v/>
      </c>
      <c r="O195" s="15" t="inlineStr">
        <is>
          <t>能力满足</t>
        </is>
      </c>
      <c r="P195" s="15" t="inlineStr">
        <is>
          <t>ST1 引取(开:12418.0s 加:55.0s 等前:1282.0s 等后:33.5s) | ST2 集约(开:12506.5s 加:106.0s 等前:0.0s 等后:14.5s) | ST3 空气悬挂+快充(开:12627.0s 加:0.0s 等前:0.0s 等后:137.5s) | ST4 四轮定位上、下(开:12764.5s 加:115.0s 等前:0.0s 等后:28.5s) | ST5 ADAS(开:12908.0s 加:97.0s 等前:0.0s 等后:46.5s) | ST6 ARHUD+慢充(开:13051.5s 加:0.0s 等前:0.0s 等后:114.5s) | ST7 转毂(开:13166.0s 加:116.0s 等前:0.0s 等后:0.0s) | ST8 制动(开:13282.0s 加:108.0s 等前:0.0s 等后:2.5s) | ST9 EG漏液/底盘漏液(开:13392.5s 加:115.0s 等前:0.0s 等后:0.0s) | ST10 全景/空调检查(开:13507.5s 加:98.0s 等前:0.0s 等后:0.0s) | ST11 气囊安装+绝缘(开:13605.5s 加:0.0s 等前:0.0s 等后:0.0s) | ST12 L2++(开:13605.5s 加:0.0s 等前:0.0s 等后:100.5s) | ST13 电检1(开:13706.0s 加:0.0s 等前:0.0s 等后:101.0s) | ST14 电检2(开:13807.0s 加:0.0s 等前:0.0s 等后:50.0s) | ST15 小跑道(开:13857.0s 加:51.0s 等前:0.0s 等后:0.0s)</t>
        </is>
      </c>
    </row>
    <row r="196">
      <c r="A196" s="13" t="n">
        <v>195</v>
      </c>
      <c r="B196" s="13" t="inlineStr">
        <is>
          <t>Car#196</t>
        </is>
      </c>
      <c r="C196" s="13" t="inlineStr">
        <is>
          <t>B</t>
        </is>
      </c>
      <c r="D196" s="14" t="n">
        <v>12627</v>
      </c>
      <c r="E196" s="14" t="n">
        <v>14001.5</v>
      </c>
      <c r="F196" s="14" t="n">
        <v>1374.5</v>
      </c>
      <c r="G196" s="14" t="n">
        <v>1360</v>
      </c>
      <c r="H196" s="13" t="inlineStr">
        <is>
          <t>Car#193</t>
        </is>
      </c>
      <c r="I196" s="14">
        <f>E196-E195</f>
        <v/>
      </c>
      <c r="J196" s="14">
        <f>I196-58</f>
        <v/>
      </c>
      <c r="K196" s="14">
        <f>MAX(0,J196)</f>
        <v/>
      </c>
      <c r="L196" s="14">
        <f>MAX(0,-J196)</f>
        <v/>
      </c>
      <c r="M196" s="14">
        <f>M195+I196</f>
        <v/>
      </c>
      <c r="N196" s="14">
        <f>D196+F196-E196</f>
        <v/>
      </c>
      <c r="O196" s="13" t="inlineStr">
        <is>
          <t>能力超目标：四轮定位上、下</t>
        </is>
      </c>
      <c r="P196" s="13" t="inlineStr">
        <is>
          <t>ST1 引取(开:12627.0s 加:56.0s 等前:1317.0s 等后:0.0s) | ST2 集约(开:12683.0s 加:111.0s 等前:0.0s 等后:0.0s) | ST3 空气悬挂+快充(开:12794.0s 加:108.5s 等前:0.0s 等后:0.0s) | ST4 四轮定位上、下(开:12902.5s 加:120.5s 等前:0.0s 等后:0.0s) | ST5 ADAS(开:13023.0s 加:107.0s 等前:0.0s 等后:0.0s) | ST6 ARHUD+慢充(开:13130.0s 加:51.5s 等前:0.0s 等后:43.0s) | ST7 转毂(开:13224.5s 加:114.5s 等前:0.0s 等后:0.0s) | ST8 制动(开:13339.0s 加:114.0s 等前:0.0s 等后:0.0s) | ST9 EG漏液/底盘漏液(开:13453.0s 加:112.5s 等前:0.0s 等后:0.0s) | ST10 全景/空调检查(开:13565.5s 加:0.0s 等前:0.0s 等后:0.0s) | ST11 气囊安装+绝缘(开:13565.5s 加:116.0s 等前:0.0s 等后:0.0s) | ST12 L2++(开:13681.5s 加:88.0s 等前:0.0s 等后:0.0s) | ST13 电检1(开:13769.5s 加:84.5s 等前:0.0s 等后:0.0s) | ST14 电检2(开:13854.0s 加:97.5s 等前:0.0s 等后:0.0s) | ST15 小跑道(开:13951.5s 加:50.0s 等前:0.0s 等后:0.0s)</t>
        </is>
      </c>
    </row>
    <row r="197">
      <c r="A197" s="15" t="n">
        <v>196</v>
      </c>
      <c r="B197" s="15" t="inlineStr">
        <is>
          <t>Car#195</t>
        </is>
      </c>
      <c r="C197" s="15" t="inlineStr">
        <is>
          <t>C</t>
        </is>
      </c>
      <c r="D197" s="16" t="n">
        <v>12561.5</v>
      </c>
      <c r="E197" s="16" t="n">
        <v>14086.5</v>
      </c>
      <c r="F197" s="16" t="n">
        <v>1525</v>
      </c>
      <c r="G197" s="16" t="n">
        <v>1411</v>
      </c>
      <c r="H197" s="15" t="inlineStr">
        <is>
          <t>Car#196</t>
        </is>
      </c>
      <c r="I197" s="16">
        <f>E197-E196</f>
        <v/>
      </c>
      <c r="J197" s="16">
        <f>I197-58</f>
        <v/>
      </c>
      <c r="K197" s="16">
        <f>MAX(0,J197)</f>
        <v/>
      </c>
      <c r="L197" s="16">
        <f>MAX(0,-J197)</f>
        <v/>
      </c>
      <c r="M197" s="16">
        <f>M196+I197</f>
        <v/>
      </c>
      <c r="N197" s="16">
        <f>D197+F197-E197</f>
        <v/>
      </c>
      <c r="O197" s="15" t="inlineStr">
        <is>
          <t>能力超目标：四轮定位上、下、ARHUD+慢充</t>
        </is>
      </c>
      <c r="P197" s="15" t="inlineStr">
        <is>
          <t>ST1 引取(开:12561.5s 加:56.0s 等前:1309.5s 等后:9.5s) | ST2 集约(开:12627.0s 加:111.0s 等前:0.0s 等后:26.5s) | ST3 空气悬挂+快充(开:12764.5s 加:108.5s 等前:0.0s 等后:35.0s) | ST4 四轮定位上、下(开:12908.0s 加:120.5s 等前:0.0s 等后:23.0s) | ST5 ADAS(开:13051.5s 加:107.0s 等前:0.0s 等后:7.5s) | ST6 ARHUD+慢充(开:13166.0s 加:143.5s 等前:0.0s 等后:0.0s) | ST7 转毂(开:13309.5s 加:114.5s 等前:0.0s 等后:0.0s) | ST8 制动(开:13424.0s 加:114.0s 等前:0.0s 等后:0.0s) | ST9 EG漏液/底盘漏液(开:13538.0s 加:112.5s 等前:0.0s 等后:0.0s) | ST10 全景/空调检查(开:13650.5s 加:0.0s 等前:0.0s 等后:0.0s) | ST11 气囊安装+绝缘(开:13650.5s 加:116.0s 等前:0.0s 等后:0.0s) | ST12 L2++(开:13766.5s 加:88.0s 等前:0.0s 等后:0.0s) | ST13 电检1(开:13854.5s 加:84.5s 等前:0.0s 等后:0.0s) | ST14 电检2(开:13939.0s 加:97.5s 等前:0.0s 等后:0.0s) | ST15 小跑道(开:14036.5s 加:50.0s 等前:0.0s 等后:0.0s)</t>
        </is>
      </c>
    </row>
    <row r="198">
      <c r="A198" s="13" t="n">
        <v>197</v>
      </c>
      <c r="B198" s="13" t="inlineStr">
        <is>
          <t>Car#198</t>
        </is>
      </c>
      <c r="C198" s="13" t="inlineStr">
        <is>
          <t>C</t>
        </is>
      </c>
      <c r="D198" s="14" t="n">
        <v>12764.5</v>
      </c>
      <c r="E198" s="14" t="n">
        <v>14188</v>
      </c>
      <c r="F198" s="14" t="n">
        <v>1423.5</v>
      </c>
      <c r="G198" s="14" t="n">
        <v>1338.5</v>
      </c>
      <c r="H198" s="13" t="inlineStr">
        <is>
          <t>Car#195</t>
        </is>
      </c>
      <c r="I198" s="14">
        <f>E198-E197</f>
        <v/>
      </c>
      <c r="J198" s="14">
        <f>I198-58</f>
        <v/>
      </c>
      <c r="K198" s="14">
        <f>MAX(0,J198)</f>
        <v/>
      </c>
      <c r="L198" s="14">
        <f>MAX(0,-J198)</f>
        <v/>
      </c>
      <c r="M198" s="14">
        <f>M197+I198</f>
        <v/>
      </c>
      <c r="N198" s="14">
        <f>D198+F198-E198</f>
        <v/>
      </c>
      <c r="O198" s="13" t="inlineStr">
        <is>
          <t>能力超目标：四轮定位上、下、ARHUD+慢充</t>
        </is>
      </c>
      <c r="P198" s="13" t="inlineStr">
        <is>
          <t>ST1 引取(开:12764.5s 加:56.0s 等前:1338.5s 等后:0.0s) | ST2 集约(开:12820.5s 加:111.0s 等前:0.0s 等后:0.0s) | ST3 空气悬挂+快充(开:12931.5s 加:108.5s 等前:0.0s 等后:0.0s) | ST4 四轮定位上、下(开:13040.0s 加:120.5s 等前:0.0s 等后:0.0s) | ST5 ADAS(开:13160.5s 加:107.0s 等前:0.0s 等后:0.0s) | ST6 ARHUD+慢充(开:13267.5s 加:143.5s 等前:0.0s 等后:0.0s) | ST7 转毂(开:13411.0s 加:114.5s 等前:0.0s 等后:0.0s) | ST8 制动(开:13525.5s 加:114.0s 等前:0.0s 等后:0.0s) | ST9 EG漏液/底盘漏液(开:13639.5s 加:112.5s 等前:0.0s 等后:0.0s) | ST10 全景/空调检查(开:13752.0s 加:0.0s 等前:0.0s 等后:0.0s) | ST11 气囊安装+绝缘(开:13752.0s 加:116.0s 等前:0.0s 等后:0.0s) | ST12 L2++(开:13868.0s 加:88.0s 等前:0.0s 等后:0.0s) | ST13 电检1(开:13956.0s 加:84.5s 等前:0.0s 等后:0.0s) | ST14 电检2(开:14040.5s 加:97.5s 等前:0.0s 等后:0.0s) | ST15 小跑道(开:14138.0s 加:50.0s 等前:0.0s 等后:0.0s)</t>
        </is>
      </c>
    </row>
    <row r="199">
      <c r="A199" s="15" t="n">
        <v>198</v>
      </c>
      <c r="B199" s="15" t="inlineStr">
        <is>
          <t>Car#197</t>
        </is>
      </c>
      <c r="C199" s="15" t="inlineStr">
        <is>
          <t>C</t>
        </is>
      </c>
      <c r="D199" s="16" t="n">
        <v>12683</v>
      </c>
      <c r="E199" s="16" t="n">
        <v>14238</v>
      </c>
      <c r="F199" s="16" t="n">
        <v>1555</v>
      </c>
      <c r="G199" s="16" t="n">
        <v>1446.5</v>
      </c>
      <c r="H199" s="15" t="inlineStr">
        <is>
          <t>Car#198</t>
        </is>
      </c>
      <c r="I199" s="16">
        <f>E199-E198</f>
        <v/>
      </c>
      <c r="J199" s="16">
        <f>I199-58</f>
        <v/>
      </c>
      <c r="K199" s="16">
        <f>MAX(0,J199)</f>
        <v/>
      </c>
      <c r="L199" s="16">
        <f>MAX(0,-J199)</f>
        <v/>
      </c>
      <c r="M199" s="16">
        <f>M198+I199</f>
        <v/>
      </c>
      <c r="N199" s="16">
        <f>D199+F199-E199</f>
        <v/>
      </c>
      <c r="O199" s="15" t="inlineStr">
        <is>
          <t>能力超目标：四轮定位上、下、ARHUD+慢充</t>
        </is>
      </c>
      <c r="P199" s="15" t="inlineStr">
        <is>
          <t>ST1 引取(开:12683.0s 加:56.0s 等前:1315.0s 等后:25.5s) | ST2 集约(开:12764.5s 加:111.0s 等前:0.0s 等后:32.5s) | ST3 空气悬挂+快充(开:12908.0s 加:108.5s 等前:0.0s 等后:35.0s) | ST4 四轮定位上、下(开:13051.5s 加:120.5s 等前:0.0s 等后:0.0s) | ST5 ADAS(开:13172.0s 加:107.0s 等前:0.0s 等后:30.5s) | ST6 ARHUD+慢充(开:13309.5s 加:143.5s 等前:0.0s 等后:0.0s) | ST7 转毂(开:13453.0s 加:114.5s 等前:0.0s 等后:0.0s) | ST8 制动(开:13567.5s 加:114.0s 等前:0.0s 等后:0.0s) | ST9 EG漏液/底盘漏液(开:13681.5s 加:112.5s 等前:0.0s 等后:0.0s) | ST10 全景/空调检查(开:13794.0s 加:0.0s 等前:0.0s 等后:0.0s) | ST11 气囊安装+绝缘(开:13794.0s 加:116.0s 等前:0.0s 等后:0.0s) | ST12 L2++(开:13910.0s 加:88.0s 等前:0.0s 等后:0.0s) | ST13 电检1(开:13998.0s 加:84.5s 等前:0.0s 等后:0.0s) | ST14 电检2(开:14082.5s 加:97.5s 等前:0.0s 等后:8.0s) | ST15 小跑道(开:14188.0s 加:50.0s 等前:0.0s 等后:0.0s)</t>
        </is>
      </c>
    </row>
    <row r="200">
      <c r="A200" s="13" t="n">
        <v>199</v>
      </c>
      <c r="B200" s="13" t="inlineStr">
        <is>
          <t>Car#200</t>
        </is>
      </c>
      <c r="C200" s="13" t="inlineStr">
        <is>
          <t>B</t>
        </is>
      </c>
      <c r="D200" s="14" t="n">
        <v>12908</v>
      </c>
      <c r="E200" s="14" t="n">
        <v>14304</v>
      </c>
      <c r="F200" s="14" t="n">
        <v>1396</v>
      </c>
      <c r="G200" s="14" t="n">
        <v>1430.5</v>
      </c>
      <c r="H200" s="13" t="inlineStr">
        <is>
          <t>Car#197</t>
        </is>
      </c>
      <c r="I200" s="14">
        <f>E200-E199</f>
        <v/>
      </c>
      <c r="J200" s="14">
        <f>I200-58</f>
        <v/>
      </c>
      <c r="K200" s="14">
        <f>MAX(0,J200)</f>
        <v/>
      </c>
      <c r="L200" s="14">
        <f>MAX(0,-J200)</f>
        <v/>
      </c>
      <c r="M200" s="14">
        <f>M199+I200</f>
        <v/>
      </c>
      <c r="N200" s="14">
        <f>D200+F200-E200</f>
        <v/>
      </c>
      <c r="O200" s="13" t="inlineStr">
        <is>
          <t>能力超目标：四轮定位上、下</t>
        </is>
      </c>
      <c r="P200" s="13" t="inlineStr">
        <is>
          <t>ST1 引取(开:12908.0s 加:56.0s 等前:1366.0s 等后:0.0s) | ST2 集约(开:12964.0s 加:111.0s 等前:0.0s 等后:0.0s) | ST3 空气悬挂+快充(开:13075.0s 加:108.5s 等前:0.0s 等后:0.0s) | ST4 四轮定位上、下(开:13183.5s 加:120.5s 等前:0.0s 等后:0.0s) | ST5 ADAS(开:13304.0s 加:107.0s 等前:0.0s 等后:0.0s) | ST6 ARHUD+慢充(开:13411.0s 加:51.5s 等前:0.0s 等后:63.0s) | ST7 转毂(开:13525.5s 加:114.5s 等前:0.0s 等后:0.0s) | ST8 制动(开:13640.0s 加:114.0s 等前:0.0s 等后:0.0s) | ST9 EG漏液/底盘漏液(开:13754.0s 加:112.5s 等前:0.0s 等后:0.0s) | ST10 全景/空调检查(开:13866.5s 加:0.0s 等前:0.0s 等后:1.5s) | ST11 气囊安装+绝缘(开:13868.0s 加:116.0s 等前:0.0s 等后:0.0s) | ST12 L2++(开:13984.0s 加:88.0s 等前:0.0s 等后:0.0s) | ST13 电检1(开:14072.0s 加:84.5s 等前:0.0s 等后:0.0s) | ST14 电检2(开:14156.5s 加:97.5s 等前:0.0s 等后:0.0s) | ST15 小跑道(开:14254.0s 加:50.0s 等前:0.0s 等后:0.0s)</t>
        </is>
      </c>
    </row>
    <row r="201">
      <c r="A201" s="15" t="n">
        <v>200</v>
      </c>
      <c r="B201" s="15" t="inlineStr">
        <is>
          <t>Car#199</t>
        </is>
      </c>
      <c r="C201" s="15" t="inlineStr">
        <is>
          <t>B</t>
        </is>
      </c>
      <c r="D201" s="16" t="n">
        <v>12820.5</v>
      </c>
      <c r="E201" s="16" t="n">
        <v>14354</v>
      </c>
      <c r="F201" s="16" t="n">
        <v>1533.5</v>
      </c>
      <c r="G201" s="16" t="n">
        <v>1538.5</v>
      </c>
      <c r="H201" s="15" t="inlineStr">
        <is>
          <t>Car#200</t>
        </is>
      </c>
      <c r="I201" s="16">
        <f>E201-E200</f>
        <v/>
      </c>
      <c r="J201" s="16">
        <f>I201-58</f>
        <v/>
      </c>
      <c r="K201" s="16">
        <f>MAX(0,J201)</f>
        <v/>
      </c>
      <c r="L201" s="16">
        <f>MAX(0,-J201)</f>
        <v/>
      </c>
      <c r="M201" s="16">
        <f>M200+I201</f>
        <v/>
      </c>
      <c r="N201" s="16">
        <f>D201+F201-E201</f>
        <v/>
      </c>
      <c r="O201" s="15" t="inlineStr">
        <is>
          <t>能力超目标：四轮定位上、下</t>
        </is>
      </c>
      <c r="P201" s="15" t="inlineStr">
        <is>
          <t>ST1 引取(开:12820.5s 加:56.0s 等前:1336.5s 等后:31.5s) | ST2 集约(开:12908.0s 加:111.0s 等前:0.0s 等后:32.5s) | ST3 空气悬挂+快充(开:13051.5s 加:108.5s 等前:0.0s 等后:12.0s) | ST4 四轮定位上、下(开:13172.0s 加:120.5s 等前:0.0s 等后:17.0s) | ST5 ADAS(开:13309.5s 加:107.0s 等前:0.0s 等后:36.5s) | ST6 ARHUD+慢充(开:13453.0s 加:51.5s 等前:0.0s 等后:63.0s) | ST7 转毂(开:13567.5s 加:114.5s 等前:0.0s 等后:0.0s) | ST8 制动(开:13682.0s 加:114.0s 等前:0.0s 等后:0.0s) | ST9 EG漏液/底盘漏液(开:13796.0s 加:112.5s 等前:0.0s 等后:0.0s) | ST10 全景/空调检查(开:13908.5s 加:0.0s 等前:0.0s 等后:1.5s) | ST11 气囊安装+绝缘(开:13910.0s 加:116.0s 等前:0.0s 等后:0.0s) | ST12 L2++(开:14026.0s 加:88.0s 等前:0.0s 等后:0.0s) | ST13 电检1(开:14114.0s 加:84.5s 等前:0.0s 等后:0.0s) | ST14 电检2(开:14198.5s 加:97.5s 等前:0.0s 等后:8.0s) | ST15 小跑道(开:14304.0s 加:50.0s 等前:0.0s 等后:0.0s)</t>
        </is>
      </c>
    </row>
    <row r="202">
      <c r="A202" s="13" t="n">
        <v>201</v>
      </c>
      <c r="B202" s="13" t="inlineStr">
        <is>
          <t>Car#202</t>
        </is>
      </c>
      <c r="C202" s="13" t="inlineStr">
        <is>
          <t>C</t>
        </is>
      </c>
      <c r="D202" s="14" t="n">
        <v>13051.5</v>
      </c>
      <c r="E202" s="14" t="n">
        <v>14475</v>
      </c>
      <c r="F202" s="14" t="n">
        <v>1423.5</v>
      </c>
      <c r="G202" s="14" t="n">
        <v>1393.5</v>
      </c>
      <c r="H202" s="13" t="inlineStr">
        <is>
          <t>Car#199</t>
        </is>
      </c>
      <c r="I202" s="14">
        <f>E202-E201</f>
        <v/>
      </c>
      <c r="J202" s="14">
        <f>I202-58</f>
        <v/>
      </c>
      <c r="K202" s="14">
        <f>MAX(0,J202)</f>
        <v/>
      </c>
      <c r="L202" s="14">
        <f>MAX(0,-J202)</f>
        <v/>
      </c>
      <c r="M202" s="14">
        <f>M201+I202</f>
        <v/>
      </c>
      <c r="N202" s="14">
        <f>D202+F202-E202</f>
        <v/>
      </c>
      <c r="O202" s="13" t="inlineStr">
        <is>
          <t>能力超目标：四轮定位上、下、ARHUD+慢充</t>
        </is>
      </c>
      <c r="P202" s="13" t="inlineStr">
        <is>
          <t>ST1 引取(开:13051.5s 加:56.0s 等前:1393.5s 等后:0.0s) | ST2 集约(开:13107.5s 加:111.0s 等前:0.0s 等后:0.0s) | ST3 空气悬挂+快充(开:13218.5s 加:108.5s 等前:0.0s 等后:0.0s) | ST4 四轮定位上、下(开:13327.0s 加:120.5s 等前:0.0s 等后:0.0s) | ST5 ADAS(开:13447.5s 加:107.0s 等前:0.0s 等后:0.0s) | ST6 ARHUD+慢充(开:13554.5s 加:143.5s 等前:0.0s 等后:0.0s) | ST7 转毂(开:13698.0s 加:114.5s 等前:0.0s 等后:0.0s) | ST8 制动(开:13812.5s 加:114.0s 等前:0.0s 等后:0.0s) | ST9 EG漏液/底盘漏液(开:13926.5s 加:112.5s 等前:0.0s 等后:0.0s) | ST10 全景/空调检查(开:14039.0s 加:0.0s 等前:0.0s 等后:0.0s) | ST11 气囊安装+绝缘(开:14039.0s 加:116.0s 等前:0.0s 等后:0.0s) | ST12 L2++(开:14155.0s 加:88.0s 等前:0.0s 等后:0.0s) | ST13 电检1(开:14243.0s 加:84.5s 等前:0.0s 等后:0.0s) | ST14 电检2(开:14327.5s 加:97.5s 等前:0.0s 等后:0.0s) | ST15 小跑道(开:14425.0s 加:50.0s 等前:0.0s 等后:0.0s)</t>
        </is>
      </c>
    </row>
    <row r="203">
      <c r="A203" s="15" t="n">
        <v>202</v>
      </c>
      <c r="B203" s="15" t="inlineStr">
        <is>
          <t>Car#204</t>
        </is>
      </c>
      <c r="C203" s="15" t="inlineStr">
        <is>
          <t>A</t>
        </is>
      </c>
      <c r="D203" s="16" t="n">
        <v>13172</v>
      </c>
      <c r="E203" s="16" t="n">
        <v>14526</v>
      </c>
      <c r="F203" s="16" t="n">
        <v>1354</v>
      </c>
      <c r="G203" s="16" t="n">
        <v>1891</v>
      </c>
      <c r="H203" s="15" t="inlineStr">
        <is>
          <t>Car#202</t>
        </is>
      </c>
      <c r="I203" s="16">
        <f>E203-E202</f>
        <v/>
      </c>
      <c r="J203" s="16">
        <f>I203-58</f>
        <v/>
      </c>
      <c r="K203" s="16">
        <f>MAX(0,J203)</f>
        <v/>
      </c>
      <c r="L203" s="16">
        <f>MAX(0,-J203)</f>
        <v/>
      </c>
      <c r="M203" s="16">
        <f>M202+I203</f>
        <v/>
      </c>
      <c r="N203" s="16">
        <f>D203+F203-E203</f>
        <v/>
      </c>
      <c r="O203" s="15" t="inlineStr">
        <is>
          <t>能力满足</t>
        </is>
      </c>
      <c r="P203" s="15" t="inlineStr">
        <is>
          <t>ST1 引取(开:13172.0s 加:55.0s 等前:1398.0s 等后:0.0s) | ST2 集约(开:13227.0s 加:106.0s 等前:0.0s 等后:0.0s) | ST3 空气悬挂+快充(开:13333.0s 加:0.0s 等前:0.0s 等后:114.5s) | ST4 四轮定位上、下(开:13447.5s 加:115.0s 等前:0.0s 等后:0.0s) | ST5 ADAS(开:13562.5s 加:97.0s 等前:0.0s 等后:38.5s) | ST6 ARHUD+慢充(开:13698.0s 加:0.0s 等前:0.0s 等后:114.5s) | ST7 转毂(开:13812.5s 加:116.0s 等前:0.0s 等后:0.0s) | ST8 制动(开:13928.5s 加:108.0s 等前:0.0s 等后:2.5s) | ST9 EG漏液/底盘漏液(开:14039.0s 加:115.0s 等前:0.0s 等后:0.0s) | ST10 全景/空调检查(开:14154.0s 加:98.0s 等前:0.0s 等后:0.0s) | ST11 气囊安装+绝缘(开:14252.0s 加:0.0s 等前:0.0s 等后:0.0s) | ST12 L2++(开:14252.0s 加:0.0s 等前:0.0s 等后:75.5s) | ST13 电检1(开:14327.5s 加:0.0s 等前:0.0s 等后:97.5s) | ST14 电检2(开:14425.0s 加:0.0s 等前:0.0s 等后:50.0s) | ST15 小跑道(开:14475.0s 加:51.0s 等前:0.0s 等后:0.0s)</t>
        </is>
      </c>
    </row>
    <row r="204">
      <c r="A204" s="13" t="n">
        <v>203</v>
      </c>
      <c r="B204" s="13" t="inlineStr">
        <is>
          <t>Car#201</t>
        </is>
      </c>
      <c r="C204" s="13" t="inlineStr">
        <is>
          <t>C</t>
        </is>
      </c>
      <c r="D204" s="14" t="n">
        <v>12964</v>
      </c>
      <c r="E204" s="14" t="n">
        <v>14576</v>
      </c>
      <c r="F204" s="14" t="n">
        <v>1612</v>
      </c>
      <c r="G204" s="14" t="n">
        <v>1552.5</v>
      </c>
      <c r="H204" s="13" t="inlineStr">
        <is>
          <t>Car#204</t>
        </is>
      </c>
      <c r="I204" s="14">
        <f>E204-E203</f>
        <v/>
      </c>
      <c r="J204" s="14">
        <f>I204-58</f>
        <v/>
      </c>
      <c r="K204" s="14">
        <f>MAX(0,J204)</f>
        <v/>
      </c>
      <c r="L204" s="14">
        <f>MAX(0,-J204)</f>
        <v/>
      </c>
      <c r="M204" s="14">
        <f>M203+I204</f>
        <v/>
      </c>
      <c r="N204" s="14">
        <f>D204+F204-E204</f>
        <v/>
      </c>
      <c r="O204" s="13" t="inlineStr">
        <is>
          <t>能力超目标：四轮定位上、下、ARHUD+慢充</t>
        </is>
      </c>
      <c r="P204" s="13" t="inlineStr">
        <is>
          <t>ST1 引取(开:12964.0s 加:56.0s 等前:1364.0s 等后:31.5s) | ST2 集约(开:13051.5s 加:111.0s 等前:0.0s 等后:9.5s) | ST3 空气悬挂+快充(开:13172.0s 加:108.5s 等前:0.0s 等后:29.0s) | ST4 四轮定位上、下(开:13309.5s 加:120.5s 等前:0.0s 等后:23.0s) | ST5 ADAS(开:13453.0s 加:107.0s 等前:0.0s 等后:7.5s) | ST6 ARHUD+慢充(开:13567.5s 加:143.5s 等前:0.0s 等后:0.0s) | ST7 转毂(开:13711.0s 加:114.5s 等前:0.0s 等后:0.0s) | ST8 制动(开:13825.5s 加:114.0s 等前:0.0s 等后:0.0s) | ST9 EG漏液/底盘漏液(开:13939.5s 加:112.5s 等前:0.0s 等后:0.0s) | ST10 全景/空调检查(开:14052.0s 加:0.0s 等前:0.0s 等后:0.0s) | ST11 气囊安装+绝缘(开:14052.0s 加:116.0s 等前:0.0s 等后:0.0s) | ST12 L2++(开:14168.0s 加:88.0s 等前:0.0s 等后:0.0s) | ST13 电检1(开:14256.0s 加:84.5s 等前:0.0s 等后:0.0s) | ST14 电检2(开:14340.5s 加:97.5s 等前:0.0s 等后:88.0s) | ST15 小跑道(开:14526.0s 加:50.0s 等前:0.0s 等后:0.0s)</t>
        </is>
      </c>
    </row>
    <row r="205">
      <c r="A205" s="15" t="n">
        <v>204</v>
      </c>
      <c r="B205" s="15" t="inlineStr">
        <is>
          <t>Car#206</t>
        </is>
      </c>
      <c r="C205" s="15" t="inlineStr">
        <is>
          <t>A</t>
        </is>
      </c>
      <c r="D205" s="16" t="n">
        <v>13309.5</v>
      </c>
      <c r="E205" s="16" t="n">
        <v>14627</v>
      </c>
      <c r="F205" s="16" t="n">
        <v>1317.5</v>
      </c>
      <c r="G205" s="16" t="n">
        <v>1876</v>
      </c>
      <c r="H205" s="15" t="inlineStr">
        <is>
          <t>Car#201</t>
        </is>
      </c>
      <c r="I205" s="16">
        <f>E205-E204</f>
        <v/>
      </c>
      <c r="J205" s="16">
        <f>I205-58</f>
        <v/>
      </c>
      <c r="K205" s="16">
        <f>MAX(0,J205)</f>
        <v/>
      </c>
      <c r="L205" s="16">
        <f>MAX(0,-J205)</f>
        <v/>
      </c>
      <c r="M205" s="16">
        <f>M204+I205</f>
        <v/>
      </c>
      <c r="N205" s="16">
        <f>D205+F205-E205</f>
        <v/>
      </c>
      <c r="O205" s="15" t="inlineStr">
        <is>
          <t>能力满足</t>
        </is>
      </c>
      <c r="P205" s="15" t="inlineStr">
        <is>
          <t>ST1 引取(开:13309.5s 加:55.0s 等前:1419.5s 等后:0.0s) | ST2 集约(开:13364.5s 加:106.0s 等前:0.0s 等后:0.0s) | ST3 空气悬挂+快充(开:13470.5s 加:0.0s 等前:0.0s 等后:92.0s) | ST4 四轮定位上、下(开:13562.5s 加:115.0s 等前:0.0s 等后:20.5s) | ST5 ADAS(开:13698.0s 加:97.0s 等前:0.0s 等后:17.5s) | ST6 ARHUD+慢充(开:13812.5s 加:0.0s 等前:0.0s 等后:116.0s) | ST7 转毂(开:13928.5s 加:116.0s 等前:0.0s 等后:0.0s) | ST8 制动(开:14044.5s 加:108.0s 等前:0.0s 等后:1.5s) | ST9 EG漏液/底盘漏液(开:14154.0s 加:115.0s 等前:0.0s 等后:0.0s) | ST10 全景/空调检查(开:14269.0s 加:98.0s 等前:0.0s 等后:0.0s) | ST11 气囊安装+绝缘(开:14367.0s 加:0.0s 等前:0.0s 等后:0.0s) | ST12 L2++(开:14367.0s 加:0.0s 等前:0.0s 等后:58.0s) | ST13 电检1(开:14425.0s 加:0.0s 等前:0.0s 等后:50.0s) | ST14 电检2(开:14475.0s 加:0.0s 等前:0.0s 等后:101.0s) | ST15 小跑道(开:14576.0s 加:51.0s 等前:0.0s 等后:0.0s)</t>
        </is>
      </c>
    </row>
    <row r="206">
      <c r="A206" s="13" t="n">
        <v>205</v>
      </c>
      <c r="B206" s="13" t="inlineStr">
        <is>
          <t>Car#203</t>
        </is>
      </c>
      <c r="C206" s="13" t="inlineStr">
        <is>
          <t>C</t>
        </is>
      </c>
      <c r="D206" s="14" t="n">
        <v>13107.5</v>
      </c>
      <c r="E206" s="14" t="n">
        <v>14677</v>
      </c>
      <c r="F206" s="14" t="n">
        <v>1569.5</v>
      </c>
      <c r="G206" s="14" t="n">
        <v>1537.5</v>
      </c>
      <c r="H206" s="13" t="inlineStr">
        <is>
          <t>Car#206</t>
        </is>
      </c>
      <c r="I206" s="14">
        <f>E206-E205</f>
        <v/>
      </c>
      <c r="J206" s="14">
        <f>I206-58</f>
        <v/>
      </c>
      <c r="K206" s="14">
        <f>MAX(0,J206)</f>
        <v/>
      </c>
      <c r="L206" s="14">
        <f>MAX(0,-J206)</f>
        <v/>
      </c>
      <c r="M206" s="14">
        <f>M205+I206</f>
        <v/>
      </c>
      <c r="N206" s="14">
        <f>D206+F206-E206</f>
        <v/>
      </c>
      <c r="O206" s="13" t="inlineStr">
        <is>
          <t>能力超目标：四轮定位上、下、ARHUD+慢充</t>
        </is>
      </c>
      <c r="P206" s="13" t="inlineStr">
        <is>
          <t>ST1 引取(开:13107.5s 加:56.0s 等前:1391.5s 等后:8.5s) | ST2 集约(开:13172.0s 加:111.0s 等前:0.0s 等后:26.5s) | ST3 空气悬挂+快充(开:13309.5s 加:108.5s 等前:0.0s 等后:35.0s) | ST4 四轮定位上、下(开:13453.0s 加:120.5s 等前:0.0s 等后:0.0s) | ST5 ADAS(开:13573.5s 加:107.0s 等前:0.0s 等后:30.5s) | ST6 ARHUD+慢充(开:13711.0s 加:143.5s 等前:0.0s 等后:0.0s) | ST7 转毂(开:13854.5s 加:114.5s 等前:0.0s 等后:0.0s) | ST8 制动(开:13969.0s 加:114.0s 等前:0.0s 等后:0.0s) | ST9 EG漏液/底盘漏液(开:14083.0s 加:112.5s 等前:0.0s 等后:0.0s) | ST10 全景/空调检查(开:14195.5s 加:0.0s 等前:0.0s 等后:0.0s) | ST11 气囊安装+绝缘(开:14195.5s 加:116.0s 等前:0.0s 等后:0.0s) | ST12 L2++(开:14311.5s 加:88.0s 等前:0.0s 等后:0.0s) | ST13 电检1(开:14399.5s 加:84.5s 等前:0.0s 等后:42.0s) | ST14 电检2(开:14526.0s 加:97.5s 等前:0.0s 等后:3.5s) | ST15 小跑道(开:14627.0s 加:50.0s 等前:0.0s 等后:0.0s)</t>
        </is>
      </c>
    </row>
    <row r="207">
      <c r="A207" s="15" t="n">
        <v>206</v>
      </c>
      <c r="B207" s="15" t="inlineStr">
        <is>
          <t>Car#205</t>
        </is>
      </c>
      <c r="C207" s="15" t="inlineStr">
        <is>
          <t>A</t>
        </is>
      </c>
      <c r="D207" s="16" t="n">
        <v>13227</v>
      </c>
      <c r="E207" s="16" t="n">
        <v>14728</v>
      </c>
      <c r="F207" s="16" t="n">
        <v>1501</v>
      </c>
      <c r="G207" s="16" t="n">
        <v>2035</v>
      </c>
      <c r="H207" s="15" t="inlineStr">
        <is>
          <t>Car#203</t>
        </is>
      </c>
      <c r="I207" s="16">
        <f>E207-E206</f>
        <v/>
      </c>
      <c r="J207" s="16">
        <f>I207-58</f>
        <v/>
      </c>
      <c r="K207" s="16">
        <f>MAX(0,J207)</f>
        <v/>
      </c>
      <c r="L207" s="16">
        <f>MAX(0,-J207)</f>
        <v/>
      </c>
      <c r="M207" s="16">
        <f>M206+I207</f>
        <v/>
      </c>
      <c r="N207" s="16">
        <f>D207+F207-E207</f>
        <v/>
      </c>
      <c r="O207" s="15" t="inlineStr">
        <is>
          <t>能力满足</t>
        </is>
      </c>
      <c r="P207" s="15" t="inlineStr">
        <is>
          <t>ST1 引取(开:13227.0s 加:55.0s 等前:1395.0s 等后:27.5s) | ST2 集约(开:13309.5s 加:106.0s 等前:0.0s 等后:37.5s) | ST3 空气悬挂+快充(开:13453.0s 加:0.0s 等前:0.0s 等后:120.5s) | ST4 四轮定位上、下(开:13573.5s 加:115.0s 等前:0.0s 等后:22.5s) | ST5 ADAS(开:13711.0s 加:97.0s 等前:0.0s 等后:46.5s) | ST6 ARHUD+慢充(开:13854.5s 加:0.0s 等前:0.0s 等后:114.5s) | ST7 转毂(开:13969.0s 加:116.0s 等前:0.0s 等后:0.0s) | ST8 制动(开:14085.0s 加:108.0s 等前:0.0s 等后:2.5s) | ST9 EG漏液/底盘漏液(开:14195.5s 加:115.0s 等前:0.0s 等后:0.0s) | ST10 全景/空调检查(开:14310.5s 加:98.0s 等前:0.0s 等后:0.0s) | ST11 气囊安装+绝缘(开:14408.5s 加:0.0s 等前:0.0s 等后:0.0s) | ST12 L2++(开:14408.5s 加:0.0s 等前:0.0s 等后:117.5s) | ST13 电检1(开:14526.0s 加:0.0s 等前:0.0s 等后:101.0s) | ST14 电检2(开:14627.0s 加:0.0s 等前:0.0s 等后:50.0s) | ST15 小跑道(开:14677.0s 加:51.0s 等前:0.0s 等后:0.0s)</t>
        </is>
      </c>
    </row>
    <row r="208">
      <c r="A208" s="13" t="n">
        <v>207</v>
      </c>
      <c r="B208" s="13" t="inlineStr">
        <is>
          <t>Car#207</t>
        </is>
      </c>
      <c r="C208" s="13" t="inlineStr">
        <is>
          <t>B</t>
        </is>
      </c>
      <c r="D208" s="14" t="n">
        <v>13364.5</v>
      </c>
      <c r="E208" s="14" t="n">
        <v>14862</v>
      </c>
      <c r="F208" s="14" t="n">
        <v>1497.5</v>
      </c>
      <c r="G208" s="14" t="n">
        <v>1582.5</v>
      </c>
      <c r="H208" s="13" t="inlineStr">
        <is>
          <t>Car#205</t>
        </is>
      </c>
      <c r="I208" s="14">
        <f>E208-E207</f>
        <v/>
      </c>
      <c r="J208" s="14">
        <f>I208-58</f>
        <v/>
      </c>
      <c r="K208" s="14">
        <f>MAX(0,J208)</f>
        <v/>
      </c>
      <c r="L208" s="14">
        <f>MAX(0,-J208)</f>
        <v/>
      </c>
      <c r="M208" s="14">
        <f>M207+I208</f>
        <v/>
      </c>
      <c r="N208" s="14">
        <f>D208+F208-E208</f>
        <v/>
      </c>
      <c r="O208" s="13" t="inlineStr">
        <is>
          <t>能力超目标：四轮定位上、下</t>
        </is>
      </c>
      <c r="P208" s="13" t="inlineStr">
        <is>
          <t>ST1 引取(开:13364.5s 加:56.0s 等前:1416.5s 等后:32.5s) | ST2 集约(开:13453.0s 加:111.0s 等前:0.0s 等后:9.5s) | ST3 空气悬挂+快充(开:13573.5s 加:108.5s 等前:0.0s 等后:29.0s) | ST4 四轮定位上、下(开:13711.0s 加:120.5s 等前:0.0s 等后:23.0s) | ST5 ADAS(开:13854.5s 加:107.0s 等前:0.0s 等后:7.5s) | ST6 ARHUD+慢充(开:13969.0s 加:51.5s 等前:0.0s 等后:64.5s) | ST7 转毂(开:14085.0s 加:114.5s 等前:0.0s 等后:0.0s) | ST8 制动(开:14199.5s 加:114.0s 等前:0.0s 等后:0.0s) | ST9 EG漏液/底盘漏液(开:14313.5s 加:112.5s 等前:0.0s 等后:0.0s) | ST10 全景/空调检查(开:14426.0s 加:0.0s 等前:0.0s 等后:0.0s) | ST11 气囊安装+绝缘(开:14426.0s 加:116.0s 等前:0.0s 等后:0.0s) | ST12 L2++(开:14542.0s 加:88.0s 等前:0.0s 等后:0.0s) | ST13 电检1(开:14630.0s 加:84.5s 等前:0.0s 等后:0.0s) | ST14 电检2(开:14714.5s 加:97.5s 等前:0.0s 等后:0.0s) | ST15 小跑道(开:14812.0s 加:50.0s 等前:0.0s 等后:0.0s)</t>
        </is>
      </c>
    </row>
    <row r="209">
      <c r="A209" s="15" t="n">
        <v>208</v>
      </c>
      <c r="B209" s="15" t="inlineStr">
        <is>
          <t>Car#208</t>
        </is>
      </c>
      <c r="C209" s="15" t="inlineStr">
        <is>
          <t>C</t>
        </is>
      </c>
      <c r="D209" s="16" t="n">
        <v>13453</v>
      </c>
      <c r="E209" s="16" t="n">
        <v>14912</v>
      </c>
      <c r="F209" s="16" t="n">
        <v>1459</v>
      </c>
      <c r="G209" s="16" t="n">
        <v>1482.5</v>
      </c>
      <c r="H209" s="15" t="inlineStr">
        <is>
          <t>Car#207</t>
        </is>
      </c>
      <c r="I209" s="16">
        <f>E209-E208</f>
        <v/>
      </c>
      <c r="J209" s="16">
        <f>I209-58</f>
        <v/>
      </c>
      <c r="K209" s="16">
        <f>MAX(0,J209)</f>
        <v/>
      </c>
      <c r="L209" s="16">
        <f>MAX(0,-J209)</f>
        <v/>
      </c>
      <c r="M209" s="16">
        <f>M208+I209</f>
        <v/>
      </c>
      <c r="N209" s="16">
        <f>D209+F209-E209</f>
        <v/>
      </c>
      <c r="O209" s="15" t="inlineStr">
        <is>
          <t>能力超目标：四轮定位上、下、ARHUD+慢充</t>
        </is>
      </c>
      <c r="P209" s="15" t="inlineStr">
        <is>
          <t>ST1 引取(开:13453.0s 加:56.0s 等前:1447.0s 等后:0.0s) | ST2 集约(开:13509.0s 加:111.0s 等前:0.0s 等后:0.0s) | ST3 空气悬挂+快充(开:13620.0s 加:108.5s 等前:0.0s 等后:0.0s) | ST4 四轮定位上、下(开:13728.5s 加:120.5s 等前:0.0s 等后:0.0s) | ST5 ADAS(开:13849.0s 加:107.0s 等前:0.0s 等后:0.0s) | ST6 ARHUD+慢充(开:13956.0s 加:143.5s 等前:0.0s 等后:0.0s) | ST7 转毂(开:14099.5s 加:114.5s 等前:0.0s 等后:0.0s) | ST8 制动(开:14214.0s 加:114.0s 等前:0.0s 等后:0.0s) | ST9 EG漏液/底盘漏液(开:14328.0s 加:112.5s 等前:0.0s 等后:0.0s) | ST10 全景/空调检查(开:14440.5s 加:0.0s 等前:0.0s 等后:0.0s) | ST11 气囊安装+绝缘(开:14440.5s 加:116.0s 等前:0.0s 等后:0.0s) | ST12 L2++(开:14556.5s 加:88.0s 等前:0.0s 等后:0.0s) | ST13 电检1(开:14644.5s 加:84.5s 等前:0.0s 等后:0.0s) | ST14 电检2(开:14729.0s 加:97.5s 等前:0.0s 等后:35.5s) | ST15 小跑道(开:14862.0s 加:50.0s 等前:0.0s 等后:0.0s)</t>
        </is>
      </c>
    </row>
    <row r="210">
      <c r="A210" s="13" t="n">
        <v>209</v>
      </c>
      <c r="B210" s="13" t="inlineStr">
        <is>
          <t>Car#209</t>
        </is>
      </c>
      <c r="C210" s="13" t="inlineStr">
        <is>
          <t>C</t>
        </is>
      </c>
      <c r="D210" s="14" t="n">
        <v>13509</v>
      </c>
      <c r="E210" s="14" t="n">
        <v>15005.5</v>
      </c>
      <c r="F210" s="14" t="n">
        <v>1496.5</v>
      </c>
      <c r="G210" s="14" t="n">
        <v>1518</v>
      </c>
      <c r="H210" s="13" t="inlineStr">
        <is>
          <t>Car#208</t>
        </is>
      </c>
      <c r="I210" s="14">
        <f>E210-E209</f>
        <v/>
      </c>
      <c r="J210" s="14">
        <f>I210-58</f>
        <v/>
      </c>
      <c r="K210" s="14">
        <f>MAX(0,J210)</f>
        <v/>
      </c>
      <c r="L210" s="14">
        <f>MAX(0,-J210)</f>
        <v/>
      </c>
      <c r="M210" s="14">
        <f>M209+I210</f>
        <v/>
      </c>
      <c r="N210" s="14">
        <f>D210+F210-E210</f>
        <v/>
      </c>
      <c r="O210" s="13" t="inlineStr">
        <is>
          <t>能力超目标：四轮定位上、下、ARHUD+慢充</t>
        </is>
      </c>
      <c r="P210" s="13" t="inlineStr">
        <is>
          <t>ST1 引取(开:13509.0s 加:56.0s 等前:1445.0s 等后:8.5s) | ST2 集约(开:13573.5s 加:111.0s 等前:0.0s 等后:26.5s) | ST3 空气悬挂+快充(开:13711.0s 加:108.5s 等前:0.0s 等后:35.0s) | ST4 四轮定位上、下(开:13854.5s 加:120.5s 等前:0.0s 等后:0.0s) | ST5 ADAS(开:13975.0s 加:107.0s 等前:0.0s 等后:3.0s) | ST6 ARHUD+慢充(开:14085.0s 加:143.5s 等前:0.0s 等后:0.0s) | ST7 转毂(开:14228.5s 加:114.5s 等前:0.0s 等后:0.0s) | ST8 制动(开:14343.0s 加:114.0s 等前:0.0s 等后:0.0s) | ST9 EG漏液/底盘漏液(开:14457.0s 加:112.5s 等前:0.0s 等后:0.0s) | ST10 全景/空调检查(开:14569.5s 加:0.0s 等前:0.0s 等后:0.0s) | ST11 气囊安装+绝缘(开:14569.5s 加:116.0s 等前:0.0s 等后:0.0s) | ST12 L2++(开:14685.5s 加:88.0s 等前:0.0s 等后:0.0s) | ST13 电检1(开:14773.5s 加:84.5s 等前:0.0s 等后:0.0s) | ST14 电检2(开:14858.0s 加:97.5s 等前:0.0s 等后:0.0s) | ST15 小跑道(开:14955.5s 加:50.0s 等前:0.0s 等后:0.0s)</t>
        </is>
      </c>
    </row>
    <row r="211">
      <c r="A211" s="15" t="n">
        <v>210</v>
      </c>
      <c r="B211" s="15" t="inlineStr">
        <is>
          <t>Car#210</t>
        </is>
      </c>
      <c r="C211" s="15" t="inlineStr">
        <is>
          <t>C</t>
        </is>
      </c>
      <c r="D211" s="16" t="n">
        <v>13573.5</v>
      </c>
      <c r="E211" s="16" t="n">
        <v>15055.5</v>
      </c>
      <c r="F211" s="16" t="n">
        <v>1482</v>
      </c>
      <c r="G211" s="16" t="n">
        <v>1510</v>
      </c>
      <c r="H211" s="15" t="inlineStr">
        <is>
          <t>Car#209</t>
        </is>
      </c>
      <c r="I211" s="16">
        <f>E211-E210</f>
        <v/>
      </c>
      <c r="J211" s="16">
        <f>I211-58</f>
        <v/>
      </c>
      <c r="K211" s="16">
        <f>MAX(0,J211)</f>
        <v/>
      </c>
      <c r="L211" s="16">
        <f>MAX(0,-J211)</f>
        <v/>
      </c>
      <c r="M211" s="16">
        <f>M210+I211</f>
        <v/>
      </c>
      <c r="N211" s="16">
        <f>D211+F211-E211</f>
        <v/>
      </c>
      <c r="O211" s="15" t="inlineStr">
        <is>
          <t>能力超目标：四轮定位上、下、ARHUD+慢充</t>
        </is>
      </c>
      <c r="P211" s="15" t="inlineStr">
        <is>
          <t>ST1 引取(开:13573.5s 加:56.0s 等前:1451.5s 等后:0.0s) | ST2 集约(开:13629.5s 加:111.0s 等前:0.0s 等后:0.0s) | ST3 空气悬挂+快充(开:13740.5s 加:108.5s 等前:0.0s 等后:0.0s) | ST4 四轮定位上、下(开:13849.0s 加:120.5s 等前:0.0s 等后:0.0s) | ST5 ADAS(开:13969.5s 加:107.0s 等前:0.0s 等后:23.0s) | ST6 ARHUD+慢充(开:14099.5s 加:143.5s 等前:0.0s 等后:0.0s) | ST7 转毂(开:14243.0s 加:114.5s 等前:0.0s 等后:0.0s) | ST8 制动(开:14357.5s 加:114.0s 等前:0.0s 等后:0.0s) | ST9 EG漏液/底盘漏液(开:14471.5s 加:112.5s 等前:0.0s 等后:0.0s) | ST10 全景/空调检查(开:14584.0s 加:0.0s 等前:0.0s 等后:0.0s) | ST11 气囊安装+绝缘(开:14584.0s 加:116.0s 等前:0.0s 等后:0.0s) | ST12 L2++(开:14700.0s 加:88.0s 等前:0.0s 等后:0.0s) | ST13 电检1(开:14788.0s 加:84.5s 等前:0.0s 等后:0.0s) | ST14 电检2(开:14872.5s 加:97.5s 等前:0.0s 等后:35.5s) | ST15 小跑道(开:15005.5s 加:50.0s 等前:0.0s 等后:0.0s)</t>
        </is>
      </c>
    </row>
    <row r="212">
      <c r="A212" s="13" t="n">
        <v>211</v>
      </c>
      <c r="B212" s="13" t="inlineStr">
        <is>
          <t>Car#211</t>
        </is>
      </c>
      <c r="C212" s="13" t="inlineStr">
        <is>
          <t>B</t>
        </is>
      </c>
      <c r="D212" s="14" t="n">
        <v>13629.5</v>
      </c>
      <c r="E212" s="14" t="n">
        <v>15121.5</v>
      </c>
      <c r="F212" s="14" t="n">
        <v>1492</v>
      </c>
      <c r="G212" s="14" t="n">
        <v>1610</v>
      </c>
      <c r="H212" s="13" t="inlineStr">
        <is>
          <t>Car#210</t>
        </is>
      </c>
      <c r="I212" s="14">
        <f>E212-E211</f>
        <v/>
      </c>
      <c r="J212" s="14">
        <f>I212-58</f>
        <v/>
      </c>
      <c r="K212" s="14">
        <f>MAX(0,J212)</f>
        <v/>
      </c>
      <c r="L212" s="14">
        <f>MAX(0,-J212)</f>
        <v/>
      </c>
      <c r="M212" s="14">
        <f>M211+I212</f>
        <v/>
      </c>
      <c r="N212" s="14">
        <f>D212+F212-E212</f>
        <v/>
      </c>
      <c r="O212" s="13" t="inlineStr">
        <is>
          <t>能力超目标：四轮定位上、下</t>
        </is>
      </c>
      <c r="P212" s="13" t="inlineStr">
        <is>
          <t>ST1 引取(开:13629.5s 加:56.0s 等前:1449.5s 等后:25.5s) | ST2 集约(开:13711.0s 加:111.0s 等前:0.0s 等后:32.5s) | ST3 空气悬挂+快充(开:13854.5s 加:108.5s 等前:0.0s 等后:12.0s) | ST4 四轮定位上、下(开:13975.0s 加:120.5s 等前:0.0s 等后:0.0s) | ST5 ADAS(开:14095.5s 加:107.0s 等前:0.0s 等后:26.0s) | ST6 ARHUD+慢充(开:14228.5s 加:51.5s 等前:0.0s 等后:63.0s) | ST7 转毂(开:14343.0s 加:114.5s 等前:0.0s 等后:0.0s) | ST8 制动(开:14457.5s 加:114.0s 等前:0.0s 等后:0.0s) | ST9 EG漏液/底盘漏液(开:14571.5s 加:112.5s 等前:0.0s 等后:0.0s) | ST10 全景/空调检查(开:14684.0s 加:0.0s 等前:0.0s 等后:1.5s) | ST11 气囊安装+绝缘(开:14685.5s 加:116.0s 等前:0.0s 等后:0.0s) | ST12 L2++(开:14801.5s 加:88.0s 等前:0.0s 等后:0.0s) | ST13 电检1(开:14889.5s 加:84.5s 等前:0.0s 等后:0.0s) | ST14 电检2(开:14974.0s 加:97.5s 等前:0.0s 等后:0.0s) | ST15 小跑道(开:15071.5s 加:50.0s 等前:0.0s 等后:0.0s)</t>
        </is>
      </c>
    </row>
    <row r="213">
      <c r="A213" s="15" t="n">
        <v>212</v>
      </c>
      <c r="B213" s="15" t="inlineStr">
        <is>
          <t>Car#212</t>
        </is>
      </c>
      <c r="C213" s="15" t="inlineStr">
        <is>
          <t>B</t>
        </is>
      </c>
      <c r="D213" s="16" t="n">
        <v>13711</v>
      </c>
      <c r="E213" s="16" t="n">
        <v>15171.5</v>
      </c>
      <c r="F213" s="16" t="n">
        <v>1460.5</v>
      </c>
      <c r="G213" s="16" t="n">
        <v>1602</v>
      </c>
      <c r="H213" s="15" t="inlineStr">
        <is>
          <t>Car#211</t>
        </is>
      </c>
      <c r="I213" s="16">
        <f>E213-E212</f>
        <v/>
      </c>
      <c r="J213" s="16">
        <f>I213-58</f>
        <v/>
      </c>
      <c r="K213" s="16">
        <f>MAX(0,J213)</f>
        <v/>
      </c>
      <c r="L213" s="16">
        <f>MAX(0,-J213)</f>
        <v/>
      </c>
      <c r="M213" s="16">
        <f>M212+I213</f>
        <v/>
      </c>
      <c r="N213" s="16">
        <f>D213+F213-E213</f>
        <v/>
      </c>
      <c r="O213" s="15" t="inlineStr">
        <is>
          <t>能力超目标：四轮定位上、下</t>
        </is>
      </c>
      <c r="P213" s="15" t="inlineStr">
        <is>
          <t>ST1 引取(开:13711.0s 加:56.0s 等前:1473.0s 等后:0.0s) | ST2 集约(开:13767.0s 加:111.0s 等前:0.0s 等后:0.0s) | ST3 空气悬挂+快充(开:13878.0s 加:108.5s 等前:0.0s 等后:0.0s) | ST4 四轮定位上、下(开:13986.5s 加:120.5s 等前:0.0s 等后:0.0s) | ST5 ADAS(开:14107.0s 加:107.0s 等前:0.0s 等后:29.0s) | ST6 ARHUD+慢充(开:14243.0s 加:51.5s 等前:0.0s 等后:63.0s) | ST7 转毂(开:14357.5s 加:114.5s 等前:0.0s 等后:0.0s) | ST8 制动(开:14472.0s 加:114.0s 等前:0.0s 等后:0.0s) | ST9 EG漏液/底盘漏液(开:14586.0s 加:112.5s 等前:0.0s 等后:0.0s) | ST10 全景/空调检查(开:14698.5s 加:0.0s 等前:0.0s 等后:1.5s) | ST11 气囊安装+绝缘(开:14700.0s 加:116.0s 等前:0.0s 等后:0.0s) | ST12 L2++(开:14816.0s 加:88.0s 等前:0.0s 等后:0.0s) | ST13 电检1(开:14904.0s 加:84.5s 等前:0.0s 等后:17.0s) | ST14 电检2(开:15005.5s 加:97.5s 等前:0.0s 等后:18.5s) | ST15 小跑道(开:15121.5s 加:50.0s 等前:0.0s 等后:0.0s)</t>
        </is>
      </c>
    </row>
    <row r="214">
      <c r="A214" s="13" t="n">
        <v>213</v>
      </c>
      <c r="B214" s="13" t="inlineStr">
        <is>
          <t>Car#213</t>
        </is>
      </c>
      <c r="C214" s="13" t="inlineStr">
        <is>
          <t>C</t>
        </is>
      </c>
      <c r="D214" s="14" t="n">
        <v>13767</v>
      </c>
      <c r="E214" s="14" t="n">
        <v>15263.5</v>
      </c>
      <c r="F214" s="14" t="n">
        <v>1496.5</v>
      </c>
      <c r="G214" s="14" t="n">
        <v>1544</v>
      </c>
      <c r="H214" s="13" t="inlineStr">
        <is>
          <t>Car#212</t>
        </is>
      </c>
      <c r="I214" s="14">
        <f>E214-E213</f>
        <v/>
      </c>
      <c r="J214" s="14">
        <f>I214-58</f>
        <v/>
      </c>
      <c r="K214" s="14">
        <f>MAX(0,J214)</f>
        <v/>
      </c>
      <c r="L214" s="14">
        <f>MAX(0,-J214)</f>
        <v/>
      </c>
      <c r="M214" s="14">
        <f>M213+I214</f>
        <v/>
      </c>
      <c r="N214" s="14">
        <f>D214+F214-E214</f>
        <v/>
      </c>
      <c r="O214" s="13" t="inlineStr">
        <is>
          <t>能力超目标：四轮定位上、下、ARHUD+慢充</t>
        </is>
      </c>
      <c r="P214" s="13" t="inlineStr">
        <is>
          <t>ST1 引取(开:13767.0s 加:56.0s 等前:1471.0s 等后:31.5s) | ST2 集约(开:13854.5s 加:111.0s 等前:0.0s 等后:9.5s) | ST3 空气悬挂+快充(开:13975.0s 加:108.5s 等前:0.0s 等后:12.0s) | ST4 四轮定位上、下(开:14095.5s 加:120.5s 等前:0.0s 等后:12.5s) | ST5 ADAS(开:14228.5s 加:107.0s 等前:0.0s 等后:7.5s) | ST6 ARHUD+慢充(开:14343.0s 加:143.5s 等前:0.0s 等后:0.0s) | ST7 转毂(开:14486.5s 加:114.5s 等前:0.0s 等后:0.0s) | ST8 制动(开:14601.0s 加:114.0s 等前:0.0s 等后:0.0s) | ST9 EG漏液/底盘漏液(开:14715.0s 加:112.5s 等前:0.0s 等后:0.0s) | ST10 全景/空调检查(开:14827.5s 加:0.0s 等前:0.0s 等后:0.0s) | ST11 气囊安装+绝缘(开:14827.5s 加:116.0s 等前:0.0s 等后:0.0s) | ST12 L2++(开:14943.5s 加:88.0s 等前:0.0s 等后:0.0s) | ST13 电检1(开:15031.5s 加:84.5s 等前:0.0s 等后:0.0s) | ST14 电检2(开:15116.0s 加:97.5s 等前:0.0s 等后:0.0s) | ST15 小跑道(开:15213.5s 加:50.0s 等前:0.0s 等后:0.0s)</t>
        </is>
      </c>
    </row>
    <row r="215">
      <c r="A215" s="15" t="n">
        <v>214</v>
      </c>
      <c r="B215" s="15" t="inlineStr">
        <is>
          <t>Car#214</t>
        </is>
      </c>
      <c r="C215" s="15" t="inlineStr">
        <is>
          <t>C</t>
        </is>
      </c>
      <c r="D215" s="16" t="n">
        <v>13854.5</v>
      </c>
      <c r="E215" s="16" t="n">
        <v>15313.5</v>
      </c>
      <c r="F215" s="16" t="n">
        <v>1459</v>
      </c>
      <c r="G215" s="16" t="n">
        <v>1536</v>
      </c>
      <c r="H215" s="15" t="inlineStr">
        <is>
          <t>Car#213</t>
        </is>
      </c>
      <c r="I215" s="16">
        <f>E215-E214</f>
        <v/>
      </c>
      <c r="J215" s="16">
        <f>I215-58</f>
        <v/>
      </c>
      <c r="K215" s="16">
        <f>MAX(0,J215)</f>
        <v/>
      </c>
      <c r="L215" s="16">
        <f>MAX(0,-J215)</f>
        <v/>
      </c>
      <c r="M215" s="16">
        <f>M214+I215</f>
        <v/>
      </c>
      <c r="N215" s="16">
        <f>D215+F215-E215</f>
        <v/>
      </c>
      <c r="O215" s="15" t="inlineStr">
        <is>
          <t>能力超目标：四轮定位上、下、ARHUD+慢充</t>
        </is>
      </c>
      <c r="P215" s="15" t="inlineStr">
        <is>
          <t>ST1 引取(开:13854.5s 加:56.0s 等前:1500.5s 等后:0.0s) | ST2 集约(开:13910.5s 加:111.0s 等前:0.0s 等后:0.0s) | ST3 空气悬挂+快充(开:14021.5s 加:108.5s 等前:0.0s 等后:0.0s) | ST4 四轮定位上、下(开:14130.0s 加:120.5s 等前:0.0s 等后:0.0s) | ST5 ADAS(开:14250.5s 加:107.0s 等前:0.0s 等后:0.0s) | ST6 ARHUD+慢充(开:14357.5s 加:143.5s 等前:0.0s 等后:0.0s) | ST7 转毂(开:14501.0s 加:114.5s 等前:0.0s 等后:0.0s) | ST8 制动(开:14615.5s 加:114.0s 等前:0.0s 等后:0.0s) | ST9 EG漏液/底盘漏液(开:14729.5s 加:112.5s 等前:0.0s 等后:0.0s) | ST10 全景/空调检查(开:14842.0s 加:0.0s 等前:0.0s 等后:0.0s) | ST11 气囊安装+绝缘(开:14842.0s 加:116.0s 等前:0.0s 等后:0.0s) | ST12 L2++(开:14958.0s 加:88.0s 等前:0.0s 等后:0.0s) | ST13 电检1(开:15046.0s 加:84.5s 等前:0.0s 等后:0.0s) | ST14 电检2(开:15130.5s 加:97.5s 等前:0.0s 等后:35.5s) | ST15 小跑道(开:15263.5s 加:50.0s 等前:0.0s 等后:0.0s)</t>
        </is>
      </c>
    </row>
    <row r="216">
      <c r="A216" s="13" t="n">
        <v>215</v>
      </c>
      <c r="B216" s="13" t="inlineStr">
        <is>
          <t>Car#215</t>
        </is>
      </c>
      <c r="C216" s="13" t="inlineStr">
        <is>
          <t>C</t>
        </is>
      </c>
      <c r="D216" s="14" t="n">
        <v>13910.5</v>
      </c>
      <c r="E216" s="14" t="n">
        <v>15407</v>
      </c>
      <c r="F216" s="14" t="n">
        <v>1496.5</v>
      </c>
      <c r="G216" s="14" t="n">
        <v>1571.5</v>
      </c>
      <c r="H216" s="13" t="inlineStr">
        <is>
          <t>Car#214</t>
        </is>
      </c>
      <c r="I216" s="14">
        <f>E216-E215</f>
        <v/>
      </c>
      <c r="J216" s="14">
        <f>I216-58</f>
        <v/>
      </c>
      <c r="K216" s="14">
        <f>MAX(0,J216)</f>
        <v/>
      </c>
      <c r="L216" s="14">
        <f>MAX(0,-J216)</f>
        <v/>
      </c>
      <c r="M216" s="14">
        <f>M215+I216</f>
        <v/>
      </c>
      <c r="N216" s="14">
        <f>D216+F216-E216</f>
        <v/>
      </c>
      <c r="O216" s="13" t="inlineStr">
        <is>
          <t>能力超目标：四轮定位上、下、ARHUD+慢充</t>
        </is>
      </c>
      <c r="P216" s="13" t="inlineStr">
        <is>
          <t>ST1 引取(开:13910.5s 加:56.0s 等前:1498.5s 等后:8.5s) | ST2 集约(开:13975.0s 加:111.0s 等前:0.0s 等后:9.5s) | ST3 空气悬挂+快充(开:14095.5s 加:108.5s 等前:0.0s 等后:24.5s) | ST4 四轮定位上、下(开:14228.5s 加:120.5s 等前:0.0s 等后:0.0s) | ST5 ADAS(开:14349.0s 加:107.0s 等前:0.0s 等后:30.5s) | ST6 ARHUD+慢充(开:14486.5s 加:143.5s 等前:0.0s 等后:0.0s) | ST7 转毂(开:14630.0s 加:114.5s 等前:0.0s 等后:0.0s) | ST8 制动(开:14744.5s 加:114.0s 等前:0.0s 等后:0.0s) | ST9 EG漏液/底盘漏液(开:14858.5s 加:112.5s 等前:0.0s 等后:0.0s) | ST10 全景/空调检查(开:14971.0s 加:0.0s 等前:0.0s 等后:0.0s) | ST11 气囊安装+绝缘(开:14971.0s 加:116.0s 等前:0.0s 等后:0.0s) | ST12 L2++(开:15087.0s 加:88.0s 等前:0.0s 等后:0.0s) | ST13 电检1(开:15175.0s 加:84.5s 等前:0.0s 等后:0.0s) | ST14 电检2(开:15259.5s 加:97.5s 等前:0.0s 等后:0.0s) | ST15 小跑道(开:15357.0s 加:50.0s 等前:0.0s 等后:0.0s)</t>
        </is>
      </c>
    </row>
    <row r="217">
      <c r="A217" s="15" t="n">
        <v>216</v>
      </c>
      <c r="B217" s="15" t="inlineStr">
        <is>
          <t>Car#217</t>
        </is>
      </c>
      <c r="C217" s="15" t="inlineStr">
        <is>
          <t>A</t>
        </is>
      </c>
      <c r="D217" s="16" t="n">
        <v>14031</v>
      </c>
      <c r="E217" s="16" t="n">
        <v>15458</v>
      </c>
      <c r="F217" s="16" t="n">
        <v>1427</v>
      </c>
      <c r="G217" s="16" t="n">
        <v>2069</v>
      </c>
      <c r="H217" s="15" t="inlineStr">
        <is>
          <t>Car#215</t>
        </is>
      </c>
      <c r="I217" s="16">
        <f>E217-E216</f>
        <v/>
      </c>
      <c r="J217" s="16">
        <f>I217-58</f>
        <v/>
      </c>
      <c r="K217" s="16">
        <f>MAX(0,J217)</f>
        <v/>
      </c>
      <c r="L217" s="16">
        <f>MAX(0,-J217)</f>
        <v/>
      </c>
      <c r="M217" s="16">
        <f>M216+I217</f>
        <v/>
      </c>
      <c r="N217" s="16">
        <f>D217+F217-E217</f>
        <v/>
      </c>
      <c r="O217" s="15" t="inlineStr">
        <is>
          <t>能力满足</t>
        </is>
      </c>
      <c r="P217" s="15" t="inlineStr">
        <is>
          <t>ST1 引取(开:14031.0s 加:55.0s 等前:1503.0s 等后:9.5s) | ST2 集约(开:14095.5s 加:106.0s 等前:0.0s 等后:27.0s) | ST3 空气悬挂+快充(开:14228.5s 加:0.0s 等前:0.0s 等后:120.5s) | ST4 四轮定位上、下(开:14349.0s 加:115.0s 等前:0.0s 等后:22.5s) | ST5 ADAS(开:14486.5s 加:97.0s 等前:0.0s 等后:46.5s) | ST6 ARHUD+慢充(开:14630.0s 加:0.0s 等前:0.0s 等后:114.5s) | ST7 转毂(开:14744.5s 加:116.0s 等前:0.0s 等后:0.0s) | ST8 制动(开:14860.5s 加:108.0s 等前:0.0s 等后:2.5s) | ST9 EG漏液/底盘漏液(开:14971.0s 加:115.0s 等前:0.0s 等后:0.0s) | ST10 全景/空调检查(开:15086.0s 加:98.0s 等前:0.0s 等后:0.0s) | ST11 气囊安装+绝缘(开:15184.0s 加:0.0s 等前:0.0s 等后:0.0s) | ST12 L2++(开:15184.0s 加:0.0s 等前:0.0s 等后:75.5s) | ST13 电检1(开:15259.5s 加:0.0s 等前:0.0s 等后:97.5s) | ST14 电检2(开:15357.0s 加:0.0s 等前:0.0s 等后:50.0s) | ST15 小跑道(开:15407.0s 加:51.0s 等前:0.0s 等后:0.0s)</t>
        </is>
      </c>
    </row>
    <row r="218">
      <c r="A218" s="13" t="n">
        <v>217</v>
      </c>
      <c r="B218" s="13" t="inlineStr">
        <is>
          <t>Car#216</t>
        </is>
      </c>
      <c r="C218" s="13" t="inlineStr">
        <is>
          <t>C</t>
        </is>
      </c>
      <c r="D218" s="14" t="n">
        <v>13975</v>
      </c>
      <c r="E218" s="14" t="n">
        <v>15508</v>
      </c>
      <c r="F218" s="14" t="n">
        <v>1533</v>
      </c>
      <c r="G218" s="14" t="n">
        <v>1614.5</v>
      </c>
      <c r="H218" s="13" t="inlineStr">
        <is>
          <t>Car#217</t>
        </is>
      </c>
      <c r="I218" s="14">
        <f>E218-E217</f>
        <v/>
      </c>
      <c r="J218" s="14">
        <f>I218-58</f>
        <v/>
      </c>
      <c r="K218" s="14">
        <f>MAX(0,J218)</f>
        <v/>
      </c>
      <c r="L218" s="14">
        <f>MAX(0,-J218)</f>
        <v/>
      </c>
      <c r="M218" s="14">
        <f>M217+I218</f>
        <v/>
      </c>
      <c r="N218" s="14">
        <f>D218+F218-E218</f>
        <v/>
      </c>
      <c r="O218" s="13" t="inlineStr">
        <is>
          <t>能力超目标：四轮定位上、下、ARHUD+慢充</t>
        </is>
      </c>
      <c r="P218" s="13" t="inlineStr">
        <is>
          <t>ST1 引取(开:13975.0s 加:56.0s 等前:1505.0s 等后:0.0s) | ST2 集约(开:14031.0s 加:111.0s 等前:0.0s 等后:0.0s) | ST3 空气悬挂+快充(开:14142.0s 加:108.5s 等前:0.0s 等后:0.0s) | ST4 四轮定位上、下(开:14250.5s 加:120.5s 等前:0.0s 等后:0.0s) | ST5 ADAS(开:14371.0s 加:107.0s 等前:0.0s 等后:23.0s) | ST6 ARHUD+慢充(开:14501.0s 加:143.5s 等前:0.0s 等后:0.0s) | ST7 转毂(开:14644.5s 加:114.5s 等前:0.0s 等后:0.0s) | ST8 制动(开:14759.0s 加:114.0s 等前:0.0s 等后:0.0s) | ST9 EG漏液/底盘漏液(开:14873.0s 加:112.5s 等前:0.0s 等后:0.0s) | ST10 全景/空调检查(开:14985.5s 加:0.0s 等前:0.0s 等后:0.0s) | ST11 气囊安装+绝缘(开:14985.5s 加:116.0s 等前:0.0s 等后:0.0s) | ST12 L2++(开:15101.5s 加:88.0s 等前:0.0s 等后:0.0s) | ST13 电检1(开:15189.5s 加:84.5s 等前:0.0s 等后:0.0s) | ST14 电检2(开:15274.0s 加:97.5s 等前:0.0s 等后:86.5s) | ST15 小跑道(开:15458.0s 加:50.0s 等前:0.0s 等后:0.0s)</t>
        </is>
      </c>
    </row>
    <row r="219">
      <c r="A219" s="15" t="n">
        <v>218</v>
      </c>
      <c r="B219" s="15" t="inlineStr">
        <is>
          <t>Car#218</t>
        </is>
      </c>
      <c r="C219" s="15" t="inlineStr">
        <is>
          <t>B</t>
        </is>
      </c>
      <c r="D219" s="16" t="n">
        <v>14095.5</v>
      </c>
      <c r="E219" s="16" t="n">
        <v>15605.5</v>
      </c>
      <c r="F219" s="16" t="n">
        <v>1510</v>
      </c>
      <c r="G219" s="16" t="n">
        <v>1688</v>
      </c>
      <c r="H219" s="15" t="inlineStr">
        <is>
          <t>Car#216</t>
        </is>
      </c>
      <c r="I219" s="16">
        <f>E219-E218</f>
        <v/>
      </c>
      <c r="J219" s="16">
        <f>I219-58</f>
        <v/>
      </c>
      <c r="K219" s="16">
        <f>MAX(0,J219)</f>
        <v/>
      </c>
      <c r="L219" s="16">
        <f>MAX(0,-J219)</f>
        <v/>
      </c>
      <c r="M219" s="16">
        <f>M218+I219</f>
        <v/>
      </c>
      <c r="N219" s="16">
        <f>D219+F219-E219</f>
        <v/>
      </c>
      <c r="O219" s="15" t="inlineStr">
        <is>
          <t>能力超目标：四轮定位上、下</t>
        </is>
      </c>
      <c r="P219" s="15" t="inlineStr">
        <is>
          <t>ST1 引取(开:14095.5s 加:56.0s 等前:1509.5s 等后:0.0s) | ST2 集约(开:14151.5s 加:111.0s 等前:0.0s 等后:0.0s) | ST3 空气悬挂+快充(开:14262.5s 加:108.5s 等前:0.0s 等后:0.0s) | ST4 四轮定位上、下(开:14371.0s 加:120.5s 等前:0.0s 等后:9.5s) | ST5 ADAS(开:14501.0s 加:107.0s 等前:0.0s 等后:36.5s) | ST6 ARHUD+慢充(开:14644.5s 加:51.5s 等前:0.0s 等后:63.0s) | ST7 转毂(开:14759.0s 加:114.5s 等前:0.0s 等后:0.0s) | ST8 制动(开:14873.5s 加:114.0s 等前:0.0s 等后:0.0s) | ST9 EG漏液/底盘漏液(开:14987.5s 加:112.5s 等前:0.0s 等后:0.0s) | ST10 全景/空调检查(开:15100.0s 加:0.0s 等前:0.0s 等后:1.5s) | ST11 气囊安装+绝缘(开:15101.5s 加:116.0s 等前:0.0s 等后:0.0s) | ST12 L2++(开:15217.5s 加:88.0s 等前:0.0s 等后:0.0s) | ST13 电检1(开:15305.5s 加:84.5s 等前:0.0s 等后:68.0s) | ST14 电检2(开:15458.0s 加:97.5s 等前:0.0s 等后:0.0s) | ST15 小跑道(开:15555.5s 加:50.0s 等前:0.0s 等后:0.0s)</t>
        </is>
      </c>
    </row>
    <row r="220">
      <c r="A220" s="13" t="n">
        <v>219</v>
      </c>
      <c r="B220" s="13" t="inlineStr">
        <is>
          <t>Car#219</t>
        </is>
      </c>
      <c r="C220" s="13" t="inlineStr">
        <is>
          <t>B</t>
        </is>
      </c>
      <c r="D220" s="14" t="n">
        <v>14151.5</v>
      </c>
      <c r="E220" s="14" t="n">
        <v>15655.5</v>
      </c>
      <c r="F220" s="14" t="n">
        <v>1504</v>
      </c>
      <c r="G220" s="14" t="n">
        <v>1680</v>
      </c>
      <c r="H220" s="13" t="inlineStr">
        <is>
          <t>Car#218</t>
        </is>
      </c>
      <c r="I220" s="14">
        <f>E220-E219</f>
        <v/>
      </c>
      <c r="J220" s="14">
        <f>I220-58</f>
        <v/>
      </c>
      <c r="K220" s="14">
        <f>MAX(0,J220)</f>
        <v/>
      </c>
      <c r="L220" s="14">
        <f>MAX(0,-J220)</f>
        <v/>
      </c>
      <c r="M220" s="14">
        <f>M219+I220</f>
        <v/>
      </c>
      <c r="N220" s="14">
        <f>D220+F220-E220</f>
        <v/>
      </c>
      <c r="O220" s="13" t="inlineStr">
        <is>
          <t>能力超目标：四轮定位上、下</t>
        </is>
      </c>
      <c r="P220" s="13" t="inlineStr">
        <is>
          <t>ST1 引取(开:14151.5s 加:56.0s 等前:1507.5s 等后:21.0s) | ST2 集约(开:14228.5s 加:111.0s 等前:0.0s 等后:9.5s) | ST3 空气悬挂+快充(开:14349.0s 加:108.5s 等前:0.0s 等后:29.0s) | ST4 四轮定位上、下(开:14486.5s 加:120.5s 等前:0.0s 等后:23.0s) | ST5 ADAS(开:14630.0s 加:107.0s 等前:0.0s 等后:7.5s) | ST6 ARHUD+慢充(开:14744.5s 加:51.5s 等前:0.0s 等后:64.5s) | ST7 转毂(开:14860.5s 加:114.5s 等前:0.0s 等后:0.0s) | ST8 制动(开:14975.0s 加:114.0s 等前:0.0s 等后:0.0s) | ST9 EG漏液/底盘漏液(开:15089.0s 加:112.5s 等前:0.0s 等后:0.0s) | ST10 全景/空调检查(开:15201.5s 加:0.0s 等前:0.0s 等后:0.0s) | ST11 气囊安装+绝缘(开:15201.5s 加:116.0s 等前:0.0s 等后:0.0s) | ST12 L2++(开:15317.5s 加:88.0s 等前:0.0s 等后:0.0s) | ST13 电检1(开:15405.5s 加:84.5s 等前:0.0s 等后:0.0s) | ST14 电检2(开:15490.0s 加:97.5s 等前:0.0s 等后:18.0s) | ST15 小跑道(开:15605.5s 加:50.0s 等前:0.0s 等后:0.0s)</t>
        </is>
      </c>
    </row>
    <row r="221">
      <c r="A221" s="15" t="n">
        <v>220</v>
      </c>
      <c r="B221" s="15" t="inlineStr">
        <is>
          <t>Car#221</t>
        </is>
      </c>
      <c r="C221" s="15" t="inlineStr">
        <is>
          <t>A</t>
        </is>
      </c>
      <c r="D221" s="16" t="n">
        <v>14284.5</v>
      </c>
      <c r="E221" s="16" t="n">
        <v>15706.5</v>
      </c>
      <c r="F221" s="16" t="n">
        <v>1422</v>
      </c>
      <c r="G221" s="16" t="n">
        <v>2085.5</v>
      </c>
      <c r="H221" s="15" t="inlineStr">
        <is>
          <t>Car#219</t>
        </is>
      </c>
      <c r="I221" s="16">
        <f>E221-E220</f>
        <v/>
      </c>
      <c r="J221" s="16">
        <f>I221-58</f>
        <v/>
      </c>
      <c r="K221" s="16">
        <f>MAX(0,J221)</f>
        <v/>
      </c>
      <c r="L221" s="16">
        <f>MAX(0,-J221)</f>
        <v/>
      </c>
      <c r="M221" s="16">
        <f>M220+I221</f>
        <v/>
      </c>
      <c r="N221" s="16">
        <f>D221+F221-E221</f>
        <v/>
      </c>
      <c r="O221" s="15" t="inlineStr">
        <is>
          <t>能力满足</t>
        </is>
      </c>
      <c r="P221" s="15" t="inlineStr">
        <is>
          <t>ST1 引取(开:14284.5s 加:55.0s 等前:1524.5s 等后:9.5s) | ST2 集约(开:14349.0s 加:106.0s 等前:0.0s 等后:31.5s) | ST3 空气悬挂+快充(开:14486.5s 加:0.0s 等前:0.0s 等后:143.5s) | ST4 四轮定位上、下(开:14630.0s 加:115.0s 等前:0.0s 等后:0.0s) | ST5 ADAS(开:14745.0s 加:97.0s 等前:0.0s 等后:18.5s) | ST6 ARHUD+慢充(开:14860.5s 加:0.0s 等前:0.0s 等后:114.5s) | ST7 转毂(开:14975.0s 加:116.0s 等前:0.0s 等后:0.0s) | ST8 制动(开:15091.0s 加:108.0s 等前:0.0s 等后:2.5s) | ST9 EG漏液/底盘漏液(开:15201.5s 加:115.0s 等前:0.0s 等后:0.0s) | ST10 全景/空调检查(开:15316.5s 加:98.0s 等前:0.0s 等后:0.0s) | ST11 气囊安装+绝缘(开:15414.5s 加:0.0s 等前:0.0s 等后:0.0s) | ST12 L2++(开:15414.5s 加:0.0s 等前:0.0s 等后:75.5s) | ST13 电检1(开:15490.0s 加:0.0s 等前:0.0s 等后:115.5s) | ST14 电检2(开:15605.5s 加:0.0s 等前:0.0s 等后:50.0s) | ST15 小跑道(开:15655.5s 加:51.0s 等前:0.0s 等后:0.0s)</t>
        </is>
      </c>
    </row>
    <row r="222">
      <c r="A222" s="13" t="n">
        <v>221</v>
      </c>
      <c r="B222" s="13" t="inlineStr">
        <is>
          <t>Car#220</t>
        </is>
      </c>
      <c r="C222" s="13" t="inlineStr">
        <is>
          <t>B</t>
        </is>
      </c>
      <c r="D222" s="14" t="n">
        <v>14228.5</v>
      </c>
      <c r="E222" s="14" t="n">
        <v>15756.5</v>
      </c>
      <c r="F222" s="14" t="n">
        <v>1528</v>
      </c>
      <c r="G222" s="14" t="n">
        <v>1723</v>
      </c>
      <c r="H222" s="13" t="inlineStr">
        <is>
          <t>Car#221</t>
        </is>
      </c>
      <c r="I222" s="14">
        <f>E222-E221</f>
        <v/>
      </c>
      <c r="J222" s="14">
        <f>I222-58</f>
        <v/>
      </c>
      <c r="K222" s="14">
        <f>MAX(0,J222)</f>
        <v/>
      </c>
      <c r="L222" s="14">
        <f>MAX(0,-J222)</f>
        <v/>
      </c>
      <c r="M222" s="14">
        <f>M221+I222</f>
        <v/>
      </c>
      <c r="N222" s="14">
        <f>D222+F222-E222</f>
        <v/>
      </c>
      <c r="O222" s="13" t="inlineStr">
        <is>
          <t>能力超目标：四轮定位上、下</t>
        </is>
      </c>
      <c r="P222" s="13" t="inlineStr">
        <is>
          <t>ST1 引取(开:14228.5s 加:56.0s 等前:1526.5s 等后:0.0s) | ST2 集约(开:14284.5s 加:111.0s 等前:0.0s 等后:0.0s) | ST3 空气悬挂+快充(开:14395.5s 加:108.5s 等前:0.0s 等后:0.0s) | ST4 四轮定位上、下(开:14504.0s 加:120.5s 等前:0.0s 等后:20.0s) | ST5 ADAS(开:14644.5s 加:107.0s 等前:0.0s 等后:7.5s) | ST6 ARHUD+慢充(开:14759.0s 加:51.5s 等前:0.0s 等后:63.0s) | ST7 转毂(开:14873.5s 加:114.5s 等前:0.0s 等后:0.0s) | ST8 制动(开:14988.0s 加:114.0s 等前:0.0s 等后:0.0s) | ST9 EG漏液/底盘漏液(开:15102.0s 加:112.5s 等前:0.0s 等后:0.0s) | ST10 全景/空调检查(开:15214.5s 加:0.0s 等前:0.0s 等后:3.0s) | ST11 气囊安装+绝缘(开:15217.5s 加:116.0s 等前:0.0s 等后:0.0s) | ST12 L2++(开:15333.5s 加:88.0s 等前:0.0s 等后:36.5s) | ST13 电检1(开:15458.0s 加:84.5s 等前:0.0s 等后:13.0s) | ST14 电检2(开:15555.5s 加:97.5s 等前:0.0s 等后:53.5s) | ST15 小跑道(开:15706.5s 加:50.0s 等前:0.0s 等后:0.0s)</t>
        </is>
      </c>
    </row>
    <row r="223">
      <c r="A223" s="15" t="n">
        <v>222</v>
      </c>
      <c r="B223" s="15" t="inlineStr">
        <is>
          <t>Car#222</t>
        </is>
      </c>
      <c r="C223" s="15" t="inlineStr">
        <is>
          <t>C</t>
        </is>
      </c>
      <c r="D223" s="16" t="n">
        <v>14349</v>
      </c>
      <c r="E223" s="16" t="n">
        <v>15854</v>
      </c>
      <c r="F223" s="16" t="n">
        <v>1505</v>
      </c>
      <c r="G223" s="16" t="n">
        <v>1612.5</v>
      </c>
      <c r="H223" s="15" t="inlineStr">
        <is>
          <t>Car#220</t>
        </is>
      </c>
      <c r="I223" s="16">
        <f>E223-E222</f>
        <v/>
      </c>
      <c r="J223" s="16">
        <f>I223-58</f>
        <v/>
      </c>
      <c r="K223" s="16">
        <f>MAX(0,J223)</f>
        <v/>
      </c>
      <c r="L223" s="16">
        <f>MAX(0,-J223)</f>
        <v/>
      </c>
      <c r="M223" s="16">
        <f>M222+I223</f>
        <v/>
      </c>
      <c r="N223" s="16">
        <f>D223+F223-E223</f>
        <v/>
      </c>
      <c r="O223" s="15" t="inlineStr">
        <is>
          <t>能力超目标：四轮定位上、下、ARHUD+慢充</t>
        </is>
      </c>
      <c r="P223" s="15" t="inlineStr">
        <is>
          <t>ST1 引取(开:14349.0s 加:56.0s 等前:1531.0s 等后:0.0s) | ST2 集约(开:14405.0s 加:111.0s 等前:0.0s 等后:0.0s) | ST3 空气悬挂+快充(开:14516.0s 加:108.5s 等前:0.0s 等后:20.0s) | ST4 四轮定位上、下(开:14644.5s 加:120.5s 等前:0.0s 等后:0.0s) | ST5 ADAS(开:14765.0s 加:107.0s 等前:0.0s 等后:1.5s) | ST6 ARHUD+慢充(开:14873.5s 加:143.5s 等前:0.0s 等后:0.0s) | ST7 转毂(开:15017.0s 加:114.5s 等前:0.0s 等后:0.0s) | ST8 制动(开:15131.5s 加:114.0s 等前:0.0s 等后:0.0s) | ST9 EG漏液/底盘漏液(开:15245.5s 加:112.5s 等前:0.0s 等后:0.0s) | ST10 全景/空调检查(开:15358.0s 加:0.0s 等前:0.0s 等后:0.0s) | ST11 气囊安装+绝缘(开:15358.0s 加:116.0s 等前:0.0s 等后:0.0s) | ST12 L2++(开:15474.0s 加:88.0s 等前:0.0s 等后:0.0s) | ST13 电检1(开:15562.0s 加:84.5s 等前:0.0s 等后:60.0s) | ST14 电检2(开:15706.5s 加:97.5s 等前:0.0s 等后:0.0s) | ST15 小跑道(开:15804.0s 加:50.0s 等前:0.0s 等后:0.0s)</t>
        </is>
      </c>
    </row>
    <row r="224">
      <c r="A224" s="13" t="n">
        <v>223</v>
      </c>
      <c r="B224" s="13" t="inlineStr">
        <is>
          <t>Car#223</t>
        </is>
      </c>
      <c r="C224" s="13" t="inlineStr">
        <is>
          <t>C</t>
        </is>
      </c>
      <c r="D224" s="14" t="n">
        <v>14405</v>
      </c>
      <c r="E224" s="14" t="n">
        <v>15904</v>
      </c>
      <c r="F224" s="14" t="n">
        <v>1499</v>
      </c>
      <c r="G224" s="14" t="n">
        <v>1604.5</v>
      </c>
      <c r="H224" s="13" t="inlineStr">
        <is>
          <t>Car#222</t>
        </is>
      </c>
      <c r="I224" s="14">
        <f>E224-E223</f>
        <v/>
      </c>
      <c r="J224" s="14">
        <f>I224-58</f>
        <v/>
      </c>
      <c r="K224" s="14">
        <f>MAX(0,J224)</f>
        <v/>
      </c>
      <c r="L224" s="14">
        <f>MAX(0,-J224)</f>
        <v/>
      </c>
      <c r="M224" s="14">
        <f>M223+I224</f>
        <v/>
      </c>
      <c r="N224" s="14">
        <f>D224+F224-E224</f>
        <v/>
      </c>
      <c r="O224" s="13" t="inlineStr">
        <is>
          <t>能力超目标：四轮定位上、下、ARHUD+慢充</t>
        </is>
      </c>
      <c r="P224" s="13" t="inlineStr">
        <is>
          <t>ST1 引取(开:14405.0s 加:56.0s 等前:1529.0s 等后:25.5s) | ST2 集约(开:14486.5s 加:111.0s 等前:0.0s 等后:32.5s) | ST3 空气悬挂+快充(开:14630.0s 加:108.5s 等前:0.0s 等后:6.5s) | ST4 四轮定位上、下(开:14745.0s 加:120.5s 等前:0.0s 等后:0.0s) | ST5 ADAS(开:14865.5s 加:107.0s 等前:0.0s 等后:2.5s) | ST6 ARHUD+慢充(开:14975.0s 加:143.5s 等前:0.0s 等后:0.0s) | ST7 转毂(开:15118.5s 加:114.5s 等前:0.0s 等后:0.0s) | ST8 制动(开:15233.0s 加:114.0s 等前:0.0s 等后:0.0s) | ST9 EG漏液/底盘漏液(开:15347.0s 加:112.5s 等前:0.0s 等后:0.0s) | ST10 全景/空调检查(开:15459.5s 加:0.0s 等前:0.0s 等后:0.0s) | ST11 气囊安装+绝缘(开:15459.5s 加:116.0s 等前:0.0s 等后:0.0s) | ST12 L2++(开:15575.5s 加:88.0s 等前:0.0s 等后:0.0s) | ST13 电检1(开:15663.5s 加:84.5s 等前:0.0s 等后:0.0s) | ST14 电检2(开:15748.0s 加:97.5s 等前:0.0s 等后:8.5s) | ST15 小跑道(开:15854.0s 加:50.0s 等前:0.0s 等后:0.0s)</t>
        </is>
      </c>
    </row>
    <row r="225">
      <c r="A225" s="15" t="n">
        <v>224</v>
      </c>
      <c r="B225" s="15" t="inlineStr">
        <is>
          <t>Car#225</t>
        </is>
      </c>
      <c r="C225" s="15" t="inlineStr">
        <is>
          <t>A</t>
        </is>
      </c>
      <c r="D225" s="16" t="n">
        <v>14542.5</v>
      </c>
      <c r="E225" s="16" t="n">
        <v>15955</v>
      </c>
      <c r="F225" s="16" t="n">
        <v>1412.5</v>
      </c>
      <c r="G225" s="16" t="n">
        <v>2102</v>
      </c>
      <c r="H225" s="15" t="inlineStr">
        <is>
          <t>Car#223</t>
        </is>
      </c>
      <c r="I225" s="16">
        <f>E225-E224</f>
        <v/>
      </c>
      <c r="J225" s="16">
        <f>I225-58</f>
        <v/>
      </c>
      <c r="K225" s="16">
        <f>MAX(0,J225)</f>
        <v/>
      </c>
      <c r="L225" s="16">
        <f>MAX(0,-J225)</f>
        <v/>
      </c>
      <c r="M225" s="16">
        <f>M224+I225</f>
        <v/>
      </c>
      <c r="N225" s="16">
        <f>D225+F225-E225</f>
        <v/>
      </c>
      <c r="O225" s="15" t="inlineStr">
        <is>
          <t>能力满足</t>
        </is>
      </c>
      <c r="P225" s="15" t="inlineStr">
        <is>
          <t>ST1 引取(开:14542.5s 加:55.0s 等前:1550.5s 等后:32.5s) | ST2 集约(开:14630.0s 加:106.0s 等前:0.0s 等后:9.0s) | ST3 空气悬挂+快充(开:14745.0s 加:0.0s 等前:0.0s 等后:120.5s) | ST4 四轮定位上、下(开:14865.5s 加:115.0s 等前:0.0s 等后:0.0s) | ST5 ADAS(开:14980.5s 加:97.0s 等前:0.0s 等后:41.0s) | ST6 ARHUD+慢充(开:15118.5s 加:0.0s 等前:0.0s 等后:114.5s) | ST7 转毂(开:15233.0s 加:116.0s 等前:0.0s 等后:0.0s) | ST8 制动(开:15349.0s 加:108.0s 等前:0.0s 等后:2.5s) | ST9 EG漏液/底盘漏液(开:15459.5s 加:115.0s 等前:0.0s 等后:0.0s) | ST10 全景/空调检查(开:15574.5s 加:98.0s 等前:0.0s 等后:0.0s) | ST11 气囊安装+绝缘(开:15672.5s 加:0.0s 等前:0.0s 等后:0.0s) | ST12 L2++(开:15672.5s 加:0.0s 等前:0.0s 等后:75.5s) | ST13 电检1(开:15748.0s 加:0.0s 等前:0.0s 等后:106.0s) | ST14 电检2(开:15854.0s 加:0.0s 等前:0.0s 等后:50.0s) | ST15 小跑道(开:15904.0s 加:51.0s 等前:0.0s 等后:0.0s)</t>
        </is>
      </c>
    </row>
    <row r="226">
      <c r="A226" s="13" t="n">
        <v>225</v>
      </c>
      <c r="B226" s="13" t="inlineStr">
        <is>
          <t>Car#224</t>
        </is>
      </c>
      <c r="C226" s="13" t="inlineStr">
        <is>
          <t>C</t>
        </is>
      </c>
      <c r="D226" s="14" t="n">
        <v>14486.5</v>
      </c>
      <c r="E226" s="14" t="n">
        <v>16005</v>
      </c>
      <c r="F226" s="14" t="n">
        <v>1518.5</v>
      </c>
      <c r="G226" s="14" t="n">
        <v>1647.5</v>
      </c>
      <c r="H226" s="13" t="inlineStr">
        <is>
          <t>Car#225</t>
        </is>
      </c>
      <c r="I226" s="14">
        <f>E226-E225</f>
        <v/>
      </c>
      <c r="J226" s="14">
        <f>I226-58</f>
        <v/>
      </c>
      <c r="K226" s="14">
        <f>MAX(0,J226)</f>
        <v/>
      </c>
      <c r="L226" s="14">
        <f>MAX(0,-J226)</f>
        <v/>
      </c>
      <c r="M226" s="14">
        <f>M225+I226</f>
        <v/>
      </c>
      <c r="N226" s="14">
        <f>D226+F226-E226</f>
        <v/>
      </c>
      <c r="O226" s="13" t="inlineStr">
        <is>
          <t>能力超目标：四轮定位上、下、ARHUD+慢充</t>
        </is>
      </c>
      <c r="P226" s="13" t="inlineStr">
        <is>
          <t>ST1 引取(开:14486.5s 加:56.0s 等前:1552.5s 等后:0.0s) | ST2 集约(开:14542.5s 加:111.0s 等前:0.0s 等后:0.0s) | ST3 空气悬挂+快充(开:14653.5s 加:108.5s 等前:0.0s 等后:3.0s) | ST4 四轮定位上、下(开:14765.0s 加:120.5s 等前:0.0s 等后:0.0s) | ST5 ADAS(开:14885.5s 加:107.0s 等前:0.0s 等后:24.5s) | ST6 ARHUD+慢充(开:15017.0s 加:143.5s 等前:0.0s 等后:0.0s) | ST7 转毂(开:15160.5s 加:114.5s 等前:0.0s 等后:0.0s) | ST8 制动(开:15275.0s 加:114.0s 等前:0.0s 等后:0.0s) | ST9 EG漏液/底盘漏液(开:15389.0s 加:112.5s 等前:0.0s 等后:0.0s) | ST10 全景/空调检查(开:15501.5s 加:0.0s 等前:0.0s 等后:0.0s) | ST11 气囊安装+绝缘(开:15501.5s 加:116.0s 等前:0.0s 等后:0.0s) | ST12 L2++(开:15617.5s 加:88.0s 等前:0.0s 等后:1.0s) | ST13 电检1(开:15706.5s 加:84.5s 等前:0.0s 等后:13.0s) | ST14 电检2(开:15804.0s 加:97.5s 等前:0.0s 等后:53.5s) | ST15 小跑道(开:15955.0s 加:50.0s 等前:0.0s 等后:0.0s)</t>
        </is>
      </c>
    </row>
    <row r="227">
      <c r="A227" s="15" t="n">
        <v>226</v>
      </c>
      <c r="B227" s="15" t="inlineStr">
        <is>
          <t>Car#227</t>
        </is>
      </c>
      <c r="C227" s="15" t="inlineStr">
        <is>
          <t>A</t>
        </is>
      </c>
      <c r="D227" s="16" t="n">
        <v>14685</v>
      </c>
      <c r="E227" s="16" t="n">
        <v>16056</v>
      </c>
      <c r="F227" s="16" t="n">
        <v>1371</v>
      </c>
      <c r="G227" s="16" t="n">
        <v>2087</v>
      </c>
      <c r="H227" s="15" t="inlineStr">
        <is>
          <t>Car#224</t>
        </is>
      </c>
      <c r="I227" s="16">
        <f>E227-E226</f>
        <v/>
      </c>
      <c r="J227" s="16">
        <f>I227-58</f>
        <v/>
      </c>
      <c r="K227" s="16">
        <f>MAX(0,J227)</f>
        <v/>
      </c>
      <c r="L227" s="16">
        <f>MAX(0,-J227)</f>
        <v/>
      </c>
      <c r="M227" s="16">
        <f>M226+I227</f>
        <v/>
      </c>
      <c r="N227" s="16">
        <f>D227+F227-E227</f>
        <v/>
      </c>
      <c r="O227" s="15" t="inlineStr">
        <is>
          <t>能力满足</t>
        </is>
      </c>
      <c r="P227" s="15" t="inlineStr">
        <is>
          <t>ST1 引取(开:14685.0s 加:55.0s 等前:1577.0s 等后:5.0s) | ST2 集约(开:14745.0s 加:106.0s 等前:0.0s 等后:14.5s) | ST3 空气悬挂+快充(开:14865.5s 加:0.0s 等前:0.0s 等后:115.0s) | ST4 四轮定位上、下(开:14980.5s 加:115.0s 等前:0.0s 等后:23.0s) | ST5 ADAS(开:15118.5s 加:97.0s 等前:0.0s 等后:17.5s) | ST6 ARHUD+慢充(开:15233.0s 加:0.0s 等前:0.0s 等后:116.0s) | ST7 转毂(开:15349.0s 加:116.0s 等前:0.0s 等后:0.0s) | ST8 制动(开:15465.0s 加:108.0s 等前:0.0s 等后:1.5s) | ST9 EG漏液/底盘漏液(开:15574.5s 加:115.0s 等前:0.0s 等后:0.0s) | ST10 全景/空调检查(开:15689.5s 加:98.0s 等前:0.0s 等后:0.0s) | ST11 气囊安装+绝缘(开:15787.5s 加:0.0s 等前:0.0s 等后:0.0s) | ST12 L2++(开:15787.5s 加:0.0s 等前:0.0s 等后:66.5s) | ST13 电检1(开:15854.0s 加:0.0s 等前:0.0s 等后:50.0s) | ST14 电检2(开:15904.0s 加:0.0s 等前:0.0s 等后:101.0s) | ST15 小跑道(开:16005.0s 加:51.0s 等前:0.0s 等后:0.0s)</t>
        </is>
      </c>
    </row>
    <row r="228">
      <c r="A228" s="13" t="n">
        <v>227</v>
      </c>
      <c r="B228" s="13" t="inlineStr">
        <is>
          <t>Car#226</t>
        </is>
      </c>
      <c r="C228" s="13" t="inlineStr">
        <is>
          <t>A</t>
        </is>
      </c>
      <c r="D228" s="14" t="n">
        <v>14630</v>
      </c>
      <c r="E228" s="14" t="n">
        <v>16107</v>
      </c>
      <c r="F228" s="14" t="n">
        <v>1477</v>
      </c>
      <c r="G228" s="14" t="n">
        <v>2196</v>
      </c>
      <c r="H228" s="13" t="inlineStr">
        <is>
          <t>Car#227</t>
        </is>
      </c>
      <c r="I228" s="14">
        <f>E228-E227</f>
        <v/>
      </c>
      <c r="J228" s="14">
        <f>I228-58</f>
        <v/>
      </c>
      <c r="K228" s="14">
        <f>MAX(0,J228)</f>
        <v/>
      </c>
      <c r="L228" s="14">
        <f>MAX(0,-J228)</f>
        <v/>
      </c>
      <c r="M228" s="14">
        <f>M227+I228</f>
        <v/>
      </c>
      <c r="N228" s="14">
        <f>D228+F228-E228</f>
        <v/>
      </c>
      <c r="O228" s="13" t="inlineStr">
        <is>
          <t>能力满足</t>
        </is>
      </c>
      <c r="P228" s="13" t="inlineStr">
        <is>
          <t>ST1 引取(开:14630.0s 加:55.0s 等前:1580.0s 等后:0.0s) | ST2 集约(开:14685.0s 加:106.0s 等前:0.0s 等后:0.0s) | ST3 空气悬挂+快充(开:14791.0s 加:0.0s 等前:0.0s 等后:94.5s) | ST4 四轮定位上、下(开:14885.5s 加:115.0s 等前:0.0s 等后:16.5s) | ST5 ADAS(开:15017.0s 加:97.0s 等前:0.0s 等后:46.5s) | ST6 ARHUD+慢充(开:15160.5s 加:0.0s 等前:0.0s 等后:114.5s) | ST7 转毂(开:15275.0s 加:116.0s 等前:0.0s 等后:0.0s) | ST8 制动(开:15391.0s 加:108.0s 等前:0.0s 等后:2.5s) | ST9 EG漏液/底盘漏液(开:15501.5s 加:115.0s 等前:0.0s 等后:0.0s) | ST10 全景/空调检查(开:15616.5s 加:98.0s 等前:0.0s 等后:0.0s) | ST11 气囊安装+绝缘(开:15714.5s 加:0.0s 等前:0.0s 等后:0.0s) | ST12 L2++(开:15714.5s 加:0.0s 等前:0.0s 等后:89.5s) | ST13 电检1(开:15804.0s 加:0.0s 等前:0.0s 等后:151.0s) | ST14 电检2(开:15955.0s 加:0.0s 等前:0.0s 等后:101.0s) | ST15 小跑道(开:16056.0s 加:51.0s 等前:0.0s 等后:0.0s)</t>
        </is>
      </c>
    </row>
    <row r="229">
      <c r="A229" s="15" t="n">
        <v>228</v>
      </c>
      <c r="B229" s="15" t="inlineStr">
        <is>
          <t>Car#228</t>
        </is>
      </c>
      <c r="C229" s="15" t="inlineStr">
        <is>
          <t>C</t>
        </is>
      </c>
      <c r="D229" s="16" t="n">
        <v>14745</v>
      </c>
      <c r="E229" s="16" t="n">
        <v>16203.5</v>
      </c>
      <c r="F229" s="16" t="n">
        <v>1458.5</v>
      </c>
      <c r="G229" s="16" t="n">
        <v>1614</v>
      </c>
      <c r="H229" s="15" t="inlineStr">
        <is>
          <t>Car#226</t>
        </is>
      </c>
      <c r="I229" s="16">
        <f>E229-E228</f>
        <v/>
      </c>
      <c r="J229" s="16">
        <f>I229-58</f>
        <v/>
      </c>
      <c r="K229" s="16">
        <f>MAX(0,J229)</f>
        <v/>
      </c>
      <c r="L229" s="16">
        <f>MAX(0,-J229)</f>
        <v/>
      </c>
      <c r="M229" s="16">
        <f>M228+I229</f>
        <v/>
      </c>
      <c r="N229" s="16">
        <f>D229+F229-E229</f>
        <v/>
      </c>
      <c r="O229" s="15" t="inlineStr">
        <is>
          <t>能力超目标：四轮定位上、下、ARHUD+慢充</t>
        </is>
      </c>
      <c r="P229" s="15" t="inlineStr">
        <is>
          <t>ST1 引取(开:14745.0s 加:56.0s 等前:1579.0s 等后:0.0s) | ST2 集约(开:14801.0s 加:111.0s 等前:0.0s 等后:0.0s) | ST3 空气悬挂+快充(开:14912.0s 加:108.5s 等前:0.0s 等后:0.0s) | ST4 四轮定位上、下(开:15020.5s 加:120.5s 等前:0.0s 等后:19.5s) | ST5 ADAS(开:15160.5s 加:107.0s 等前:0.0s 等后:7.5s) | ST6 ARHUD+慢充(开:15275.0s 加:143.5s 等前:0.0s 等后:0.0s) | ST7 转毂(开:15418.5s 加:114.5s 等前:0.0s 等后:0.0s) | ST8 制动(开:15533.0s 加:114.0s 等前:0.0s 等后:0.0s) | ST9 EG漏液/底盘漏液(开:15647.0s 加:112.5s 等前:0.0s 等后:0.0s) | ST10 全景/空调检查(开:15759.5s 加:0.0s 等前:0.0s 等后:0.0s) | ST11 气囊安装+绝缘(开:15759.5s 加:116.0s 等前:0.0s 等后:0.0s) | ST12 L2++(开:15875.5s 加:88.0s 等前:0.0s 等后:0.0s) | ST13 电检1(开:15963.5s 加:84.5s 等前:0.0s 等后:8.0s) | ST14 电检2(开:16056.0s 加:97.5s 等前:0.0s 等后:0.0s) | ST15 小跑道(开:16153.5s 加:50.0s 等前:0.0s 等后:0.0s)</t>
        </is>
      </c>
    </row>
    <row r="230">
      <c r="A230" s="13" t="n">
        <v>229</v>
      </c>
      <c r="B230" s="13" t="inlineStr">
        <is>
          <t>Car#229</t>
        </is>
      </c>
      <c r="C230" s="13" t="inlineStr">
        <is>
          <t>B</t>
        </is>
      </c>
      <c r="D230" s="14" t="n">
        <v>14801</v>
      </c>
      <c r="E230" s="14" t="n">
        <v>16253.5</v>
      </c>
      <c r="F230" s="14" t="n">
        <v>1452.5</v>
      </c>
      <c r="G230" s="14" t="n">
        <v>1698</v>
      </c>
      <c r="H230" s="13" t="inlineStr">
        <is>
          <t>Car#228</t>
        </is>
      </c>
      <c r="I230" s="14">
        <f>E230-E229</f>
        <v/>
      </c>
      <c r="J230" s="14">
        <f>I230-58</f>
        <v/>
      </c>
      <c r="K230" s="14">
        <f>MAX(0,J230)</f>
        <v/>
      </c>
      <c r="L230" s="14">
        <f>MAX(0,-J230)</f>
        <v/>
      </c>
      <c r="M230" s="14">
        <f>M229+I230</f>
        <v/>
      </c>
      <c r="N230" s="14">
        <f>D230+F230-E230</f>
        <v/>
      </c>
      <c r="O230" s="13" t="inlineStr">
        <is>
          <t>能力超目标：四轮定位上、下</t>
        </is>
      </c>
      <c r="P230" s="13" t="inlineStr">
        <is>
          <t>ST1 引取(开:14801.0s 加:56.0s 等前:1577.0s 等后:8.5s) | ST2 集约(开:14865.5s 加:111.0s 等前:0.0s 等后:4.0s) | ST3 空气悬挂+快充(开:14980.5s 加:108.5s 等前:0.0s 等后:29.5s) | ST4 四轮定位上、下(开:15118.5s 加:120.5s 等前:0.0s 等后:0.0s) | ST5 ADAS(开:15239.0s 加:107.0s 等前:0.0s 等后:3.0s) | ST6 ARHUD+慢充(开:15349.0s 加:51.5s 等前:0.0s 等后:64.5s) | ST7 转毂(开:15465.0s 加:114.5s 等前:0.0s 等后:0.0s) | ST8 制动(开:15579.5s 加:114.0s 等前:0.0s 等后:0.0s) | ST9 EG漏液/底盘漏液(开:15693.5s 加:112.5s 等前:0.0s 等后:0.0s) | ST10 全景/空调检查(开:15806.0s 加:0.0s 等前:0.0s 等后:0.0s) | ST11 气囊安装+绝缘(开:15806.0s 加:116.0s 等前:0.0s 等后:0.0s) | ST12 L2++(开:15922.0s 加:88.0s 等前:0.0s 等后:0.0s) | ST13 电检1(开:16010.0s 加:84.5s 等前:0.0s 等后:0.0s) | ST14 电检2(开:16094.5s 加:97.5s 等前:0.0s 等后:11.5s) | ST15 小跑道(开:16203.5s 加:50.0s 等前:0.0s 等后:0.0s)</t>
        </is>
      </c>
    </row>
    <row r="231">
      <c r="A231" s="15" t="n">
        <v>230</v>
      </c>
      <c r="B231" s="15" t="inlineStr">
        <is>
          <t>Car#230</t>
        </is>
      </c>
      <c r="C231" s="15" t="inlineStr">
        <is>
          <t>C</t>
        </is>
      </c>
      <c r="D231" s="16" t="n">
        <v>14865.5</v>
      </c>
      <c r="E231" s="16" t="n">
        <v>16339</v>
      </c>
      <c r="F231" s="16" t="n">
        <v>1473.5</v>
      </c>
      <c r="G231" s="16" t="n">
        <v>1633.5</v>
      </c>
      <c r="H231" s="15" t="inlineStr">
        <is>
          <t>Car#229</t>
        </is>
      </c>
      <c r="I231" s="16">
        <f>E231-E230</f>
        <v/>
      </c>
      <c r="J231" s="16">
        <f>I231-58</f>
        <v/>
      </c>
      <c r="K231" s="16">
        <f>MAX(0,J231)</f>
        <v/>
      </c>
      <c r="L231" s="16">
        <f>MAX(0,-J231)</f>
        <v/>
      </c>
      <c r="M231" s="16">
        <f>M230+I231</f>
        <v/>
      </c>
      <c r="N231" s="16">
        <f>D231+F231-E231</f>
        <v/>
      </c>
      <c r="O231" s="15" t="inlineStr">
        <is>
          <t>能力超目标：四轮定位上、下、ARHUD+慢充</t>
        </is>
      </c>
      <c r="P231" s="15" t="inlineStr">
        <is>
          <t>ST1 引取(开:14865.5s 加:56.0s 等前:1583.5s 等后:0.0s) | ST2 集约(开:14921.5s 加:111.0s 等前:0.0s 等后:0.0s) | ST3 空气悬挂+快充(开:15032.5s 加:108.5s 等前:0.0s 等后:19.5s) | ST4 四轮定位上、下(开:15160.5s 加:120.5s 等前:0.0s 等后:0.0s) | ST5 ADAS(开:15281.0s 加:107.0s 等前:0.0s 等后:30.5s) | ST6 ARHUD+慢充(开:15418.5s 加:143.5s 等前:0.0s 等后:0.0s) | ST7 转毂(开:15562.0s 加:114.5s 等前:0.0s 等后:0.0s) | ST8 制动(开:15676.5s 加:114.0s 等前:0.0s 等后:0.0s) | ST9 EG漏液/底盘漏液(开:15790.5s 加:112.5s 等前:0.0s 等后:0.0s) | ST10 全景/空调检查(开:15903.0s 加:0.0s 等前:0.0s 等后:0.0s) | ST11 气囊安装+绝缘(开:15903.0s 加:116.0s 等前:0.0s 等后:0.0s) | ST12 L2++(开:16019.0s 加:88.0s 等前:0.0s 等后:0.0s) | ST13 电检1(开:16107.0s 加:84.5s 等前:0.0s 等后:0.0s) | ST14 电检2(开:16191.5s 加:97.5s 等前:0.0s 等后:0.0s) | ST15 小跑道(开:16289.0s 加:50.0s 等前:0.0s 等后:0.0s)</t>
        </is>
      </c>
    </row>
    <row r="232">
      <c r="A232" s="13" t="n">
        <v>231</v>
      </c>
      <c r="B232" s="13" t="inlineStr">
        <is>
          <t>Car#231</t>
        </is>
      </c>
      <c r="C232" s="13" t="inlineStr">
        <is>
          <t>C</t>
        </is>
      </c>
      <c r="D232" s="14" t="n">
        <v>14921.5</v>
      </c>
      <c r="E232" s="14" t="n">
        <v>16389</v>
      </c>
      <c r="F232" s="14" t="n">
        <v>1467.5</v>
      </c>
      <c r="G232" s="14" t="n">
        <v>1625.5</v>
      </c>
      <c r="H232" s="13" t="inlineStr">
        <is>
          <t>Car#230</t>
        </is>
      </c>
      <c r="I232" s="14">
        <f>E232-E231</f>
        <v/>
      </c>
      <c r="J232" s="14">
        <f>I232-58</f>
        <v/>
      </c>
      <c r="K232" s="14">
        <f>MAX(0,J232)</f>
        <v/>
      </c>
      <c r="L232" s="14">
        <f>MAX(0,-J232)</f>
        <v/>
      </c>
      <c r="M232" s="14">
        <f>M231+I232</f>
        <v/>
      </c>
      <c r="N232" s="14">
        <f>D232+F232-E232</f>
        <v/>
      </c>
      <c r="O232" s="13" t="inlineStr">
        <is>
          <t>能力超目标：四轮定位上、下、ARHUD+慢充</t>
        </is>
      </c>
      <c r="P232" s="13" t="inlineStr">
        <is>
          <t>ST1 引取(开:14921.5s 加:56.0s 等前:1581.5s 等后:3.0s) | ST2 集约(开:14980.5s 加:111.0s 等前:0.0s 等后:27.0s) | ST3 空气悬挂+快充(开:15118.5s 加:108.5s 等前:0.0s 等后:12.0s) | ST4 四轮定位上、下(开:15239.0s 加:120.5s 等前:0.0s 等后:0.0s) | ST5 ADAS(开:15359.5s 加:107.0s 等前:0.0s 等后:0.0s) | ST6 ARHUD+慢充(开:15466.5s 加:143.5s 等前:0.0s 等后:0.0s) | ST7 转毂(开:15610.0s 加:114.5s 等前:0.0s 等后:0.0s) | ST8 制动(开:15724.5s 加:114.0s 等前:0.0s 等后:0.0s) | ST9 EG漏液/底盘漏液(开:15838.5s 加:112.5s 等前:0.0s 等后:0.0s) | ST10 全景/空调检查(开:15951.0s 加:0.0s 等前:0.0s 等后:0.0s) | ST11 气囊安装+绝缘(开:15951.0s 加:116.0s 等前:0.0s 等后:0.0s) | ST12 L2++(开:16067.0s 加:88.0s 等前:0.0s 等后:0.0s) | ST13 电检1(开:16155.0s 加:84.5s 等前:0.0s 等后:0.0s) | ST14 电检2(开:16239.5s 加:97.5s 等前:0.0s 等后:2.0s) | ST15 小跑道(开:16339.0s 加:50.0s 等前:0.0s 等后:0.0s)</t>
        </is>
      </c>
    </row>
    <row r="233">
      <c r="A233" s="15" t="n">
        <v>232</v>
      </c>
      <c r="B233" s="15" t="inlineStr">
        <is>
          <t>Car#232</t>
        </is>
      </c>
      <c r="C233" s="15" t="inlineStr">
        <is>
          <t>C</t>
        </is>
      </c>
      <c r="D233" s="16" t="n">
        <v>14980.5</v>
      </c>
      <c r="E233" s="16" t="n">
        <v>16482.5</v>
      </c>
      <c r="F233" s="16" t="n">
        <v>1502</v>
      </c>
      <c r="G233" s="16" t="n">
        <v>1661</v>
      </c>
      <c r="H233" s="15" t="inlineStr">
        <is>
          <t>Car#231</t>
        </is>
      </c>
      <c r="I233" s="16">
        <f>E233-E232</f>
        <v/>
      </c>
      <c r="J233" s="16">
        <f>I233-58</f>
        <v/>
      </c>
      <c r="K233" s="16">
        <f>MAX(0,J233)</f>
        <v/>
      </c>
      <c r="L233" s="16">
        <f>MAX(0,-J233)</f>
        <v/>
      </c>
      <c r="M233" s="16">
        <f>M232+I233</f>
        <v/>
      </c>
      <c r="N233" s="16">
        <f>D233+F233-E233</f>
        <v/>
      </c>
      <c r="O233" s="15" t="inlineStr">
        <is>
          <t>能力超目标：四轮定位上、下、ARHUD+慢充</t>
        </is>
      </c>
      <c r="P233" s="15" t="inlineStr">
        <is>
          <t>ST1 引取(开:14980.5s 加:56.0s 等前:1582.5s 等后:0.0s) | ST2 集约(开:15036.5s 加:111.0s 等前:0.0s 等后:13.0s) | ST3 空气悬挂+快充(开:15160.5s 加:108.5s 等前:0.0s 等后:12.0s) | ST4 四轮定位上、下(开:15281.0s 加:120.5s 等前:0.0s 等后:17.0s) | ST5 ADAS(开:15418.5s 加:107.0s 等前:0.0s 等后:36.5s) | ST6 ARHUD+慢充(开:15562.0s 加:143.5s 等前:0.0s 等后:0.0s) | ST7 转毂(开:15705.5s 加:114.5s 等前:0.0s 等后:0.0s) | ST8 制动(开:15820.0s 加:114.0s 等前:0.0s 等后:0.0s) | ST9 EG漏液/底盘漏液(开:15934.0s 加:112.5s 等前:0.0s 等后:0.0s) | ST10 全景/空调检查(开:16046.5s 加:0.0s 等前:0.0s 等后:0.0s) | ST11 气囊安装+绝缘(开:16046.5s 加:116.0s 等前:0.0s 等后:0.0s) | ST12 L2++(开:16162.5s 加:88.0s 等前:0.0s 等后:0.0s) | ST13 电检1(开:16250.5s 加:84.5s 等前:0.0s 等后:0.0s) | ST14 电检2(开:16335.0s 加:97.5s 等前:0.0s 等后:0.0s) | ST15 小跑道(开:16432.5s 加:50.0s 等前:0.0s 等后:0.0s)</t>
        </is>
      </c>
    </row>
    <row r="234">
      <c r="A234" s="13" t="n">
        <v>233</v>
      </c>
      <c r="B234" s="13" t="inlineStr">
        <is>
          <t>Car#233</t>
        </is>
      </c>
      <c r="C234" s="13" t="inlineStr">
        <is>
          <t>B</t>
        </is>
      </c>
      <c r="D234" s="14" t="n">
        <v>15036.5</v>
      </c>
      <c r="E234" s="14" t="n">
        <v>16532.5</v>
      </c>
      <c r="F234" s="14" t="n">
        <v>1496</v>
      </c>
      <c r="G234" s="14" t="n">
        <v>1745</v>
      </c>
      <c r="H234" s="13" t="inlineStr">
        <is>
          <t>Car#232</t>
        </is>
      </c>
      <c r="I234" s="14">
        <f>E234-E233</f>
        <v/>
      </c>
      <c r="J234" s="14">
        <f>I234-58</f>
        <v/>
      </c>
      <c r="K234" s="14">
        <f>MAX(0,J234)</f>
        <v/>
      </c>
      <c r="L234" s="14">
        <f>MAX(0,-J234)</f>
        <v/>
      </c>
      <c r="M234" s="14">
        <f>M233+I234</f>
        <v/>
      </c>
      <c r="N234" s="14">
        <f>D234+F234-E234</f>
        <v/>
      </c>
      <c r="O234" s="13" t="inlineStr">
        <is>
          <t>能力超目标：四轮定位上、下</t>
        </is>
      </c>
      <c r="P234" s="13" t="inlineStr">
        <is>
          <t>ST1 引取(开:15036.5s 加:56.0s 等前:1580.5s 等后:26.0s) | ST2 集约(开:15118.5s 加:111.0s 等前:0.0s 等后:9.5s) | ST3 空气悬挂+快充(开:15239.0s 加:108.5s 等前:0.0s 等后:12.0s) | ST4 四轮定位上、下(开:15359.5s 加:120.5s 等前:0.0s 等后:0.0s) | ST5 ADAS(开:15480.0s 加:107.0s 等前:0.0s 等后:23.0s) | ST6 ARHUD+慢充(开:15610.0s 加:51.5s 等前:0.0s 等后:63.0s) | ST7 转毂(开:15724.5s 加:114.5s 等前:0.0s 等后:0.0s) | ST8 制动(开:15839.0s 加:114.0s 等前:0.0s 等后:0.0s) | ST9 EG漏液/底盘漏液(开:15953.0s 加:112.5s 等前:0.0s 等后:0.0s) | ST10 全景/空调检查(开:16065.5s 加:0.0s 等前:0.0s 等后:1.5s) | ST11 气囊安装+绝缘(开:16067.0s 加:116.0s 等前:0.0s 等后:0.0s) | ST12 L2++(开:16183.0s 加:88.0s 等前:0.0s 等后:0.0s) | ST13 电检1(开:16271.0s 加:84.5s 等前:0.0s 等后:0.0s) | ST14 电检2(开:16355.5s 加:97.5s 等前:0.0s 等后:29.5s) | ST15 小跑道(开:16482.5s 加:50.0s 等前:0.0s 等后:0.0s)</t>
        </is>
      </c>
    </row>
    <row r="235">
      <c r="A235" s="15" t="n">
        <v>234</v>
      </c>
      <c r="B235" s="15" t="inlineStr">
        <is>
          <t>Car#234</t>
        </is>
      </c>
      <c r="C235" s="15" t="inlineStr">
        <is>
          <t>B</t>
        </is>
      </c>
      <c r="D235" s="16" t="n">
        <v>15118.5</v>
      </c>
      <c r="E235" s="16" t="n">
        <v>16598.5</v>
      </c>
      <c r="F235" s="16" t="n">
        <v>1480</v>
      </c>
      <c r="G235" s="16" t="n">
        <v>1753</v>
      </c>
      <c r="H235" s="15" t="inlineStr">
        <is>
          <t>Car#233</t>
        </is>
      </c>
      <c r="I235" s="16">
        <f>E235-E234</f>
        <v/>
      </c>
      <c r="J235" s="16">
        <f>I235-58</f>
        <v/>
      </c>
      <c r="K235" s="16">
        <f>MAX(0,J235)</f>
        <v/>
      </c>
      <c r="L235" s="16">
        <f>MAX(0,-J235)</f>
        <v/>
      </c>
      <c r="M235" s="16">
        <f>M234+I235</f>
        <v/>
      </c>
      <c r="N235" s="16">
        <f>D235+F235-E235</f>
        <v/>
      </c>
      <c r="O235" s="15" t="inlineStr">
        <is>
          <t>能力超目标：四轮定位上、下</t>
        </is>
      </c>
      <c r="P235" s="15" t="inlineStr">
        <is>
          <t>ST1 引取(开:15118.5s 加:56.0s 等前:1604.5s 等后:0.0s) | ST2 集约(开:15174.5s 加:111.0s 等前:0.0s 等后:0.0s) | ST3 空气悬挂+快充(开:15285.5s 加:108.5s 等前:0.0s 等后:24.5s) | ST4 四轮定位上、下(开:15418.5s 加:120.5s 等前:0.0s 等后:23.0s) | ST5 ADAS(开:15562.0s 加:107.0s 等前:0.0s 等后:36.5s) | ST6 ARHUD+慢充(开:15705.5s 加:51.5s 等前:0.0s 等后:63.0s) | ST7 转毂(开:15820.0s 加:114.5s 等前:0.0s 等后:0.0s) | ST8 制动(开:15934.5s 加:114.0s 等前:0.0s 等后:0.0s) | ST9 EG漏液/底盘漏液(开:16048.5s 加:112.5s 等前:0.0s 等后:0.0s) | ST10 全景/空调检查(开:16161.0s 加:0.0s 等前:0.0s 等后:1.5s) | ST11 气囊安装+绝缘(开:16162.5s 加:116.0s 等前:0.0s 等后:0.0s) | ST12 L2++(开:16278.5s 加:88.0s 等前:0.0s 等后:0.0s) | ST13 电检1(开:16366.5s 加:84.5s 等前:0.0s 等后:0.0s) | ST14 电检2(开:16451.0s 加:97.5s 等前:0.0s 等后:0.0s) | ST15 小跑道(开:16548.5s 加:50.0s 等前:0.0s 等后:0.0s)</t>
        </is>
      </c>
    </row>
    <row r="236">
      <c r="A236" s="13" t="n">
        <v>235</v>
      </c>
      <c r="B236" s="13" t="inlineStr">
        <is>
          <t>Car#235</t>
        </is>
      </c>
      <c r="C236" s="13" t="inlineStr">
        <is>
          <t>B</t>
        </is>
      </c>
      <c r="D236" s="14" t="n">
        <v>15174.5</v>
      </c>
      <c r="E236" s="14" t="n">
        <v>16648.5</v>
      </c>
      <c r="F236" s="14" t="n">
        <v>1474</v>
      </c>
      <c r="G236" s="14" t="n">
        <v>1745</v>
      </c>
      <c r="H236" s="13" t="inlineStr">
        <is>
          <t>Car#234</t>
        </is>
      </c>
      <c r="I236" s="14">
        <f>E236-E235</f>
        <v/>
      </c>
      <c r="J236" s="14">
        <f>I236-58</f>
        <v/>
      </c>
      <c r="K236" s="14">
        <f>MAX(0,J236)</f>
        <v/>
      </c>
      <c r="L236" s="14">
        <f>MAX(0,-J236)</f>
        <v/>
      </c>
      <c r="M236" s="14">
        <f>M235+I236</f>
        <v/>
      </c>
      <c r="N236" s="14">
        <f>D236+F236-E236</f>
        <v/>
      </c>
      <c r="O236" s="13" t="inlineStr">
        <is>
          <t>能力超目标：四轮定位上、下</t>
        </is>
      </c>
      <c r="P236" s="13" t="inlineStr">
        <is>
          <t>ST1 引取(开:15174.5s 加:56.0s 等前:1602.5s 等后:8.5s) | ST2 集约(开:15239.0s 加:111.0s 等前:0.0s 等后:9.5s) | ST3 空气悬挂+快充(开:15359.5s 加:108.5s 等前:0.0s 等后:12.0s) | ST4 四轮定位上、下(开:15480.0s 加:120.5s 等前:0.0s 等后:9.5s) | ST5 ADAS(开:15610.0s 加:107.0s 等前:0.0s 等后:7.5s) | ST6 ARHUD+慢充(开:15724.5s 加:51.5s 等前:0.0s 等后:63.0s) | ST7 转毂(开:15839.0s 加:114.5s 等前:0.0s 等后:0.0s) | ST8 制动(开:15953.5s 加:114.0s 等前:0.0s 等后:0.0s) | ST9 EG漏液/底盘漏液(开:16067.5s 加:112.5s 等前:0.0s 等后:0.0s) | ST10 全景/空调检查(开:16180.0s 加:0.0s 等前:0.0s 等后:3.0s) | ST11 气囊安装+绝缘(开:16183.0s 加:116.0s 等前:0.0s 等后:0.0s) | ST12 L2++(开:16299.0s 加:88.0s 等前:0.0s 等后:0.0s) | ST13 电检1(开:16387.0s 加:84.5s 等前:0.0s 等后:11.0s) | ST14 电检2(开:16482.5s 加:97.5s 等前:0.0s 等后:18.5s) | ST15 小跑道(开:16598.5s 加:50.0s 等前:0.0s 等后:0.0s)</t>
        </is>
      </c>
    </row>
    <row r="237">
      <c r="A237" s="15" t="n">
        <v>236</v>
      </c>
      <c r="B237" s="15" t="inlineStr">
        <is>
          <t>Car#236</t>
        </is>
      </c>
      <c r="C237" s="15" t="inlineStr">
        <is>
          <t>C</t>
        </is>
      </c>
      <c r="D237" s="16" t="n">
        <v>15239</v>
      </c>
      <c r="E237" s="16" t="n">
        <v>16740.5</v>
      </c>
      <c r="F237" s="16" t="n">
        <v>1501.5</v>
      </c>
      <c r="G237" s="16" t="n">
        <v>1687</v>
      </c>
      <c r="H237" s="15" t="inlineStr">
        <is>
          <t>Car#235</t>
        </is>
      </c>
      <c r="I237" s="16">
        <f>E237-E236</f>
        <v/>
      </c>
      <c r="J237" s="16">
        <f>I237-58</f>
        <v/>
      </c>
      <c r="K237" s="16">
        <f>MAX(0,J237)</f>
        <v/>
      </c>
      <c r="L237" s="16">
        <f>MAX(0,-J237)</f>
        <v/>
      </c>
      <c r="M237" s="16">
        <f>M236+I237</f>
        <v/>
      </c>
      <c r="N237" s="16">
        <f>D237+F237-E237</f>
        <v/>
      </c>
      <c r="O237" s="15" t="inlineStr">
        <is>
          <t>能力超目标：四轮定位上、下、ARHUD+慢充</t>
        </is>
      </c>
      <c r="P237" s="15" t="inlineStr">
        <is>
          <t>ST1 引取(开:15239.0s 加:56.0s 等前:1609.0s 等后:0.0s) | ST2 集约(开:15295.0s 加:111.0s 等前:0.0s 等后:12.5s) | ST3 空气悬挂+快充(开:15418.5s 加:108.5s 等前:0.0s 等后:35.0s) | ST4 四轮定位上、下(开:15562.0s 加:120.5s 等前:0.0s 等后:23.0s) | ST5 ADAS(开:15705.5s 加:107.0s 等前:0.0s 等后:7.5s) | ST6 ARHUD+慢充(开:15820.0s 加:143.5s 等前:0.0s 等后:0.0s) | ST7 转毂(开:15963.5s 加:114.5s 等前:0.0s 等后:0.0s) | ST8 制动(开:16078.0s 加:114.0s 等前:0.0s 等后:0.0s) | ST9 EG漏液/底盘漏液(开:16192.0s 加:112.5s 等前:0.0s 等后:0.0s) | ST10 全景/空调检查(开:16304.5s 加:0.0s 等前:0.0s 等后:0.0s) | ST11 气囊安装+绝缘(开:16304.5s 加:116.0s 等前:0.0s 等后:0.0s) | ST12 L2++(开:16420.5s 加:88.0s 等前:0.0s 等后:0.0s) | ST13 电检1(开:16508.5s 加:84.5s 等前:0.0s 等后:0.0s) | ST14 电检2(开:16593.0s 加:97.5s 等前:0.0s 等后:0.0s) | ST15 小跑道(开:16690.5s 加:50.0s 等前:0.0s 等后:0.0s)</t>
        </is>
      </c>
    </row>
    <row r="238">
      <c r="A238" s="13" t="n">
        <v>237</v>
      </c>
      <c r="B238" s="13" t="inlineStr">
        <is>
          <t>Car#238</t>
        </is>
      </c>
      <c r="C238" s="13" t="inlineStr">
        <is>
          <t>A</t>
        </is>
      </c>
      <c r="D238" s="14" t="n">
        <v>15359.5</v>
      </c>
      <c r="E238" s="14" t="n">
        <v>16791.5</v>
      </c>
      <c r="F238" s="14" t="n">
        <v>1432</v>
      </c>
      <c r="G238" s="14" t="n">
        <v>2184.5</v>
      </c>
      <c r="H238" s="13" t="inlineStr">
        <is>
          <t>Car#236</t>
        </is>
      </c>
      <c r="I238" s="14">
        <f>E238-E237</f>
        <v/>
      </c>
      <c r="J238" s="14">
        <f>I238-58</f>
        <v/>
      </c>
      <c r="K238" s="14">
        <f>MAX(0,J238)</f>
        <v/>
      </c>
      <c r="L238" s="14">
        <f>MAX(0,-J238)</f>
        <v/>
      </c>
      <c r="M238" s="14">
        <f>M237+I238</f>
        <v/>
      </c>
      <c r="N238" s="14">
        <f>D238+F238-E238</f>
        <v/>
      </c>
      <c r="O238" s="13" t="inlineStr">
        <is>
          <t>能力满足</t>
        </is>
      </c>
      <c r="P238" s="13" t="inlineStr">
        <is>
          <t>ST1 引取(开:15359.5s 加:55.0s 等前:1613.5s 等后:4.0s) | ST2 集约(开:15418.5s 加:106.0s 等前:0.0s 等后:37.5s) | ST3 空气悬挂+快充(开:15562.0s 加:0.0s 等前:0.0s 等后:143.5s) | ST4 四轮定位上、下(开:15705.5s 加:115.0s 等前:0.0s 等后:0.0s) | ST5 ADAS(开:15820.5s 加:97.0s 等前:0.0s 等后:46.0s) | ST6 ARHUD+慢充(开:15963.5s 加:0.0s 等前:0.0s 等后:114.5s) | ST7 转毂(开:16078.0s 加:116.0s 等前:0.0s 等后:0.0s) | ST8 制动(开:16194.0s 加:108.0s 等前:0.0s 等后:2.5s) | ST9 EG漏液/底盘漏液(开:16304.5s 加:115.0s 等前:0.0s 等后:0.0s) | ST10 全景/空调检查(开:16419.5s 加:98.0s 等前:0.0s 等后:0.0s) | ST11 气囊安装+绝缘(开:16517.5s 加:0.0s 等前:0.0s 等后:0.0s) | ST12 L2++(开:16517.5s 加:0.0s 等前:0.0s 等后:75.5s) | ST13 电检1(开:16593.0s 加:0.0s 等前:0.0s 等后:97.5s) | ST14 电检2(开:16690.5s 加:0.0s 等前:0.0s 等后:50.0s) | ST15 小跑道(开:16740.5s 加:51.0s 等前:0.0s 等后:0.0s)</t>
        </is>
      </c>
    </row>
    <row r="239">
      <c r="A239" s="15" t="n">
        <v>238</v>
      </c>
      <c r="B239" s="15" t="inlineStr">
        <is>
          <t>Car#237</t>
        </is>
      </c>
      <c r="C239" s="15" t="inlineStr">
        <is>
          <t>C</t>
        </is>
      </c>
      <c r="D239" s="16" t="n">
        <v>15295</v>
      </c>
      <c r="E239" s="16" t="n">
        <v>16841.5</v>
      </c>
      <c r="F239" s="16" t="n">
        <v>1546.5</v>
      </c>
      <c r="G239" s="16" t="n">
        <v>1730</v>
      </c>
      <c r="H239" s="15" t="inlineStr">
        <is>
          <t>Car#238</t>
        </is>
      </c>
      <c r="I239" s="16">
        <f>E239-E238</f>
        <v/>
      </c>
      <c r="J239" s="16">
        <f>I239-58</f>
        <v/>
      </c>
      <c r="K239" s="16">
        <f>MAX(0,J239)</f>
        <v/>
      </c>
      <c r="L239" s="16">
        <f>MAX(0,-J239)</f>
        <v/>
      </c>
      <c r="M239" s="16">
        <f>M238+I239</f>
        <v/>
      </c>
      <c r="N239" s="16">
        <f>D239+F239-E239</f>
        <v/>
      </c>
      <c r="O239" s="15" t="inlineStr">
        <is>
          <t>能力超目标：四轮定位上、下、ARHUD+慢充</t>
        </is>
      </c>
      <c r="P239" s="15" t="inlineStr">
        <is>
          <t>ST1 引取(开:15295.0s 加:56.0s 等前:1607.0s 等后:8.5s) | ST2 集约(开:15359.5s 加:111.0s 等前:0.0s 等后:9.5s) | ST3 空气悬挂+快充(开:15480.0s 加:108.5s 等前:0.0s 等后:21.5s) | ST4 四轮定位上、下(开:15610.0s 加:120.5s 等前:0.0s 等后:0.0s) | ST5 ADAS(开:15730.5s 加:107.0s 等前:0.0s 等后:1.5s) | ST6 ARHUD+慢充(开:15839.0s 加:143.5s 等前:0.0s 等后:0.0s) | ST7 转毂(开:15982.5s 加:114.5s 等前:0.0s 等后:0.0s) | ST8 制动(开:16097.0s 加:114.0s 等前:0.0s 等后:0.0s) | ST9 EG漏液/底盘漏液(开:16211.0s 加:112.5s 等前:0.0s 等后:0.0s) | ST10 全景/空调检查(开:16323.5s 加:0.0s 等前:0.0s 等后:0.0s) | ST11 气囊安装+绝缘(开:16323.5s 加:116.0s 等前:0.0s 等后:0.0s) | ST12 L2++(开:16439.5s 加:88.0s 等前:0.0s 等后:0.0s) | ST13 电检1(开:16527.5s 加:84.5s 等前:0.0s 等后:0.0s) | ST14 电检2(开:16612.0s 加:97.5s 等前:0.0s 等后:82.0s) | ST15 小跑道(开:16791.5s 加:50.0s 等前:0.0s 等后:0.0s)</t>
        </is>
      </c>
    </row>
    <row r="240">
      <c r="A240" s="13" t="n">
        <v>239</v>
      </c>
      <c r="B240" s="13" t="inlineStr">
        <is>
          <t>Car#239</t>
        </is>
      </c>
      <c r="C240" s="13" t="inlineStr">
        <is>
          <t>A</t>
        </is>
      </c>
      <c r="D240" s="14" t="n">
        <v>15418.5</v>
      </c>
      <c r="E240" s="14" t="n">
        <v>16892.5</v>
      </c>
      <c r="F240" s="14" t="n">
        <v>1474</v>
      </c>
      <c r="G240" s="14" t="n">
        <v>2227.5</v>
      </c>
      <c r="H240" s="13" t="inlineStr">
        <is>
          <t>Car#237</t>
        </is>
      </c>
      <c r="I240" s="14">
        <f>E240-E239</f>
        <v/>
      </c>
      <c r="J240" s="14">
        <f>I240-58</f>
        <v/>
      </c>
      <c r="K240" s="14">
        <f>MAX(0,J240)</f>
        <v/>
      </c>
      <c r="L240" s="14">
        <f>MAX(0,-J240)</f>
        <v/>
      </c>
      <c r="M240" s="14">
        <f>M239+I240</f>
        <v/>
      </c>
      <c r="N240" s="14">
        <f>D240+F240-E240</f>
        <v/>
      </c>
      <c r="O240" s="13" t="inlineStr">
        <is>
          <t>能力满足</t>
        </is>
      </c>
      <c r="P240" s="13" t="inlineStr">
        <is>
          <t>ST1 引取(开:15418.5s 加:55.0s 等前:1614.5s 等后:6.5s) | ST2 集约(开:15480.0s 加:106.0s 等前:0.0s 等后:24.0s) | ST3 空气悬挂+快充(开:15610.0s 加:0.0s 等前:0.0s 等后:120.5s) | ST4 四轮定位上、下(开:15730.5s 加:115.0s 等前:0.0s 等后:0.0s) | ST5 ADAS(开:15845.5s 加:97.0s 等前:0.0s 等后:40.0s) | ST6 ARHUD+慢充(开:15982.5s 加:0.0s 等前:0.0s 等后:114.5s) | ST7 转毂(开:16097.0s 加:116.0s 等前:0.0s 等后:0.0s) | ST8 制动(开:16213.0s 加:108.0s 等前:0.0s 等后:2.5s) | ST9 EG漏液/底盘漏液(开:16323.5s 加:115.0s 等前:0.0s 等后:0.0s) | ST10 全景/空调检查(开:16438.5s 加:98.0s 等前:0.0s 等后:0.0s) | ST11 气囊安装+绝缘(开:16536.5s 加:0.0s 等前:0.0s 等后:0.0s) | ST12 L2++(开:16536.5s 加:0.0s 等前:0.0s 等后:75.5s) | ST13 电检1(开:16612.0s 加:0.0s 等前:0.0s 等后:179.5s) | ST14 电检2(开:16791.5s 加:0.0s 等前:0.0s 等后:50.0s) | ST15 小跑道(开:16841.5s 加:51.0s 等前:0.0s 等后:0.0s)</t>
        </is>
      </c>
    </row>
    <row r="241">
      <c r="A241" s="15" t="n">
        <v>240</v>
      </c>
      <c r="B241" s="15" t="inlineStr">
        <is>
          <t>Car#240</t>
        </is>
      </c>
      <c r="C241" s="15" t="inlineStr">
        <is>
          <t>C</t>
        </is>
      </c>
      <c r="D241" s="16" t="n">
        <v>15480</v>
      </c>
      <c r="E241" s="16" t="n">
        <v>16998.5</v>
      </c>
      <c r="F241" s="16" t="n">
        <v>1518.5</v>
      </c>
      <c r="G241" s="16" t="n">
        <v>1713</v>
      </c>
      <c r="H241" s="15" t="inlineStr">
        <is>
          <t>Car#239</t>
        </is>
      </c>
      <c r="I241" s="16">
        <f>E241-E240</f>
        <v/>
      </c>
      <c r="J241" s="16">
        <f>I241-58</f>
        <v/>
      </c>
      <c r="K241" s="16">
        <f>MAX(0,J241)</f>
        <v/>
      </c>
      <c r="L241" s="16">
        <f>MAX(0,-J241)</f>
        <v/>
      </c>
      <c r="M241" s="16">
        <f>M240+I241</f>
        <v/>
      </c>
      <c r="N241" s="16">
        <f>D241+F241-E241</f>
        <v/>
      </c>
      <c r="O241" s="15" t="inlineStr">
        <is>
          <t>能力超目标：四轮定位上、下、ARHUD+慢充</t>
        </is>
      </c>
      <c r="P241" s="15" t="inlineStr">
        <is>
          <t>ST1 引取(开:15480.0s 加:56.0s 等前:1618.0s 等后:26.0s) | ST2 集约(开:15562.0s 加:111.0s 等前:0.0s 等后:32.5s) | ST3 空气悬挂+快充(开:15705.5s 加:108.5s 等前:0.0s 等后:6.5s) | ST4 四轮定位上、下(开:15820.5s 加:120.5s 等前:0.0s 等后:22.5s) | ST5 ADAS(开:15963.5s 加:107.0s 等前:0.0s 等后:7.5s) | ST6 ARHUD+慢充(开:16078.0s 加:143.5s 等前:0.0s 等后:0.0s) | ST7 转毂(开:16221.5s 加:114.5s 等前:0.0s 等后:0.0s) | ST8 制动(开:16336.0s 加:114.0s 等前:0.0s 等后:0.0s) | ST9 EG漏液/底盘漏液(开:16450.0s 加:112.5s 等前:0.0s 等后:0.0s) | ST10 全景/空调检查(开:16562.5s 加:0.0s 等前:0.0s 等后:0.0s) | ST11 气囊安装+绝缘(开:16562.5s 加:116.0s 等前:0.0s 等后:0.0s) | ST12 L2++(开:16678.5s 加:88.0s 等前:0.0s 等后:0.0s) | ST13 电检1(开:16766.5s 加:84.5s 等前:0.0s 等后:0.0s) | ST14 电检2(开:16851.0s 加:97.5s 等前:0.0s 等后:0.0s) | ST15 小跑道(开:16948.5s 加:50.0s 等前:0.0s 等后:0.0s)</t>
        </is>
      </c>
    </row>
    <row r="242">
      <c r="A242" s="13" t="n">
        <v>241</v>
      </c>
      <c r="B242" s="13" t="inlineStr">
        <is>
          <t>Car#241</t>
        </is>
      </c>
      <c r="C242" s="13" t="inlineStr">
        <is>
          <t>C</t>
        </is>
      </c>
      <c r="D242" s="14" t="n">
        <v>15562</v>
      </c>
      <c r="E242" s="14" t="n">
        <v>17048.5</v>
      </c>
      <c r="F242" s="14" t="n">
        <v>1486.5</v>
      </c>
      <c r="G242" s="14" t="n">
        <v>1705</v>
      </c>
      <c r="H242" s="13" t="inlineStr">
        <is>
          <t>Car#240</t>
        </is>
      </c>
      <c r="I242" s="14">
        <f>E242-E241</f>
        <v/>
      </c>
      <c r="J242" s="14">
        <f>I242-58</f>
        <v/>
      </c>
      <c r="K242" s="14">
        <f>MAX(0,J242)</f>
        <v/>
      </c>
      <c r="L242" s="14">
        <f>MAX(0,-J242)</f>
        <v/>
      </c>
      <c r="M242" s="14">
        <f>M241+I242</f>
        <v/>
      </c>
      <c r="N242" s="14">
        <f>D242+F242-E242</f>
        <v/>
      </c>
      <c r="O242" s="13" t="inlineStr">
        <is>
          <t>能力超目标：四轮定位上、下、ARHUD+慢充</t>
        </is>
      </c>
      <c r="P242" s="13" t="inlineStr">
        <is>
          <t>ST1 引取(开:15562.0s 加:56.0s 等前:1642.0s 等后:0.0s) | ST2 集约(开:15618.0s 加:111.0s 等前:0.0s 等后:1.5s) | ST3 空气悬挂+快充(开:15730.5s 加:108.5s 等前:0.0s 等后:6.5s) | ST4 四轮定位上、下(开:15845.5s 加:120.5s 等前:0.0s 等后:16.5s) | ST5 ADAS(开:15982.5s 加:107.0s 等前:0.0s 等后:7.5s) | ST6 ARHUD+慢充(开:16097.0s 加:143.5s 等前:0.0s 等后:0.0s) | ST7 转毂(开:16240.5s 加:114.5s 等前:0.0s 等后:0.0s) | ST8 制动(开:16355.0s 加:114.0s 等前:0.0s 等后:0.0s) | ST9 EG漏液/底盘漏液(开:16469.0s 加:112.5s 等前:0.0s 等后:0.0s) | ST10 全景/空调检查(开:16581.5s 加:0.0s 等前:0.0s 等后:0.0s) | ST11 气囊安装+绝缘(开:16581.5s 加:116.0s 等前:0.0s 等后:0.0s) | ST12 L2++(开:16697.5s 加:88.0s 等前:0.0s 等后:6.0s) | ST13 电检1(开:16791.5s 加:84.5s 等前:0.0s 等后:0.0s) | ST14 电检2(开:16876.0s 加:97.5s 等前:0.0s 等后:25.0s) | ST15 小跑道(开:16998.5s 加:50.0s 等前:0.0s 等后:0.0s)</t>
        </is>
      </c>
    </row>
    <row r="243">
      <c r="A243" s="15" t="n">
        <v>242</v>
      </c>
      <c r="B243" s="15" t="inlineStr">
        <is>
          <t>Car#242</t>
        </is>
      </c>
      <c r="C243" s="15" t="inlineStr">
        <is>
          <t>C</t>
        </is>
      </c>
      <c r="D243" s="16" t="n">
        <v>15618</v>
      </c>
      <c r="E243" s="16" t="n">
        <v>17142</v>
      </c>
      <c r="F243" s="16" t="n">
        <v>1524</v>
      </c>
      <c r="G243" s="16" t="n">
        <v>1740.5</v>
      </c>
      <c r="H243" s="15" t="inlineStr">
        <is>
          <t>Car#241</t>
        </is>
      </c>
      <c r="I243" s="16">
        <f>E243-E242</f>
        <v/>
      </c>
      <c r="J243" s="16">
        <f>I243-58</f>
        <v/>
      </c>
      <c r="K243" s="16">
        <f>MAX(0,J243)</f>
        <v/>
      </c>
      <c r="L243" s="16">
        <f>MAX(0,-J243)</f>
        <v/>
      </c>
      <c r="M243" s="16">
        <f>M242+I243</f>
        <v/>
      </c>
      <c r="N243" s="16">
        <f>D243+F243-E243</f>
        <v/>
      </c>
      <c r="O243" s="15" t="inlineStr">
        <is>
          <t>能力超目标：四轮定位上、下、ARHUD+慢充</t>
        </is>
      </c>
      <c r="P243" s="15" t="inlineStr">
        <is>
          <t>ST1 引取(开:15618.0s 加:56.0s 等前:1640.0s 等后:31.5s) | ST2 集约(开:15705.5s 加:111.0s 等前:0.0s 等后:4.0s) | ST3 空气悬挂+快充(开:15820.5s 加:108.5s 等前:0.0s 等后:34.5s) | ST4 四轮定位上、下(开:15963.5s 加:120.5s 等前:0.0s 等后:0.0s) | ST5 ADAS(开:16084.0s 加:107.0s 等前:0.0s 等后:30.5s) | ST6 ARHUD+慢充(开:16221.5s 加:143.5s 等前:0.0s 等后:0.0s) | ST7 转毂(开:16365.0s 加:114.5s 等前:0.0s 等后:0.0s) | ST8 制动(开:16479.5s 加:114.0s 等前:0.0s 等后:0.0s) | ST9 EG漏液/底盘漏液(开:16593.5s 加:112.5s 等前:0.0s 等后:0.0s) | ST10 全景/空调检查(开:16706.0s 加:0.0s 等前:0.0s 等后:0.0s) | ST11 气囊安装+绝缘(开:16706.0s 加:116.0s 等前:0.0s 等后:0.0s) | ST12 L2++(开:16822.0s 加:88.0s 等前:0.0s 等后:0.0s) | ST13 电检1(开:16910.0s 加:84.5s 等前:0.0s 等后:0.0s) | ST14 电检2(开:16994.5s 加:97.5s 等前:0.0s 等后:0.0s) | ST15 小跑道(开:17092.0s 加:50.0s 等前:0.0s 等后:0.0s)</t>
        </is>
      </c>
    </row>
    <row r="244">
      <c r="A244" s="13" t="n">
        <v>243</v>
      </c>
      <c r="B244" s="13" t="inlineStr">
        <is>
          <t>Car#243</t>
        </is>
      </c>
      <c r="C244" s="13" t="inlineStr">
        <is>
          <t>C</t>
        </is>
      </c>
      <c r="D244" s="14" t="n">
        <v>15705.5</v>
      </c>
      <c r="E244" s="14" t="n">
        <v>17192</v>
      </c>
      <c r="F244" s="14" t="n">
        <v>1486.5</v>
      </c>
      <c r="G244" s="14" t="n">
        <v>1732.5</v>
      </c>
      <c r="H244" s="13" t="inlineStr">
        <is>
          <t>Car#242</t>
        </is>
      </c>
      <c r="I244" s="14">
        <f>E244-E243</f>
        <v/>
      </c>
      <c r="J244" s="14">
        <f>I244-58</f>
        <v/>
      </c>
      <c r="K244" s="14">
        <f>MAX(0,J244)</f>
        <v/>
      </c>
      <c r="L244" s="14">
        <f>MAX(0,-J244)</f>
        <v/>
      </c>
      <c r="M244" s="14">
        <f>M243+I244</f>
        <v/>
      </c>
      <c r="N244" s="14">
        <f>D244+F244-E244</f>
        <v/>
      </c>
      <c r="O244" s="13" t="inlineStr">
        <is>
          <t>能力超目标：四轮定位上、下、ARHUD+慢充</t>
        </is>
      </c>
      <c r="P244" s="13" t="inlineStr">
        <is>
          <t>ST1 引取(开:15705.5s 加:56.0s 等前:1669.5s 等后:0.0s) | ST2 集约(开:15761.5s 加:111.0s 等前:0.0s 等后:0.0s) | ST3 空气悬挂+快充(开:15872.5s 加:108.5s 等前:0.0s 等后:1.5s) | ST4 四轮定位上、下(开:15982.5s 加:120.5s 等前:0.0s 等后:0.0s) | ST5 ADAS(开:16103.0s 加:107.0s 等前:0.0s 等后:30.5s) | ST6 ARHUD+慢充(开:16240.5s 加:143.5s 等前:0.0s 等后:0.0s) | ST7 转毂(开:16384.0s 加:114.5s 等前:0.0s 等后:0.0s) | ST8 制动(开:16498.5s 加:114.0s 等前:0.0s 等后:0.0s) | ST9 EG漏液/底盘漏液(开:16612.5s 加:112.5s 等前:0.0s 等后:0.0s) | ST10 全景/空调检查(开:16725.0s 加:0.0s 等前:0.0s 等后:0.0s) | ST11 气囊安装+绝缘(开:16725.0s 加:116.0s 等前:0.0s 等后:0.0s) | ST12 L2++(开:16841.0s 加:88.0s 等前:0.0s 等后:0.0s) | ST13 电检1(开:16929.0s 加:84.5s 等前:0.0s 等后:0.0s) | ST14 电检2(开:17013.5s 加:97.5s 等前:0.0s 等后:31.0s) | ST15 小跑道(开:17142.0s 加:50.0s 等前:0.0s 等后:0.0s)</t>
        </is>
      </c>
    </row>
    <row r="245">
      <c r="A245" s="15" t="n">
        <v>244</v>
      </c>
      <c r="B245" s="15" t="inlineStr">
        <is>
          <t>Car#244</t>
        </is>
      </c>
      <c r="C245" s="15" t="inlineStr">
        <is>
          <t>B</t>
        </is>
      </c>
      <c r="D245" s="16" t="n">
        <v>15761.5</v>
      </c>
      <c r="E245" s="16" t="n">
        <v>17258</v>
      </c>
      <c r="F245" s="16" t="n">
        <v>1496.5</v>
      </c>
      <c r="G245" s="16" t="n">
        <v>1832.5</v>
      </c>
      <c r="H245" s="15" t="inlineStr">
        <is>
          <t>Car#243</t>
        </is>
      </c>
      <c r="I245" s="16">
        <f>E245-E244</f>
        <v/>
      </c>
      <c r="J245" s="16">
        <f>I245-58</f>
        <v/>
      </c>
      <c r="K245" s="16">
        <f>MAX(0,J245)</f>
        <v/>
      </c>
      <c r="L245" s="16">
        <f>MAX(0,-J245)</f>
        <v/>
      </c>
      <c r="M245" s="16">
        <f>M244+I245</f>
        <v/>
      </c>
      <c r="N245" s="16">
        <f>D245+F245-E245</f>
        <v/>
      </c>
      <c r="O245" s="15" t="inlineStr">
        <is>
          <t>能力超目标：四轮定位上、下</t>
        </is>
      </c>
      <c r="P245" s="15" t="inlineStr">
        <is>
          <t>ST1 引取(开:15761.5s 加:56.0s 等前:1667.5s 等后:3.0s) | ST2 集约(开:15820.5s 加:111.0s 等前:0.0s 等后:32.0s) | ST3 空气悬挂+快充(开:15963.5s 加:108.5s 等前:0.0s 等后:12.0s) | ST4 四轮定位上、下(开:16084.0s 加:120.5s 等前:0.0s 等后:17.0s) | ST5 ADAS(开:16221.5s 加:107.0s 等前:0.0s 等后:36.5s) | ST6 ARHUD+慢充(开:16365.0s 加:51.5s 等前:0.0s 等后:63.0s) | ST7 转毂(开:16479.5s 加:114.5s 等前:0.0s 等后:0.0s) | ST8 制动(开:16594.0s 加:114.0s 等前:0.0s 等后:0.0s) | ST9 EG漏液/底盘漏液(开:16708.0s 加:112.5s 等前:0.0s 等后:0.0s) | ST10 全景/空调检查(开:16820.5s 加:0.0s 等前:0.0s 等后:1.5s) | ST11 气囊安装+绝缘(开:16822.0s 加:116.0s 等前:0.0s 等后:0.0s) | ST12 L2++(开:16938.0s 加:88.0s 等前:0.0s 等后:0.0s) | ST13 电检1(开:17026.0s 加:84.5s 等前:0.0s 等后:0.0s) | ST14 电检2(开:17110.5s 加:97.5s 等前:0.0s 等后:0.0s) | ST15 小跑道(开:17208.0s 加:50.0s 等前:0.0s 等后:0.0s)</t>
        </is>
      </c>
    </row>
    <row r="246">
      <c r="A246" s="13" t="n">
        <v>245</v>
      </c>
      <c r="B246" s="13" t="inlineStr">
        <is>
          <t>Car#246</t>
        </is>
      </c>
      <c r="C246" s="13" t="inlineStr">
        <is>
          <t>A</t>
        </is>
      </c>
      <c r="D246" s="14" t="n">
        <v>15876.5</v>
      </c>
      <c r="E246" s="14" t="n">
        <v>17309</v>
      </c>
      <c r="F246" s="14" t="n">
        <v>1432.5</v>
      </c>
      <c r="G246" s="14" t="n">
        <v>2238</v>
      </c>
      <c r="H246" s="13" t="inlineStr">
        <is>
          <t>Car#244</t>
        </is>
      </c>
      <c r="I246" s="14">
        <f>E246-E245</f>
        <v/>
      </c>
      <c r="J246" s="14">
        <f>I246-58</f>
        <v/>
      </c>
      <c r="K246" s="14">
        <f>MAX(0,J246)</f>
        <v/>
      </c>
      <c r="L246" s="14">
        <f>MAX(0,-J246)</f>
        <v/>
      </c>
      <c r="M246" s="14">
        <f>M245+I246</f>
        <v/>
      </c>
      <c r="N246" s="14">
        <f>D246+F246-E246</f>
        <v/>
      </c>
      <c r="O246" s="13" t="inlineStr">
        <is>
          <t>能力满足</t>
        </is>
      </c>
      <c r="P246" s="13" t="inlineStr">
        <is>
          <t>ST1 引取(开:15876.5s 加:55.0s 等前:1666.5s 等后:32.0s) | ST2 集约(开:15963.5s 加:106.0s 等前:0.0s 等后:14.5s) | ST3 空气悬挂+快充(开:16084.0s 加:0.0s 等前:0.0s 等后:137.5s) | ST4 四轮定位上、下(开:16221.5s 加:115.0s 等前:0.0s 等后:28.5s) | ST5 ADAS(开:16365.0s 加:97.0s 等前:0.0s 等后:17.5s) | ST6 ARHUD+慢充(开:16479.5s 加:0.0s 等前:0.0s 等后:114.5s) | ST7 转毂(开:16594.0s 加:116.0s 等前:0.0s 等后:0.0s) | ST8 制动(开:16710.0s 加:108.0s 等前:0.0s 等后:2.5s) | ST9 EG漏液/底盘漏液(开:16820.5s 加:115.0s 等前:0.0s 等后:0.0s) | ST10 全景/空调检查(开:16935.5s 加:98.0s 等前:0.0s 等后:0.0s) | ST11 气囊安装+绝缘(开:17033.5s 加:0.0s 等前:0.0s 等后:0.0s) | ST12 L2++(开:17033.5s 加:0.0s 等前:0.0s 等后:77.0s) | ST13 电检1(开:17110.5s 加:0.0s 等前:0.0s 等后:97.5s) | ST14 电检2(开:17208.0s 加:0.0s 等前:0.0s 等后:50.0s) | ST15 小跑道(开:17258.0s 加:51.0s 等前:0.0s 等后:0.0s)</t>
        </is>
      </c>
    </row>
    <row r="247">
      <c r="A247" s="15" t="n">
        <v>246</v>
      </c>
      <c r="B247" s="15" t="inlineStr">
        <is>
          <t>Car#245</t>
        </is>
      </c>
      <c r="C247" s="15" t="inlineStr">
        <is>
          <t>B</t>
        </is>
      </c>
      <c r="D247" s="16" t="n">
        <v>15820.5</v>
      </c>
      <c r="E247" s="16" t="n">
        <v>17359</v>
      </c>
      <c r="F247" s="16" t="n">
        <v>1538.5</v>
      </c>
      <c r="G247" s="16" t="n">
        <v>1875.5</v>
      </c>
      <c r="H247" s="15" t="inlineStr">
        <is>
          <t>Car#246</t>
        </is>
      </c>
      <c r="I247" s="16">
        <f>E247-E246</f>
        <v/>
      </c>
      <c r="J247" s="16">
        <f>I247-58</f>
        <v/>
      </c>
      <c r="K247" s="16">
        <f>MAX(0,J247)</f>
        <v/>
      </c>
      <c r="L247" s="16">
        <f>MAX(0,-J247)</f>
        <v/>
      </c>
      <c r="M247" s="16">
        <f>M246+I247</f>
        <v/>
      </c>
      <c r="N247" s="16">
        <f>D247+F247-E247</f>
        <v/>
      </c>
      <c r="O247" s="15" t="inlineStr">
        <is>
          <t>能力超目标：四轮定位上、下</t>
        </is>
      </c>
      <c r="P247" s="15" t="inlineStr">
        <is>
          <t>ST1 引取(开:15820.5s 加:56.0s 等前:1668.5s 等后:0.0s) | ST2 集约(开:15876.5s 加:111.0s 等前:0.0s 等后:0.0s) | ST3 空气悬挂+快充(开:15987.5s 加:108.5s 等前:0.0s 等后:7.0s) | ST4 四轮定位上、下(开:16103.0s 加:120.5s 等前:0.0s 等后:17.0s) | ST5 ADAS(开:16240.5s 加:107.0s 等前:0.0s 等后:36.5s) | ST6 ARHUD+慢充(开:16384.0s 加:51.5s 等前:0.0s 等后:63.0s) | ST7 转毂(开:16498.5s 加:114.5s 等前:0.0s 等后:0.0s) | ST8 制动(开:16613.0s 加:114.0s 等前:0.0s 等后:0.0s) | ST9 EG漏液/底盘漏液(开:16727.0s 加:112.5s 等前:0.0s 等后:0.0s) | ST10 全景/空调检查(开:16839.5s 加:0.0s 等前:0.0s 等后:1.5s) | ST11 气囊安装+绝缘(开:16841.0s 加:116.0s 等前:0.0s 等后:0.0s) | ST12 L2++(开:16957.0s 加:88.0s 等前:0.0s 等后:0.0s) | ST13 电检1(开:17045.0s 加:84.5s 等前:0.0s 等后:12.5s) | ST14 电检2(开:17142.0s 加:97.5s 等前:0.0s 等后:69.5s) | ST15 小跑道(开:17309.0s 加:50.0s 等前:0.0s 等后:0.0s)</t>
        </is>
      </c>
    </row>
    <row r="248">
      <c r="A248" s="13" t="n">
        <v>247</v>
      </c>
      <c r="B248" s="13" t="inlineStr">
        <is>
          <t>Car#247</t>
        </is>
      </c>
      <c r="C248" s="13" t="inlineStr">
        <is>
          <t>A</t>
        </is>
      </c>
      <c r="D248" s="14" t="n">
        <v>15963.5</v>
      </c>
      <c r="E248" s="14" t="n">
        <v>17410</v>
      </c>
      <c r="F248" s="14" t="n">
        <v>1446.5</v>
      </c>
      <c r="G248" s="14" t="n">
        <v>2281</v>
      </c>
      <c r="H248" s="13" t="inlineStr">
        <is>
          <t>Car#245</t>
        </is>
      </c>
      <c r="I248" s="14">
        <f>E248-E247</f>
        <v/>
      </c>
      <c r="J248" s="14">
        <f>I248-58</f>
        <v/>
      </c>
      <c r="K248" s="14">
        <f>MAX(0,J248)</f>
        <v/>
      </c>
      <c r="L248" s="14">
        <f>MAX(0,-J248)</f>
        <v/>
      </c>
      <c r="M248" s="14">
        <f>M247+I248</f>
        <v/>
      </c>
      <c r="N248" s="14">
        <f>D248+F248-E248</f>
        <v/>
      </c>
      <c r="O248" s="13" t="inlineStr">
        <is>
          <t>能力满足</t>
        </is>
      </c>
      <c r="P248" s="13" t="inlineStr">
        <is>
          <t>ST1 引取(开:15963.5s 加:55.0s 等前:1695.5s 等后:0.0s) | ST2 集约(开:16018.5s 加:106.0s 等前:0.0s 等后:0.0s) | ST3 空气悬挂+快充(开:16124.5s 加:0.0s 等前:0.0s 等后:116.0s) | ST4 四轮定位上、下(开:16240.5s 加:115.0s 等前:0.0s 等后:28.5s) | ST5 ADAS(开:16384.0s 加:97.0s 等前:0.0s 等后:17.5s) | ST6 ARHUD+慢充(开:16498.5s 加:0.0s 等前:0.0s 等后:114.5s) | ST7 转毂(开:16613.0s 加:116.0s 等前:0.0s 等后:0.0s) | ST8 制动(开:16729.0s 加:108.0s 等前:0.0s 等后:2.5s) | ST9 EG漏液/底盘漏液(开:16839.5s 加:115.0s 等前:0.0s 等后:0.0s) | ST10 全景/空调检查(开:16954.5s 加:98.0s 等前:0.0s 等后:0.0s) | ST11 气囊安装+绝缘(开:17052.5s 加:0.0s 等前:0.0s 等后:0.0s) | ST12 L2++(开:17052.5s 加:0.0s 等前:0.0s 等后:89.5s) | ST13 电检1(开:17142.0s 加:0.0s 等前:0.0s 等后:167.0s) | ST14 电检2(开:17309.0s 加:0.0s 等前:0.0s 等后:50.0s) | ST15 小跑道(开:17359.0s 加:51.0s 等前:0.0s 等后:0.0s)</t>
        </is>
      </c>
    </row>
    <row r="249">
      <c r="A249" s="15" t="n">
        <v>248</v>
      </c>
      <c r="B249" s="15" t="inlineStr">
        <is>
          <t>Car#248</t>
        </is>
      </c>
      <c r="C249" s="15" t="inlineStr">
        <is>
          <t>C</t>
        </is>
      </c>
      <c r="D249" s="16" t="n">
        <v>16018.5</v>
      </c>
      <c r="E249" s="16" t="n">
        <v>17514.5</v>
      </c>
      <c r="F249" s="16" t="n">
        <v>1496</v>
      </c>
      <c r="G249" s="16" t="n">
        <v>1765</v>
      </c>
      <c r="H249" s="15" t="inlineStr">
        <is>
          <t>Car#247</t>
        </is>
      </c>
      <c r="I249" s="16">
        <f>E249-E248</f>
        <v/>
      </c>
      <c r="J249" s="16">
        <f>I249-58</f>
        <v/>
      </c>
      <c r="K249" s="16">
        <f>MAX(0,J249)</f>
        <v/>
      </c>
      <c r="L249" s="16">
        <f>MAX(0,-J249)</f>
        <v/>
      </c>
      <c r="M249" s="16">
        <f>M248+I249</f>
        <v/>
      </c>
      <c r="N249" s="16">
        <f>D249+F249-E249</f>
        <v/>
      </c>
      <c r="O249" s="15" t="inlineStr">
        <is>
          <t>能力超目标：四轮定位上、下、ARHUD+慢充</t>
        </is>
      </c>
      <c r="P249" s="15" t="inlineStr">
        <is>
          <t>ST1 引取(开:16018.5s 加:56.0s 等前:1692.5s 等后:9.5s) | ST2 集约(开:16084.0s 加:111.0s 等前:0.0s 等后:26.5s) | ST3 空气悬挂+快充(开:16221.5s 加:108.5s 等前:0.0s 等后:35.0s) | ST4 四轮定位上、下(开:16365.0s 加:120.5s 等前:0.0s 等后:0.0s) | ST5 ADAS(开:16485.5s 加:107.0s 等前:0.0s 等后:1.5s) | ST6 ARHUD+慢充(开:16594.0s 加:143.5s 等前:0.0s 等后:0.0s) | ST7 转毂(开:16737.5s 加:114.5s 等前:0.0s 等后:0.0s) | ST8 制动(开:16852.0s 加:114.0s 等前:0.0s 等后:0.0s) | ST9 EG漏液/底盘漏液(开:16966.0s 加:112.5s 等前:0.0s 等后:0.0s) | ST10 全景/空调检查(开:17078.5s 加:0.0s 等前:0.0s 等后:0.0s) | ST11 气囊安装+绝缘(开:17078.5s 加:116.0s 等前:0.0s 等后:0.0s) | ST12 L2++(开:17194.5s 加:88.0s 等前:0.0s 等后:0.0s) | ST13 电检1(开:17282.5s 加:84.5s 等前:0.0s 等后:0.0s) | ST14 电检2(开:17367.0s 加:97.5s 等前:0.0s 等后:0.0s) | ST15 小跑道(开:17464.5s 加:50.0s 等前:0.0s 等后:0.0s)</t>
        </is>
      </c>
    </row>
    <row r="250">
      <c r="A250" s="13" t="n">
        <v>249</v>
      </c>
      <c r="B250" s="13" t="inlineStr">
        <is>
          <t>Car#249</t>
        </is>
      </c>
      <c r="C250" s="13" t="inlineStr">
        <is>
          <t>C</t>
        </is>
      </c>
      <c r="D250" s="14" t="n">
        <v>16084</v>
      </c>
      <c r="E250" s="14" t="n">
        <v>17564.5</v>
      </c>
      <c r="F250" s="14" t="n">
        <v>1480.5</v>
      </c>
      <c r="G250" s="14" t="n">
        <v>1757</v>
      </c>
      <c r="H250" s="13" t="inlineStr">
        <is>
          <t>Car#248</t>
        </is>
      </c>
      <c r="I250" s="14">
        <f>E250-E249</f>
        <v/>
      </c>
      <c r="J250" s="14">
        <f>I250-58</f>
        <v/>
      </c>
      <c r="K250" s="14">
        <f>MAX(0,J250)</f>
        <v/>
      </c>
      <c r="L250" s="14">
        <f>MAX(0,-J250)</f>
        <v/>
      </c>
      <c r="M250" s="14">
        <f>M249+I250</f>
        <v/>
      </c>
      <c r="N250" s="14">
        <f>D250+F250-E250</f>
        <v/>
      </c>
      <c r="O250" s="13" t="inlineStr">
        <is>
          <t>能力超目标：四轮定位上、下、ARHUD+慢充</t>
        </is>
      </c>
      <c r="P250" s="13" t="inlineStr">
        <is>
          <t>ST1 引取(开:16084.0s 加:56.0s 等前:1700.0s 等后:0.0s) | ST2 集约(开:16140.0s 加:111.0s 等前:0.0s 等后:0.0s) | ST3 空气悬挂+快充(开:16251.0s 加:108.5s 等前:0.0s 等后:24.5s) | ST4 四轮定位上、下(开:16384.0s 加:120.5s 等前:0.0s 等后:0.0s) | ST5 ADAS(开:16504.5s 加:107.0s 等前:0.0s 等后:1.5s) | ST6 ARHUD+慢充(开:16613.0s 加:143.5s 等前:0.0s 等后:0.0s) | ST7 转毂(开:16756.5s 加:114.5s 等前:0.0s 等后:0.0s) | ST8 制动(开:16871.0s 加:114.0s 等前:0.0s 等后:0.0s) | ST9 EG漏液/底盘漏液(开:16985.0s 加:112.5s 等前:0.0s 等后:0.0s) | ST10 全景/空调检查(开:17097.5s 加:0.0s 等前:0.0s 等后:0.0s) | ST11 气囊安装+绝缘(开:17097.5s 加:116.0s 等前:0.0s 等后:0.0s) | ST12 L2++(开:17213.5s 加:88.0s 等前:0.0s 等后:7.5s) | ST13 电检1(开:17309.0s 加:84.5s 等前:0.0s 等后:0.0s) | ST14 电检2(开:17393.5s 加:97.5s 等前:0.0s 等后:23.5s) | ST15 小跑道(开:17514.5s 加:50.0s 等前:0.0s 等后:0.0s)</t>
        </is>
      </c>
    </row>
    <row r="251">
      <c r="A251" s="15" t="n">
        <v>250</v>
      </c>
      <c r="B251" s="15" t="inlineStr">
        <is>
          <t>Car#250</t>
        </is>
      </c>
      <c r="C251" s="15" t="inlineStr">
        <is>
          <t>C</t>
        </is>
      </c>
      <c r="D251" s="16" t="n">
        <v>16140</v>
      </c>
      <c r="E251" s="16" t="n">
        <v>17658</v>
      </c>
      <c r="F251" s="16" t="n">
        <v>1518</v>
      </c>
      <c r="G251" s="16" t="n">
        <v>1792.5</v>
      </c>
      <c r="H251" s="15" t="inlineStr">
        <is>
          <t>Car#249</t>
        </is>
      </c>
      <c r="I251" s="16">
        <f>E251-E250</f>
        <v/>
      </c>
      <c r="J251" s="16">
        <f>I251-58</f>
        <v/>
      </c>
      <c r="K251" s="16">
        <f>MAX(0,J251)</f>
        <v/>
      </c>
      <c r="L251" s="16">
        <f>MAX(0,-J251)</f>
        <v/>
      </c>
      <c r="M251" s="16">
        <f>M250+I251</f>
        <v/>
      </c>
      <c r="N251" s="16">
        <f>D251+F251-E251</f>
        <v/>
      </c>
      <c r="O251" s="15" t="inlineStr">
        <is>
          <t>能力超目标：四轮定位上、下、ARHUD+慢充</t>
        </is>
      </c>
      <c r="P251" s="15" t="inlineStr">
        <is>
          <t>ST1 引取(开:16140.0s 加:56.0s 等前:1698.0s 等后:25.5s) | ST2 集约(开:16221.5s 加:111.0s 等前:0.0s 等后:32.5s) | ST3 空气悬挂+快充(开:16365.0s 加:108.5s 等前:0.0s 等后:12.0s) | ST4 四轮定位上、下(开:16485.5s 加:120.5s 等前:0.0s 等后:0.0s) | ST5 ADAS(开:16606.0s 加:107.0s 等前:0.0s 等后:24.5s) | ST6 ARHUD+慢充(开:16737.5s 加:143.5s 等前:0.0s 等后:0.0s) | ST7 转毂(开:16881.0s 加:114.5s 等前:0.0s 等后:0.0s) | ST8 制动(开:16995.5s 加:114.0s 等前:0.0s 等后:0.0s) | ST9 EG漏液/底盘漏液(开:17109.5s 加:112.5s 等前:0.0s 等后:0.0s) | ST10 全景/空调检查(开:17222.0s 加:0.0s 等前:0.0s 等后:0.0s) | ST11 气囊安装+绝缘(开:17222.0s 加:116.0s 等前:0.0s 等后:0.0s) | ST12 L2++(开:17338.0s 加:88.0s 等前:0.0s 等后:0.0s) | ST13 电检1(开:17426.0s 加:84.5s 等前:0.0s 等后:0.0s) | ST14 电检2(开:17510.5s 加:97.5s 等前:0.0s 等后:0.0s) | ST15 小跑道(开:17608.0s 加:50.0s 等前:0.0s 等后:0.0s)</t>
        </is>
      </c>
    </row>
    <row r="252">
      <c r="A252" s="13" t="n">
        <v>251</v>
      </c>
      <c r="B252" s="13" t="inlineStr">
        <is>
          <t>Car#251</t>
        </is>
      </c>
      <c r="C252" s="13" t="inlineStr">
        <is>
          <t>C</t>
        </is>
      </c>
      <c r="D252" s="14" t="n">
        <v>16221.5</v>
      </c>
      <c r="E252" s="14" t="n">
        <v>17708</v>
      </c>
      <c r="F252" s="14" t="n">
        <v>1486.5</v>
      </c>
      <c r="G252" s="14" t="n">
        <v>1784.5</v>
      </c>
      <c r="H252" s="13" t="inlineStr">
        <is>
          <t>Car#250</t>
        </is>
      </c>
      <c r="I252" s="14">
        <f>E252-E251</f>
        <v/>
      </c>
      <c r="J252" s="14">
        <f>I252-58</f>
        <v/>
      </c>
      <c r="K252" s="14">
        <f>MAX(0,J252)</f>
        <v/>
      </c>
      <c r="L252" s="14">
        <f>MAX(0,-J252)</f>
        <v/>
      </c>
      <c r="M252" s="14">
        <f>M251+I252</f>
        <v/>
      </c>
      <c r="N252" s="14">
        <f>D252+F252-E252</f>
        <v/>
      </c>
      <c r="O252" s="13" t="inlineStr">
        <is>
          <t>能力超目标：四轮定位上、下、ARHUD+慢充</t>
        </is>
      </c>
      <c r="P252" s="13" t="inlineStr">
        <is>
          <t>ST1 引取(开:16221.5s 加:56.0s 等前:1721.5s 等后:0.0s) | ST2 集约(开:16277.5s 加:111.0s 等前:0.0s 等后:0.0s) | ST3 空气悬挂+快充(开:16388.5s 加:108.5s 等前:0.0s 等后:7.5s) | ST4 四轮定位上、下(开:16504.5s 加:120.5s 等前:0.0s 等后:0.0s) | ST5 ADAS(开:16625.0s 加:107.0s 等前:0.0s 等后:24.5s) | ST6 ARHUD+慢充(开:16756.5s 加:143.5s 等前:0.0s 等后:0.0s) | ST7 转毂(开:16900.0s 加:114.5s 等前:0.0s 等后:0.0s) | ST8 制动(开:17014.5s 加:114.0s 等前:0.0s 等后:0.0s) | ST9 EG漏液/底盘漏液(开:17128.5s 加:112.5s 等前:0.0s 等后:0.0s) | ST10 全景/空调检查(开:17241.0s 加:0.0s 等前:0.0s 等后:0.0s) | ST11 气囊安装+绝缘(开:17241.0s 加:116.0s 等前:0.0s 等后:0.0s) | ST12 L2++(开:17357.0s 加:88.0s 等前:0.0s 等后:0.0s) | ST13 电检1(开:17445.0s 加:84.5s 等前:0.0s 等后:0.0s) | ST14 电检2(开:17529.5s 加:97.5s 等前:0.0s 等后:31.0s) | ST15 小跑道(开:17658.0s 加:50.0s 等前:0.0s 等后:0.0s)</t>
        </is>
      </c>
    </row>
    <row r="253">
      <c r="A253" s="15" t="n">
        <v>252</v>
      </c>
      <c r="B253" s="15" t="inlineStr">
        <is>
          <t>Car#252</t>
        </is>
      </c>
      <c r="C253" s="15" t="inlineStr">
        <is>
          <t>B</t>
        </is>
      </c>
      <c r="D253" s="16" t="n">
        <v>16277.5</v>
      </c>
      <c r="E253" s="16" t="n">
        <v>17774</v>
      </c>
      <c r="F253" s="16" t="n">
        <v>1496.5</v>
      </c>
      <c r="G253" s="16" t="n">
        <v>1884.5</v>
      </c>
      <c r="H253" s="15" t="inlineStr">
        <is>
          <t>Car#251</t>
        </is>
      </c>
      <c r="I253" s="16">
        <f>E253-E252</f>
        <v/>
      </c>
      <c r="J253" s="16">
        <f>I253-58</f>
        <v/>
      </c>
      <c r="K253" s="16">
        <f>MAX(0,J253)</f>
        <v/>
      </c>
      <c r="L253" s="16">
        <f>MAX(0,-J253)</f>
        <v/>
      </c>
      <c r="M253" s="16">
        <f>M252+I253</f>
        <v/>
      </c>
      <c r="N253" s="16">
        <f>D253+F253-E253</f>
        <v/>
      </c>
      <c r="O253" s="15" t="inlineStr">
        <is>
          <t>能力超目标：四轮定位上、下</t>
        </is>
      </c>
      <c r="P253" s="15" t="inlineStr">
        <is>
          <t>ST1 引取(开:16277.5s 加:56.0s 等前:1719.5s 等后:31.5s) | ST2 集约(开:16365.0s 加:111.0s 等前:0.0s 等后:9.5s) | ST3 空气悬挂+快充(开:16485.5s 加:108.5s 等前:0.0s 等后:12.0s) | ST4 四轮定位上、下(开:16606.0s 加:120.5s 等前:0.0s 等后:11.0s) | ST5 ADAS(开:16737.5s 加:107.0s 等前:0.0s 等后:36.5s) | ST6 ARHUD+慢充(开:16881.0s 加:51.5s 等前:0.0s 等后:63.0s) | ST7 转毂(开:16995.5s 加:114.5s 等前:0.0s 等后:0.0s) | ST8 制动(开:17110.0s 加:114.0s 等前:0.0s 等后:0.0s) | ST9 EG漏液/底盘漏液(开:17224.0s 加:112.5s 等前:0.0s 等后:0.0s) | ST10 全景/空调检查(开:17336.5s 加:0.0s 等前:0.0s 等后:1.5s) | ST11 气囊安装+绝缘(开:17338.0s 加:116.0s 等前:0.0s 等后:0.0s) | ST12 L2++(开:17454.0s 加:88.0s 等前:0.0s 等后:0.0s) | ST13 电检1(开:17542.0s 加:84.5s 等前:0.0s 等后:0.0s) | ST14 电检2(开:17626.5s 加:97.5s 等前:0.0s 等后:0.0s) | ST15 小跑道(开:17724.0s 加:50.0s 等前:0.0s 等后:0.0s)</t>
        </is>
      </c>
    </row>
    <row r="254">
      <c r="A254" s="13" t="n">
        <v>253</v>
      </c>
      <c r="B254" s="13" t="inlineStr">
        <is>
          <t>Car#254</t>
        </is>
      </c>
      <c r="C254" s="13" t="inlineStr">
        <is>
          <t>A</t>
        </is>
      </c>
      <c r="D254" s="14" t="n">
        <v>16421</v>
      </c>
      <c r="E254" s="14" t="n">
        <v>17825</v>
      </c>
      <c r="F254" s="14" t="n">
        <v>1404</v>
      </c>
      <c r="G254" s="14" t="n">
        <v>2290</v>
      </c>
      <c r="H254" s="13" t="inlineStr">
        <is>
          <t>Car#252</t>
        </is>
      </c>
      <c r="I254" s="14">
        <f>E254-E253</f>
        <v/>
      </c>
      <c r="J254" s="14">
        <f>I254-58</f>
        <v/>
      </c>
      <c r="K254" s="14">
        <f>MAX(0,J254)</f>
        <v/>
      </c>
      <c r="L254" s="14">
        <f>MAX(0,-J254)</f>
        <v/>
      </c>
      <c r="M254" s="14">
        <f>M253+I254</f>
        <v/>
      </c>
      <c r="N254" s="14">
        <f>D254+F254-E254</f>
        <v/>
      </c>
      <c r="O254" s="13" t="inlineStr">
        <is>
          <t>能力满足</t>
        </is>
      </c>
      <c r="P254" s="13" t="inlineStr">
        <is>
          <t>ST1 引取(开:16421.0s 加:55.0s 等前:1747.0s 等后:9.5s) | ST2 集约(开:16485.5s 加:106.0s 等前:0.0s 等后:14.5s) | ST3 空气悬挂+快充(开:16606.0s 加:0.0s 等前:0.0s 等后:131.5s) | ST4 四轮定位上、下(开:16737.5s 加:115.0s 等前:0.0s 等后:28.5s) | ST5 ADAS(开:16881.0s 加:97.0s 等前:0.0s 等后:17.5s) | ST6 ARHUD+慢充(开:16995.5s 加:0.0s 等前:0.0s 等后:114.5s) | ST7 转毂(开:17110.0s 加:116.0s 等前:0.0s 等后:0.0s) | ST8 制动(开:17226.0s 加:108.0s 等前:0.0s 等后:2.5s) | ST9 EG漏液/底盘漏液(开:17336.5s 加:115.0s 等前:0.0s 等后:0.0s) | ST10 全景/空调检查(开:17451.5s 加:98.0s 等前:0.0s 等后:0.0s) | ST11 气囊安装+绝缘(开:17549.5s 加:0.0s 等前:0.0s 等后:0.0s) | ST12 L2++(开:17549.5s 加:0.0s 等前:0.0s 等后:77.0s) | ST13 电检1(开:17626.5s 加:0.0s 等前:0.0s 等后:97.5s) | ST14 电检2(开:17724.0s 加:0.0s 等前:0.0s 等后:50.0s) | ST15 小跑道(开:17774.0s 加:51.0s 等前:0.0s 等后:0.0s)</t>
        </is>
      </c>
    </row>
    <row r="255">
      <c r="A255" s="15" t="n">
        <v>254</v>
      </c>
      <c r="B255" s="15" t="inlineStr">
        <is>
          <t>Car#253</t>
        </is>
      </c>
      <c r="C255" s="15" t="inlineStr">
        <is>
          <t>B</t>
        </is>
      </c>
      <c r="D255" s="16" t="n">
        <v>16365</v>
      </c>
      <c r="E255" s="16" t="n">
        <v>17875</v>
      </c>
      <c r="F255" s="16" t="n">
        <v>1510</v>
      </c>
      <c r="G255" s="16" t="n">
        <v>1927.5</v>
      </c>
      <c r="H255" s="15" t="inlineStr">
        <is>
          <t>Car#254</t>
        </is>
      </c>
      <c r="I255" s="16">
        <f>E255-E254</f>
        <v/>
      </c>
      <c r="J255" s="16">
        <f>I255-58</f>
        <v/>
      </c>
      <c r="K255" s="16">
        <f>MAX(0,J255)</f>
        <v/>
      </c>
      <c r="L255" s="16">
        <f>MAX(0,-J255)</f>
        <v/>
      </c>
      <c r="M255" s="16">
        <f>M254+I255</f>
        <v/>
      </c>
      <c r="N255" s="16">
        <f>D255+F255-E255</f>
        <v/>
      </c>
      <c r="O255" s="15" t="inlineStr">
        <is>
          <t>能力超目标：四轮定位上、下</t>
        </is>
      </c>
      <c r="P255" s="15" t="inlineStr">
        <is>
          <t>ST1 引取(开:16365.0s 加:56.0s 等前:1749.0s 等后:0.0s) | ST2 集约(开:16421.0s 加:111.0s 等前:0.0s 等后:0.0s) | ST3 空气悬挂+快充(开:16532.0s 加:108.5s 等前:0.0s 等后:0.0s) | ST4 四轮定位上、下(开:16640.5s 加:120.5s 等前:0.0s 等后:0.0s) | ST5 ADAS(开:16761.0s 加:107.0s 等前:0.0s 等后:32.0s) | ST6 ARHUD+慢充(开:16900.0s 加:51.5s 等前:0.0s 等后:63.0s) | ST7 转毂(开:17014.5s 加:114.5s 等前:0.0s 等后:0.0s) | ST8 制动(开:17129.0s 加:114.0s 等前:0.0s 等后:0.0s) | ST9 EG漏液/底盘漏液(开:17243.0s 加:112.5s 等前:0.0s 等后:0.0s) | ST10 全景/空调检查(开:17355.5s 加:0.0s 等前:0.0s 等后:1.5s) | ST11 气囊安装+绝缘(开:17357.0s 加:116.0s 等前:0.0s 等后:0.0s) | ST12 L2++(开:17473.0s 加:88.0s 等前:0.0s 等后:0.0s) | ST13 电检1(开:17561.0s 加:84.5s 等前:0.0s 等后:12.5s) | ST14 电检2(开:17658.0s 加:97.5s 等前:0.0s 等后:69.5s) | ST15 小跑道(开:17825.0s 加:50.0s 等前:0.0s 等后:0.0s)</t>
        </is>
      </c>
    </row>
    <row r="256">
      <c r="A256" s="13" t="n">
        <v>255</v>
      </c>
      <c r="B256" s="13" t="inlineStr">
        <is>
          <t>Car#255</t>
        </is>
      </c>
      <c r="C256" s="13" t="inlineStr">
        <is>
          <t>A</t>
        </is>
      </c>
      <c r="D256" s="14" t="n">
        <v>16485.5</v>
      </c>
      <c r="E256" s="14" t="n">
        <v>17926</v>
      </c>
      <c r="F256" s="14" t="n">
        <v>1440.5</v>
      </c>
      <c r="G256" s="14" t="n">
        <v>2333</v>
      </c>
      <c r="H256" s="13" t="inlineStr">
        <is>
          <t>Car#253</t>
        </is>
      </c>
      <c r="I256" s="14">
        <f>E256-E255</f>
        <v/>
      </c>
      <c r="J256" s="14">
        <f>I256-58</f>
        <v/>
      </c>
      <c r="K256" s="14">
        <f>MAX(0,J256)</f>
        <v/>
      </c>
      <c r="L256" s="14">
        <f>MAX(0,-J256)</f>
        <v/>
      </c>
      <c r="M256" s="14">
        <f>M255+I256</f>
        <v/>
      </c>
      <c r="N256" s="14">
        <f>D256+F256-E256</f>
        <v/>
      </c>
      <c r="O256" s="13" t="inlineStr">
        <is>
          <t>能力满足</t>
        </is>
      </c>
      <c r="P256" s="13" t="inlineStr">
        <is>
          <t>ST1 引取(开:16485.5s 加:55.0s 等前:1753.5s 等后:0.0s) | ST2 集约(开:16540.5s 加:106.0s 等前:0.0s 等后:0.0s) | ST3 空气悬挂+快充(开:16646.5s 加:0.0s 等前:0.0s 等后:114.5s) | ST4 四轮定位上、下(开:16761.0s 加:115.0s 等前:0.0s 等后:24.0s) | ST5 ADAS(开:16900.0s 加:97.0s 等前:0.0s 等后:17.5s) | ST6 ARHUD+慢充(开:17014.5s 加:0.0s 等前:0.0s 等后:114.5s) | ST7 转毂(开:17129.0s 加:116.0s 等前:0.0s 等后:0.0s) | ST8 制动(开:17245.0s 加:108.0s 等前:0.0s 等后:2.5s) | ST9 EG漏液/底盘漏液(开:17355.5s 加:115.0s 等前:0.0s 等后:0.0s) | ST10 全景/空调检查(开:17470.5s 加:98.0s 等前:0.0s 等后:0.0s) | ST11 气囊安装+绝缘(开:17568.5s 加:0.0s 等前:0.0s 等后:0.0s) | ST12 L2++(开:17568.5s 加:0.0s 等前:0.0s 等后:89.5s) | ST13 电检1(开:17658.0s 加:0.0s 等前:0.0s 等后:167.0s) | ST14 电检2(开:17825.0s 加:0.0s 等前:0.0s 等后:50.0s) | ST15 小跑道(开:17875.0s 加:51.0s 等前:0.0s 等后:0.0s)</t>
        </is>
      </c>
    </row>
    <row r="257">
      <c r="A257" s="15" t="n">
        <v>256</v>
      </c>
      <c r="B257" s="15" t="inlineStr">
        <is>
          <t>Car#256</t>
        </is>
      </c>
      <c r="C257" s="15" t="inlineStr">
        <is>
          <t>C</t>
        </is>
      </c>
      <c r="D257" s="16" t="n">
        <v>16540.5</v>
      </c>
      <c r="E257" s="16" t="n">
        <v>18030.5</v>
      </c>
      <c r="F257" s="16" t="n">
        <v>1490</v>
      </c>
      <c r="G257" s="16" t="n">
        <v>1817</v>
      </c>
      <c r="H257" s="15" t="inlineStr">
        <is>
          <t>Car#255</t>
        </is>
      </c>
      <c r="I257" s="16">
        <f>E257-E256</f>
        <v/>
      </c>
      <c r="J257" s="16">
        <f>I257-58</f>
        <v/>
      </c>
      <c r="K257" s="16">
        <f>MAX(0,J257)</f>
        <v/>
      </c>
      <c r="L257" s="16">
        <f>MAX(0,-J257)</f>
        <v/>
      </c>
      <c r="M257" s="16">
        <f>M256+I257</f>
        <v/>
      </c>
      <c r="N257" s="16">
        <f>D257+F257-E257</f>
        <v/>
      </c>
      <c r="O257" s="15" t="inlineStr">
        <is>
          <t>能力超目标：四轮定位上、下、ARHUD+慢充</t>
        </is>
      </c>
      <c r="P257" s="15" t="inlineStr">
        <is>
          <t>ST1 引取(开:16540.5s 加:56.0s 等前:1750.5s 等后:9.5s) | ST2 集约(开:16606.0s 加:111.0s 等前:0.0s 等后:20.5s) | ST3 空气悬挂+快充(开:16737.5s 加:108.5s 等前:0.0s 等后:35.0s) | ST4 四轮定位上、下(开:16881.0s 加:120.5s 等前:0.0s 等后:0.0s) | ST5 ADAS(开:17001.5s 加:107.0s 等前:0.0s 等后:1.5s) | ST6 ARHUD+慢充(开:17110.0s 加:143.5s 等前:0.0s 等后:0.0s) | ST7 转毂(开:17253.5s 加:114.5s 等前:0.0s 等后:0.0s) | ST8 制动(开:17368.0s 加:114.0s 等前:0.0s 等后:0.0s) | ST9 EG漏液/底盘漏液(开:17482.0s 加:112.5s 等前:0.0s 等后:0.0s) | ST10 全景/空调检查(开:17594.5s 加:0.0s 等前:0.0s 等后:0.0s) | ST11 气囊安装+绝缘(开:17594.5s 加:116.0s 等前:0.0s 等后:0.0s) | ST12 L2++(开:17710.5s 加:88.0s 等前:0.0s 等后:0.0s) | ST13 电检1(开:17798.5s 加:84.5s 等前:0.0s 等后:0.0s) | ST14 电检2(开:17883.0s 加:97.5s 等前:0.0s 等后:0.0s) | ST15 小跑道(开:17980.5s 加:50.0s 等前:0.0s 等后:0.0s)</t>
        </is>
      </c>
    </row>
    <row r="258">
      <c r="A258" s="13" t="n">
        <v>257</v>
      </c>
      <c r="B258" s="13" t="inlineStr">
        <is>
          <t>Car#257</t>
        </is>
      </c>
      <c r="C258" s="13" t="inlineStr">
        <is>
          <t>C</t>
        </is>
      </c>
      <c r="D258" s="14" t="n">
        <v>16606</v>
      </c>
      <c r="E258" s="14" t="n">
        <v>18080.5</v>
      </c>
      <c r="F258" s="14" t="n">
        <v>1474.5</v>
      </c>
      <c r="G258" s="14" t="n">
        <v>1809</v>
      </c>
      <c r="H258" s="13" t="inlineStr">
        <is>
          <t>Car#256</t>
        </is>
      </c>
      <c r="I258" s="14">
        <f>E258-E257</f>
        <v/>
      </c>
      <c r="J258" s="14">
        <f>I258-58</f>
        <v/>
      </c>
      <c r="K258" s="14">
        <f>MAX(0,J258)</f>
        <v/>
      </c>
      <c r="L258" s="14">
        <f>MAX(0,-J258)</f>
        <v/>
      </c>
      <c r="M258" s="14">
        <f>M257+I258</f>
        <v/>
      </c>
      <c r="N258" s="14">
        <f>D258+F258-E258</f>
        <v/>
      </c>
      <c r="O258" s="13" t="inlineStr">
        <is>
          <t>能力超目标：四轮定位上、下、ARHUD+慢充</t>
        </is>
      </c>
      <c r="P258" s="13" t="inlineStr">
        <is>
          <t>ST1 引取(开:16606.0s 加:56.0s 等前:1758.0s 等后:0.0s) | ST2 集约(开:16662.0s 加:111.0s 等前:0.0s 等后:0.0s) | ST3 空气悬挂+快充(开:16773.0s 加:108.5s 等前:0.0s 等后:18.5s) | ST4 四轮定位上、下(开:16900.0s 加:120.5s 等前:0.0s 等后:0.0s) | ST5 ADAS(开:17020.5s 加:107.0s 等前:0.0s 等后:1.5s) | ST6 ARHUD+慢充(开:17129.0s 加:143.5s 等前:0.0s 等后:0.0s) | ST7 转毂(开:17272.5s 加:114.5s 等前:0.0s 等后:0.0s) | ST8 制动(开:17387.0s 加:114.0s 等前:0.0s 等后:0.0s) | ST9 EG漏液/底盘漏液(开:17501.0s 加:112.5s 等前:0.0s 等后:0.0s) | ST10 全景/空调检查(开:17613.5s 加:0.0s 等前:0.0s 等后:0.0s) | ST11 气囊安装+绝缘(开:17613.5s 加:116.0s 等前:0.0s 等后:0.0s) | ST12 L2++(开:17729.5s 加:88.0s 等前:0.0s 等后:7.5s) | ST13 电检1(开:17825.0s 加:84.5s 等前:0.0s 等后:0.0s) | ST14 电检2(开:17909.5s 加:97.5s 等前:0.0s 等后:23.5s) | ST15 小跑道(开:18030.5s 加:50.0s 等前:0.0s 等后:0.0s)</t>
        </is>
      </c>
    </row>
    <row r="259">
      <c r="A259" s="15" t="n">
        <v>258</v>
      </c>
      <c r="B259" s="15" t="inlineStr">
        <is>
          <t>Car#258</t>
        </is>
      </c>
      <c r="C259" s="15" t="inlineStr">
        <is>
          <t>C</t>
        </is>
      </c>
      <c r="D259" s="16" t="n">
        <v>16662</v>
      </c>
      <c r="E259" s="16" t="n">
        <v>18174</v>
      </c>
      <c r="F259" s="16" t="n">
        <v>1512</v>
      </c>
      <c r="G259" s="16" t="n">
        <v>1844.5</v>
      </c>
      <c r="H259" s="15" t="inlineStr">
        <is>
          <t>Car#257</t>
        </is>
      </c>
      <c r="I259" s="16">
        <f>E259-E258</f>
        <v/>
      </c>
      <c r="J259" s="16">
        <f>I259-58</f>
        <v/>
      </c>
      <c r="K259" s="16">
        <f>MAX(0,J259)</f>
        <v/>
      </c>
      <c r="L259" s="16">
        <f>MAX(0,-J259)</f>
        <v/>
      </c>
      <c r="M259" s="16">
        <f>M258+I259</f>
        <v/>
      </c>
      <c r="N259" s="16">
        <f>D259+F259-E259</f>
        <v/>
      </c>
      <c r="O259" s="15" t="inlineStr">
        <is>
          <t>能力超目标：四轮定位上、下、ARHUD+慢充</t>
        </is>
      </c>
      <c r="P259" s="15" t="inlineStr">
        <is>
          <t>ST1 引取(开:16662.0s 加:56.0s 等前:1756.0s 等后:19.5s) | ST2 集约(开:16737.5s 加:111.0s 等前:0.0s 等后:32.5s) | ST3 空气悬挂+快充(开:16881.0s 加:108.5s 等前:0.0s 等后:12.0s) | ST4 四轮定位上、下(开:17001.5s 加:120.5s 等前:0.0s 等后:0.0s) | ST5 ADAS(开:17122.0s 加:107.0s 等前:0.0s 等后:24.5s) | ST6 ARHUD+慢充(开:17253.5s 加:143.5s 等前:0.0s 等后:0.0s) | ST7 转毂(开:17397.0s 加:114.5s 等前:0.0s 等后:0.0s) | ST8 制动(开:17511.5s 加:114.0s 等前:0.0s 等后:0.0s) | ST9 EG漏液/底盘漏液(开:17625.5s 加:112.5s 等前:0.0s 等后:0.0s) | ST10 全景/空调检查(开:17738.0s 加:0.0s 等前:0.0s 等后:0.0s) | ST11 气囊安装+绝缘(开:17738.0s 加:116.0s 等前:0.0s 等后:0.0s) | ST12 L2++(开:17854.0s 加:88.0s 等前:0.0s 等后:0.0s) | ST13 电检1(开:17942.0s 加:84.5s 等前:0.0s 等后:0.0s) | ST14 电检2(开:18026.5s 加:97.5s 等前:0.0s 等后:0.0s) | ST15 小跑道(开:18124.0s 加:50.0s 等前:0.0s 等后:0.0s)</t>
        </is>
      </c>
    </row>
    <row r="260">
      <c r="A260" s="13" t="n">
        <v>259</v>
      </c>
      <c r="B260" s="13" t="inlineStr">
        <is>
          <t>Car#259</t>
        </is>
      </c>
      <c r="C260" s="13" t="inlineStr">
        <is>
          <t>B</t>
        </is>
      </c>
      <c r="D260" s="14" t="n">
        <v>16737.5</v>
      </c>
      <c r="E260" s="14" t="n">
        <v>18224</v>
      </c>
      <c r="F260" s="14" t="n">
        <v>1486.5</v>
      </c>
      <c r="G260" s="14" t="n">
        <v>1928.5</v>
      </c>
      <c r="H260" s="13" t="inlineStr">
        <is>
          <t>Car#258</t>
        </is>
      </c>
      <c r="I260" s="14">
        <f>E260-E259</f>
        <v/>
      </c>
      <c r="J260" s="14">
        <f>I260-58</f>
        <v/>
      </c>
      <c r="K260" s="14">
        <f>MAX(0,J260)</f>
        <v/>
      </c>
      <c r="L260" s="14">
        <f>MAX(0,-J260)</f>
        <v/>
      </c>
      <c r="M260" s="14">
        <f>M259+I260</f>
        <v/>
      </c>
      <c r="N260" s="14">
        <f>D260+F260-E260</f>
        <v/>
      </c>
      <c r="O260" s="13" t="inlineStr">
        <is>
          <t>能力超目标：四轮定位上、下</t>
        </is>
      </c>
      <c r="P260" s="13" t="inlineStr">
        <is>
          <t>ST1 引取(开:16737.5s 加:56.0s 等前:1773.5s 等后:0.0s) | ST2 集约(开:16793.5s 加:111.0s 等前:0.0s 等后:0.0s) | ST3 空气悬挂+快充(开:16904.5s 加:108.5s 等前:0.0s 等后:7.5s) | ST4 四轮定位上、下(开:17020.5s 加:120.5s 等前:0.0s 等后:0.0s) | ST5 ADAS(开:17141.0s 加:107.0s 等前:0.0s 等后:24.5s) | ST6 ARHUD+慢充(开:17272.5s 加:51.5s 等前:0.0s 等后:63.0s) | ST7 转毂(开:17387.0s 加:114.5s 等前:0.0s 等后:0.0s) | ST8 制动(开:17501.5s 加:114.0s 等前:0.0s 等后:0.0s) | ST9 EG漏液/底盘漏液(开:17615.5s 加:112.5s 等前:0.0s 等后:0.0s) | ST10 全景/空调检查(开:17728.0s 加:0.0s 等前:0.0s 等后:1.5s) | ST11 气囊安装+绝缘(开:17729.5s 加:116.0s 等前:0.0s 等后:0.0s) | ST12 L2++(开:17845.5s 加:88.0s 等前:0.0s 等后:0.0s) | ST13 电检1(开:17933.5s 加:84.5s 等前:0.0s 等后:12.5s) | ST14 电检2(开:18030.5s 加:97.5s 等前:0.0s 等后:46.0s) | ST15 小跑道(开:18174.0s 加:50.0s 等前:0.0s 等后:0.0s)</t>
        </is>
      </c>
    </row>
    <row r="261">
      <c r="A261" s="15" t="n">
        <v>260</v>
      </c>
      <c r="B261" s="15" t="inlineStr">
        <is>
          <t>Car#260</t>
        </is>
      </c>
      <c r="C261" s="15" t="inlineStr">
        <is>
          <t>B</t>
        </is>
      </c>
      <c r="D261" s="16" t="n">
        <v>16793.5</v>
      </c>
      <c r="E261" s="16" t="n">
        <v>18290</v>
      </c>
      <c r="F261" s="16" t="n">
        <v>1496.5</v>
      </c>
      <c r="G261" s="16" t="n">
        <v>1936.5</v>
      </c>
      <c r="H261" s="15" t="inlineStr">
        <is>
          <t>Car#259</t>
        </is>
      </c>
      <c r="I261" s="16">
        <f>E261-E260</f>
        <v/>
      </c>
      <c r="J261" s="16">
        <f>I261-58</f>
        <v/>
      </c>
      <c r="K261" s="16">
        <f>MAX(0,J261)</f>
        <v/>
      </c>
      <c r="L261" s="16">
        <f>MAX(0,-J261)</f>
        <v/>
      </c>
      <c r="M261" s="16">
        <f>M260+I261</f>
        <v/>
      </c>
      <c r="N261" s="16">
        <f>D261+F261-E261</f>
        <v/>
      </c>
      <c r="O261" s="15" t="inlineStr">
        <is>
          <t>能力超目标：四轮定位上、下</t>
        </is>
      </c>
      <c r="P261" s="15" t="inlineStr">
        <is>
          <t>ST1 引取(开:16793.5s 加:56.0s 等前:1771.5s 等后:31.5s) | ST2 集约(开:16881.0s 加:111.0s 等前:0.0s 等后:9.5s) | ST3 空气悬挂+快充(开:17001.5s 加:108.5s 等前:0.0s 等后:12.0s) | ST4 四轮定位上、下(开:17122.0s 加:120.5s 等前:0.0s 等后:11.0s) | ST5 ADAS(开:17253.5s 加:107.0s 等前:0.0s 等后:36.5s) | ST6 ARHUD+慢充(开:17397.0s 加:51.5s 等前:0.0s 等后:63.0s) | ST7 转毂(开:17511.5s 加:114.5s 等前:0.0s 等后:0.0s) | ST8 制动(开:17626.0s 加:114.0s 等前:0.0s 等后:0.0s) | ST9 EG漏液/底盘漏液(开:17740.0s 加:112.5s 等前:0.0s 等后:0.0s) | ST10 全景/空调检查(开:17852.5s 加:0.0s 等前:0.0s 等后:1.5s) | ST11 气囊安装+绝缘(开:17854.0s 加:116.0s 等前:0.0s 等后:0.0s) | ST12 L2++(开:17970.0s 加:88.0s 等前:0.0s 等后:0.0s) | ST13 电检1(开:18058.0s 加:84.5s 等前:0.0s 等后:0.0s) | ST14 电检2(开:18142.5s 加:97.5s 等前:0.0s 等后:0.0s) | ST15 小跑道(开:18240.0s 加:50.0s 等前:0.0s 等后:0.0s)</t>
        </is>
      </c>
    </row>
    <row r="262">
      <c r="A262" s="13" t="n">
        <v>261</v>
      </c>
      <c r="B262" s="13" t="inlineStr">
        <is>
          <t>Car#261</t>
        </is>
      </c>
      <c r="C262" s="13" t="inlineStr">
        <is>
          <t>B</t>
        </is>
      </c>
      <c r="D262" s="14" t="n">
        <v>16881</v>
      </c>
      <c r="E262" s="14" t="n">
        <v>18340</v>
      </c>
      <c r="F262" s="14" t="n">
        <v>1459</v>
      </c>
      <c r="G262" s="14" t="n">
        <v>1928.5</v>
      </c>
      <c r="H262" s="13" t="inlineStr">
        <is>
          <t>Car#260</t>
        </is>
      </c>
      <c r="I262" s="14">
        <f>E262-E261</f>
        <v/>
      </c>
      <c r="J262" s="14">
        <f>I262-58</f>
        <v/>
      </c>
      <c r="K262" s="14">
        <f>MAX(0,J262)</f>
        <v/>
      </c>
      <c r="L262" s="14">
        <f>MAX(0,-J262)</f>
        <v/>
      </c>
      <c r="M262" s="14">
        <f>M261+I262</f>
        <v/>
      </c>
      <c r="N262" s="14">
        <f>D262+F262-E262</f>
        <v/>
      </c>
      <c r="O262" s="13" t="inlineStr">
        <is>
          <t>能力超目标：四轮定位上、下</t>
        </is>
      </c>
      <c r="P262" s="13" t="inlineStr">
        <is>
          <t>ST1 引取(开:16881.0s 加:56.0s 等前:1801.0s 等后:0.0s) | ST2 集约(开:16937.0s 加:111.0s 等前:0.0s 等后:0.0s) | ST3 空气悬挂+快充(开:17048.0s 加:108.5s 等前:0.0s 等后:0.0s) | ST4 四轮定位上、下(开:17156.5s 加:120.5s 等前:0.0s 等后:0.0s) | ST5 ADAS(开:17277.0s 加:107.0s 等前:0.0s 等后:3.0s) | ST6 ARHUD+慢充(开:17387.0s 加:51.5s 等前:0.0s 等后:63.0s) | ST7 转毂(开:17501.5s 加:114.5s 等前:0.0s 等后:0.0s) | ST8 制动(开:17616.0s 加:114.0s 等前:0.0s 等后:0.0s) | ST9 EG漏液/底盘漏液(开:17730.0s 加:112.5s 等前:0.0s 等后:0.0s) | ST10 全景/空调检查(开:17842.5s 加:0.0s 等前:0.0s 等后:3.0s) | ST11 气囊安装+绝缘(开:17845.5s 加:116.0s 等前:0.0s 等后:0.0s) | ST12 L2++(开:17961.5s 加:88.0s 等前:0.0s 等后:0.0s) | ST13 电检1(开:18049.5s 加:84.5s 等前:0.0s 等后:40.0s) | ST14 电检2(开:18174.0s 加:97.5s 等前:0.0s 等后:18.5s) | ST15 小跑道(开:18290.0s 加:50.0s 等前:0.0s 等后:0.0s)</t>
        </is>
      </c>
    </row>
    <row r="263">
      <c r="A263" s="15" t="n">
        <v>262</v>
      </c>
      <c r="B263" s="15" t="inlineStr">
        <is>
          <t>Car#263</t>
        </is>
      </c>
      <c r="C263" s="15" t="inlineStr">
        <is>
          <t>A</t>
        </is>
      </c>
      <c r="D263" s="16" t="n">
        <v>17001.5</v>
      </c>
      <c r="E263" s="16" t="n">
        <v>18391</v>
      </c>
      <c r="F263" s="16" t="n">
        <v>1389.5</v>
      </c>
      <c r="G263" s="16" t="n">
        <v>2334</v>
      </c>
      <c r="H263" s="15" t="inlineStr">
        <is>
          <t>Car#261</t>
        </is>
      </c>
      <c r="I263" s="16">
        <f>E263-E262</f>
        <v/>
      </c>
      <c r="J263" s="16">
        <f>I263-58</f>
        <v/>
      </c>
      <c r="K263" s="16">
        <f>MAX(0,J263)</f>
        <v/>
      </c>
      <c r="L263" s="16">
        <f>MAX(0,-J263)</f>
        <v/>
      </c>
      <c r="M263" s="16">
        <f>M262+I263</f>
        <v/>
      </c>
      <c r="N263" s="16">
        <f>D263+F263-E263</f>
        <v/>
      </c>
      <c r="O263" s="15" t="inlineStr">
        <is>
          <t>能力满足</t>
        </is>
      </c>
      <c r="P263" s="15" t="inlineStr">
        <is>
          <t>ST1 引取(开:17001.5s 加:55.0s 等前:1805.5s 等后:0.0s) | ST2 集约(开:17056.5s 加:106.0s 等前:0.0s 等后:0.0s) | ST3 空气悬挂+快充(开:17162.5s 加:0.0s 等前:0.0s 等后:114.5s) | ST4 四轮定位上、下(开:17277.0s 加:115.0s 等前:0.0s 等后:0.0s) | ST5 ADAS(开:17392.0s 加:97.0s 等前:0.0s 等后:12.5s) | ST6 ARHUD+慢充(开:17501.5s 加:0.0s 等前:0.0s 等后:114.5s) | ST7 转毂(开:17616.0s 加:116.0s 等前:0.0s 等后:0.0s) | ST8 制动(开:17732.0s 加:108.0s 等前:0.0s 等后:2.5s) | ST9 EG漏液/底盘漏液(开:17842.5s 加:115.0s 等前:0.0s 等后:0.0s) | ST10 全景/空调检查(开:17957.5s 加:98.0s 等前:0.0s 等后:0.0s) | ST11 气囊安装+绝缘(开:18055.5s 加:0.0s 等前:0.0s 等后:0.0s) | ST12 L2++(开:18055.5s 加:0.0s 等前:0.0s 等后:118.5s) | ST13 电检1(开:18174.0s 加:0.0s 等前:0.0s 等后:116.0s) | ST14 电检2(开:18290.0s 加:0.0s 等前:0.0s 等后:50.0s) | ST15 小跑道(开:18340.0s 加:51.0s 等前:0.0s 等后:0.0s)</t>
        </is>
      </c>
    </row>
    <row r="264">
      <c r="A264" s="13" t="n">
        <v>263</v>
      </c>
      <c r="B264" s="13" t="inlineStr">
        <is>
          <t>Car#262</t>
        </is>
      </c>
      <c r="C264" s="13" t="inlineStr">
        <is>
          <t>C</t>
        </is>
      </c>
      <c r="D264" s="14" t="n">
        <v>16937</v>
      </c>
      <c r="E264" s="14" t="n">
        <v>18441</v>
      </c>
      <c r="F264" s="14" t="n">
        <v>1504</v>
      </c>
      <c r="G264" s="14" t="n">
        <v>1879.5</v>
      </c>
      <c r="H264" s="13" t="inlineStr">
        <is>
          <t>Car#263</t>
        </is>
      </c>
      <c r="I264" s="14">
        <f>E264-E263</f>
        <v/>
      </c>
      <c r="J264" s="14">
        <f>I264-58</f>
        <v/>
      </c>
      <c r="K264" s="14">
        <f>MAX(0,J264)</f>
        <v/>
      </c>
      <c r="L264" s="14">
        <f>MAX(0,-J264)</f>
        <v/>
      </c>
      <c r="M264" s="14">
        <f>M263+I264</f>
        <v/>
      </c>
      <c r="N264" s="14">
        <f>D264+F264-E264</f>
        <v/>
      </c>
      <c r="O264" s="13" t="inlineStr">
        <is>
          <t>能力超目标：四轮定位上、下、ARHUD+慢充</t>
        </is>
      </c>
      <c r="P264" s="13" t="inlineStr">
        <is>
          <t>ST1 引取(开:16937.0s 加:56.0s 等前:1799.0s 等后:8.5s) | ST2 集约(开:17001.5s 加:111.0s 等前:0.0s 等后:9.5s) | ST3 空气悬挂+快充(开:17122.0s 加:108.5s 等前:0.0s 等后:23.0s) | ST4 四轮定位上、下(开:17253.5s 加:120.5s 等前:0.0s 等后:23.0s) | ST5 ADAS(开:17397.0s 加:107.0s 等前:0.0s 等后:7.5s) | ST6 ARHUD+慢充(开:17511.5s 加:143.5s 等前:0.0s 等后:0.0s) | ST7 转毂(开:17655.0s 加:114.5s 等前:0.0s 等后:0.0s) | ST8 制动(开:17769.5s 加:114.0s 等前:0.0s 等后:0.0s) | ST9 EG漏液/底盘漏液(开:17883.5s 加:112.5s 等前:0.0s 等后:0.0s) | ST10 全景/空调检查(开:17996.0s 加:0.0s 等前:0.0s 等后:0.0s) | ST11 气囊安装+绝缘(开:17996.0s 加:116.0s 等前:0.0s 等后:0.0s) | ST12 L2++(开:18112.0s 加:88.0s 等前:0.0s 等后:0.0s) | ST13 电检1(开:18200.0s 加:84.5s 等前:0.0s 等后:0.0s) | ST14 电检2(开:18284.5s 加:97.5s 等前:0.0s 等后:9.0s) | ST15 小跑道(开:18391.0s 加:50.0s 等前:0.0s 等后:0.0s)</t>
        </is>
      </c>
    </row>
    <row r="265">
      <c r="A265" s="15" t="n">
        <v>264</v>
      </c>
      <c r="B265" s="15" t="inlineStr">
        <is>
          <t>Car#265</t>
        </is>
      </c>
      <c r="C265" s="15" t="inlineStr">
        <is>
          <t>C</t>
        </is>
      </c>
      <c r="D265" s="16" t="n">
        <v>17122</v>
      </c>
      <c r="E265" s="16" t="n">
        <v>18545.5</v>
      </c>
      <c r="F265" s="16" t="n">
        <v>1423.5</v>
      </c>
      <c r="G265" s="16" t="n">
        <v>1810</v>
      </c>
      <c r="H265" s="15" t="inlineStr">
        <is>
          <t>Car#262</t>
        </is>
      </c>
      <c r="I265" s="16">
        <f>E265-E264</f>
        <v/>
      </c>
      <c r="J265" s="16">
        <f>I265-58</f>
        <v/>
      </c>
      <c r="K265" s="16">
        <f>MAX(0,J265)</f>
        <v/>
      </c>
      <c r="L265" s="16">
        <f>MAX(0,-J265)</f>
        <v/>
      </c>
      <c r="M265" s="16">
        <f>M264+I265</f>
        <v/>
      </c>
      <c r="N265" s="16">
        <f>D265+F265-E265</f>
        <v/>
      </c>
      <c r="O265" s="15" t="inlineStr">
        <is>
          <t>能力超目标：四轮定位上、下、ARHUD+慢充</t>
        </is>
      </c>
      <c r="P265" s="15" t="inlineStr">
        <is>
          <t>ST1 引取(开:17122.0s 加:56.0s 等前:1810.0s 等后:0.0s) | ST2 集约(开:17178.0s 加:111.0s 等前:0.0s 等后:0.0s) | ST3 空气悬挂+快充(开:17289.0s 加:108.5s 等前:0.0s 等后:0.0s) | ST4 四轮定位上、下(开:17397.5s 加:120.5s 等前:0.0s 等后:0.0s) | ST5 ADAS(开:17518.0s 加:107.0s 等前:0.0s 等后:0.0s) | ST6 ARHUD+慢充(开:17625.0s 加:143.5s 等前:0.0s 等后:0.0s) | ST7 转毂(开:17768.5s 加:114.5s 等前:0.0s 等后:0.0s) | ST8 制动(开:17883.0s 加:114.0s 等前:0.0s 等后:0.0s) | ST9 EG漏液/底盘漏液(开:17997.0s 加:112.5s 等前:0.0s 等后:0.0s) | ST10 全景/空调检查(开:18109.5s 加:0.0s 等前:0.0s 等后:0.0s) | ST11 气囊安装+绝缘(开:18109.5s 加:116.0s 等前:0.0s 等后:0.0s) | ST12 L2++(开:18225.5s 加:88.0s 等前:0.0s 等后:0.0s) | ST13 电检1(开:18313.5s 加:84.5s 等前:0.0s 等后:0.0s) | ST14 电检2(开:18398.0s 加:97.5s 等前:0.0s 等后:0.0s) | ST15 小跑道(开:18495.5s 加:50.0s 等前:0.0s 等后:0.0s)</t>
        </is>
      </c>
    </row>
    <row r="266">
      <c r="A266" s="13" t="n">
        <v>265</v>
      </c>
      <c r="B266" s="13" t="inlineStr">
        <is>
          <t>Car#267</t>
        </is>
      </c>
      <c r="C266" s="13" t="inlineStr">
        <is>
          <t>A</t>
        </is>
      </c>
      <c r="D266" s="14" t="n">
        <v>17253.5</v>
      </c>
      <c r="E266" s="14" t="n">
        <v>18596.5</v>
      </c>
      <c r="F266" s="14" t="n">
        <v>1343</v>
      </c>
      <c r="G266" s="14" t="n">
        <v>2307.5</v>
      </c>
      <c r="H266" s="13" t="inlineStr">
        <is>
          <t>Car#265</t>
        </is>
      </c>
      <c r="I266" s="14">
        <f>E266-E265</f>
        <v/>
      </c>
      <c r="J266" s="14">
        <f>I266-58</f>
        <v/>
      </c>
      <c r="K266" s="14">
        <f>MAX(0,J266)</f>
        <v/>
      </c>
      <c r="L266" s="14">
        <f>MAX(0,-J266)</f>
        <v/>
      </c>
      <c r="M266" s="14">
        <f>M265+I266</f>
        <v/>
      </c>
      <c r="N266" s="14">
        <f>D266+F266-E266</f>
        <v/>
      </c>
      <c r="O266" s="13" t="inlineStr">
        <is>
          <t>能力满足</t>
        </is>
      </c>
      <c r="P266" s="13" t="inlineStr">
        <is>
          <t>ST1 引取(开:17253.5s 加:55.0s 等前:1825.5s 等后:0.0s) | ST2 集约(开:17308.5s 加:106.0s 等前:0.0s 等后:0.0s) | ST3 空气悬挂+快充(开:17414.5s 加:0.0s 等前:0.0s 等后:103.5s) | ST4 四轮定位上、下(开:17518.0s 加:115.0s 等前:0.0s 等后:0.0s) | ST5 ADAS(开:17633.0s 加:97.0s 等前:0.0s 等后:38.5s) | ST6 ARHUD+慢充(开:17768.5s 加:0.0s 等前:0.0s 等后:114.5s) | ST7 转毂(开:17883.0s 加:116.0s 等前:0.0s 等后:0.0s) | ST8 制动(开:17999.0s 加:108.0s 等前:0.0s 等后:2.5s) | ST9 EG漏液/底盘漏液(开:18109.5s 加:115.0s 等前:0.0s 等后:0.0s) | ST10 全景/空调检查(开:18224.5s 加:98.0s 等前:0.0s 等后:0.0s) | ST11 气囊安装+绝缘(开:18322.5s 加:0.0s 等前:0.0s 等后:0.0s) | ST12 L2++(开:18322.5s 加:0.0s 等前:0.0s 等后:75.5s) | ST13 电检1(开:18398.0s 加:0.0s 等前:0.0s 等后:97.5s) | ST14 电检2(开:18495.5s 加:0.0s 等前:0.0s 等后:50.0s) | ST15 小跑道(开:18545.5s 加:51.0s 等前:0.0s 等后:0.0s)</t>
        </is>
      </c>
    </row>
    <row r="267">
      <c r="A267" s="15" t="n">
        <v>266</v>
      </c>
      <c r="B267" s="15" t="inlineStr">
        <is>
          <t>Car#264</t>
        </is>
      </c>
      <c r="C267" s="15" t="inlineStr">
        <is>
          <t>C</t>
        </is>
      </c>
      <c r="D267" s="16" t="n">
        <v>17056.5</v>
      </c>
      <c r="E267" s="16" t="n">
        <v>18646.5</v>
      </c>
      <c r="F267" s="16" t="n">
        <v>1590</v>
      </c>
      <c r="G267" s="16" t="n">
        <v>1969</v>
      </c>
      <c r="H267" s="15" t="inlineStr">
        <is>
          <t>Car#267</t>
        </is>
      </c>
      <c r="I267" s="16">
        <f>E267-E266</f>
        <v/>
      </c>
      <c r="J267" s="16">
        <f>I267-58</f>
        <v/>
      </c>
      <c r="K267" s="16">
        <f>MAX(0,J267)</f>
        <v/>
      </c>
      <c r="L267" s="16">
        <f>MAX(0,-J267)</f>
        <v/>
      </c>
      <c r="M267" s="16">
        <f>M266+I267</f>
        <v/>
      </c>
      <c r="N267" s="16">
        <f>D267+F267-E267</f>
        <v/>
      </c>
      <c r="O267" s="15" t="inlineStr">
        <is>
          <t>能力超目标：四轮定位上、下、ARHUD+慢充</t>
        </is>
      </c>
      <c r="P267" s="15" t="inlineStr">
        <is>
          <t>ST1 引取(开:17056.5s 加:56.0s 等前:1802.5s 等后:9.5s) | ST2 集约(开:17122.0s 加:111.0s 等前:0.0s 等后:20.5s) | ST3 空气悬挂+快充(开:17253.5s 加:108.5s 等前:0.0s 等后:35.0s) | ST4 四轮定位上、下(开:17397.0s 加:120.5s 等前:0.0s 等后:0.0s) | ST5 ADAS(开:17517.5s 加:107.0s 等前:0.0s 等后:30.5s) | ST6 ARHUD+慢充(开:17655.0s 加:143.5s 等前:0.0s 等后:0.0s) | ST7 转毂(开:17798.5s 加:114.5s 等前:0.0s 等后:0.0s) | ST8 制动(开:17913.0s 加:114.0s 等前:0.0s 等后:0.0s) | ST9 EG漏液/底盘漏液(开:18027.0s 加:112.5s 等前:0.0s 等后:0.0s) | ST10 全景/空调检查(开:18139.5s 加:0.0s 等前:0.0s 等后:0.0s) | ST11 气囊安装+绝缘(开:18139.5s 加:116.0s 等前:0.0s 等后:0.0s) | ST12 L2++(开:18255.5s 加:88.0s 等前:0.0s 等后:0.0s) | ST13 电检1(开:18343.5s 加:84.5s 等前:0.0s 等后:0.0s) | ST14 电检2(开:18428.0s 加:97.5s 等前:0.0s 等后:71.0s) | ST15 小跑道(开:18596.5s 加:50.0s 等前:0.0s 等后:0.0s)</t>
        </is>
      </c>
    </row>
    <row r="268">
      <c r="A268" s="13" t="n">
        <v>267</v>
      </c>
      <c r="B268" s="13" t="inlineStr">
        <is>
          <t>Car#269</t>
        </is>
      </c>
      <c r="C268" s="13" t="inlineStr">
        <is>
          <t>A</t>
        </is>
      </c>
      <c r="D268" s="14" t="n">
        <v>17397</v>
      </c>
      <c r="E268" s="14" t="n">
        <v>18697.5</v>
      </c>
      <c r="F268" s="14" t="n">
        <v>1300.5</v>
      </c>
      <c r="G268" s="14" t="n">
        <v>2292.5</v>
      </c>
      <c r="H268" s="13" t="inlineStr">
        <is>
          <t>Car#264</t>
        </is>
      </c>
      <c r="I268" s="14">
        <f>E268-E267</f>
        <v/>
      </c>
      <c r="J268" s="14">
        <f>I268-58</f>
        <v/>
      </c>
      <c r="K268" s="14">
        <f>MAX(0,J268)</f>
        <v/>
      </c>
      <c r="L268" s="14">
        <f>MAX(0,-J268)</f>
        <v/>
      </c>
      <c r="M268" s="14">
        <f>M267+I268</f>
        <v/>
      </c>
      <c r="N268" s="14">
        <f>D268+F268-E268</f>
        <v/>
      </c>
      <c r="O268" s="13" t="inlineStr">
        <is>
          <t>能力满足</t>
        </is>
      </c>
      <c r="P268" s="13" t="inlineStr">
        <is>
          <t>ST1 引取(开:17397.0s 加:55.0s 等前:1853.0s 等后:0.0s) | ST2 集约(开:17452.0s 加:106.0s 等前:0.0s 等后:0.0s) | ST3 空气悬挂+快充(开:17558.0s 加:0.0s 等前:0.0s 等后:75.0s) | ST4 四轮定位上、下(开:17633.0s 加:115.0s 等前:0.0s 等后:20.5s) | ST5 ADAS(开:17768.5s 加:97.0s 等前:0.0s 等后:17.5s) | ST6 ARHUD+慢充(开:17883.0s 加:0.0s 等前:0.0s 等后:116.0s) | ST7 转毂(开:17999.0s 加:116.0s 等前:0.0s 等后:0.0s) | ST8 制动(开:18115.0s 加:108.0s 等前:0.0s 等后:1.5s) | ST9 EG漏液/底盘漏液(开:18224.5s 加:115.0s 等前:0.0s 等后:0.0s) | ST10 全景/空调检查(开:18339.5s 加:98.0s 等前:0.0s 等后:0.0s) | ST11 气囊安装+绝缘(开:18437.5s 加:0.0s 等前:0.0s 等后:0.0s) | ST12 L2++(开:18437.5s 加:0.0s 等前:0.0s 等后:58.0s) | ST13 电检1(开:18495.5s 加:0.0s 等前:0.0s 等后:50.0s) | ST14 电检2(开:18545.5s 加:0.0s 等前:0.0s 等后:101.0s) | ST15 小跑道(开:18646.5s 加:51.0s 等前:0.0s 等后:0.0s)</t>
        </is>
      </c>
    </row>
    <row r="269">
      <c r="A269" s="15" t="n">
        <v>268</v>
      </c>
      <c r="B269" s="15" t="inlineStr">
        <is>
          <t>Car#266</t>
        </is>
      </c>
      <c r="C269" s="15" t="inlineStr">
        <is>
          <t>C</t>
        </is>
      </c>
      <c r="D269" s="16" t="n">
        <v>17178</v>
      </c>
      <c r="E269" s="16" t="n">
        <v>18747.5</v>
      </c>
      <c r="F269" s="16" t="n">
        <v>1569.5</v>
      </c>
      <c r="G269" s="16" t="n">
        <v>1954</v>
      </c>
      <c r="H269" s="15" t="inlineStr">
        <is>
          <t>Car#269</t>
        </is>
      </c>
      <c r="I269" s="16">
        <f>E269-E268</f>
        <v/>
      </c>
      <c r="J269" s="16">
        <f>I269-58</f>
        <v/>
      </c>
      <c r="K269" s="16">
        <f>MAX(0,J269)</f>
        <v/>
      </c>
      <c r="L269" s="16">
        <f>MAX(0,-J269)</f>
        <v/>
      </c>
      <c r="M269" s="16">
        <f>M268+I269</f>
        <v/>
      </c>
      <c r="N269" s="16">
        <f>D269+F269-E269</f>
        <v/>
      </c>
      <c r="O269" s="15" t="inlineStr">
        <is>
          <t>能力超目标：四轮定位上、下、ARHUD+慢充</t>
        </is>
      </c>
      <c r="P269" s="15" t="inlineStr">
        <is>
          <t>ST1 引取(开:17178.0s 加:56.0s 等前:1808.0s 等后:19.5s) | ST2 集约(开:17253.5s 加:111.0s 等前:0.0s 等后:32.5s) | ST3 空气悬挂+快充(开:17397.0s 加:108.5s 等前:0.0s 等后:12.0s) | ST4 四轮定位上、下(开:17517.5s 加:120.5s 等前:0.0s 等后:17.0s) | ST5 ADAS(开:17655.0s 加:107.0s 等前:0.0s 等后:36.5s) | ST6 ARHUD+慢充(开:17798.5s 加:143.5s 等前:0.0s 等后:0.0s) | ST7 转毂(开:17942.0s 加:114.5s 等前:0.0s 等后:0.0s) | ST8 制动(开:18056.5s 加:114.0s 等前:0.0s 等后:0.0s) | ST9 EG漏液/底盘漏液(开:18170.5s 加:112.5s 等前:0.0s 等后:0.0s) | ST10 全景/空调检查(开:18283.0s 加:0.0s 等前:0.0s 等后:0.0s) | ST11 气囊安装+绝缘(开:18283.0s 加:116.0s 等前:0.0s 等后:0.0s) | ST12 L2++(开:18399.0s 加:88.0s 等前:0.0s 等后:0.0s) | ST13 电检1(开:18487.0s 加:84.5s 等前:0.0s 等后:25.0s) | ST14 电检2(开:18596.5s 加:97.5s 等前:0.0s 等后:3.5s) | ST15 小跑道(开:18697.5s 加:50.0s 等前:0.0s 等后:0.0s)</t>
        </is>
      </c>
    </row>
    <row r="270">
      <c r="A270" s="13" t="n">
        <v>269</v>
      </c>
      <c r="B270" s="13" t="inlineStr">
        <is>
          <t>Car#268</t>
        </is>
      </c>
      <c r="C270" s="13" t="inlineStr">
        <is>
          <t>A</t>
        </is>
      </c>
      <c r="D270" s="14" t="n">
        <v>17308.5</v>
      </c>
      <c r="E270" s="14" t="n">
        <v>18798.5</v>
      </c>
      <c r="F270" s="14" t="n">
        <v>1490</v>
      </c>
      <c r="G270" s="14" t="n">
        <v>2451.5</v>
      </c>
      <c r="H270" s="13" t="inlineStr">
        <is>
          <t>Car#266</t>
        </is>
      </c>
      <c r="I270" s="14">
        <f>E270-E269</f>
        <v/>
      </c>
      <c r="J270" s="14">
        <f>I270-58</f>
        <v/>
      </c>
      <c r="K270" s="14">
        <f>MAX(0,J270)</f>
        <v/>
      </c>
      <c r="L270" s="14">
        <f>MAX(0,-J270)</f>
        <v/>
      </c>
      <c r="M270" s="14">
        <f>M269+I270</f>
        <v/>
      </c>
      <c r="N270" s="14">
        <f>D270+F270-E270</f>
        <v/>
      </c>
      <c r="O270" s="13" t="inlineStr">
        <is>
          <t>能力满足</t>
        </is>
      </c>
      <c r="P270" s="13" t="inlineStr">
        <is>
          <t>ST1 引取(开:17308.5s 加:55.0s 等前:1822.5s 等后:33.5s) | ST2 集约(开:17397.0s 加:106.0s 等前:0.0s 等后:14.5s) | ST3 空气悬挂+快充(开:17517.5s 加:0.0s 等前:0.0s 等后:137.5s) | ST4 四轮定位上、下(开:17655.0s 加:115.0s 等前:0.0s 等后:28.5s) | ST5 ADAS(开:17798.5s 加:97.0s 等前:0.0s 等后:46.5s) | ST6 ARHUD+慢充(开:17942.0s 加:0.0s 等前:0.0s 等后:114.5s) | ST7 转毂(开:18056.5s 加:116.0s 等前:0.0s 等后:0.0s) | ST8 制动(开:18172.5s 加:108.0s 等前:0.0s 等后:2.5s) | ST9 EG漏液/底盘漏液(开:18283.0s 加:115.0s 等前:0.0s 等后:0.0s) | ST10 全景/空调检查(开:18398.0s 加:98.0s 等前:0.0s 等后:0.0s) | ST11 气囊安装+绝缘(开:18496.0s 加:0.0s 等前:0.0s 等后:0.0s) | ST12 L2++(开:18496.0s 加:0.0s 等前:0.0s 等后:100.5s) | ST13 电检1(开:18596.5s 加:0.0s 等前:0.0s 等后:101.0s) | ST14 电检2(开:18697.5s 加:0.0s 等前:0.0s 等后:50.0s) | ST15 小跑道(开:18747.5s 加:51.0s 等前:0.0s 等后:0.0s)</t>
        </is>
      </c>
    </row>
    <row r="271">
      <c r="A271" s="15" t="n">
        <v>270</v>
      </c>
      <c r="B271" s="15" t="inlineStr">
        <is>
          <t>Car#271</t>
        </is>
      </c>
      <c r="C271" s="15" t="inlineStr">
        <is>
          <t>B</t>
        </is>
      </c>
      <c r="D271" s="16" t="n">
        <v>17517.5</v>
      </c>
      <c r="E271" s="16" t="n">
        <v>18892</v>
      </c>
      <c r="F271" s="16" t="n">
        <v>1374.5</v>
      </c>
      <c r="G271" s="16" t="n">
        <v>1900.5</v>
      </c>
      <c r="H271" s="15" t="inlineStr">
        <is>
          <t>Car#268</t>
        </is>
      </c>
      <c r="I271" s="16">
        <f>E271-E270</f>
        <v/>
      </c>
      <c r="J271" s="16">
        <f>I271-58</f>
        <v/>
      </c>
      <c r="K271" s="16">
        <f>MAX(0,J271)</f>
        <v/>
      </c>
      <c r="L271" s="16">
        <f>MAX(0,-J271)</f>
        <v/>
      </c>
      <c r="M271" s="16">
        <f>M270+I271</f>
        <v/>
      </c>
      <c r="N271" s="16">
        <f>D271+F271-E271</f>
        <v/>
      </c>
      <c r="O271" s="15" t="inlineStr">
        <is>
          <t>能力超目标：四轮定位上、下</t>
        </is>
      </c>
      <c r="P271" s="15" t="inlineStr">
        <is>
          <t>ST1 引取(开:17517.5s 加:56.0s 等前:1857.5s 等后:0.0s) | ST2 集约(开:17573.5s 加:111.0s 等前:0.0s 等后:0.0s) | ST3 空气悬挂+快充(开:17684.5s 加:108.5s 等前:0.0s 等后:0.0s) | ST4 四轮定位上、下(开:17793.0s 加:120.5s 等前:0.0s 等后:0.0s) | ST5 ADAS(开:17913.5s 加:107.0s 等前:0.0s 等后:0.0s) | ST6 ARHUD+慢充(开:18020.5s 加:51.5s 等前:0.0s 等后:43.0s) | ST7 转毂(开:18115.0s 加:114.5s 等前:0.0s 等后:0.0s) | ST8 制动(开:18229.5s 加:114.0s 等前:0.0s 等后:0.0s) | ST9 EG漏液/底盘漏液(开:18343.5s 加:112.5s 等前:0.0s 等后:0.0s) | ST10 全景/空调检查(开:18456.0s 加:0.0s 等前:0.0s 等后:0.0s) | ST11 气囊安装+绝缘(开:18456.0s 加:116.0s 等前:0.0s 等后:0.0s) | ST12 L2++(开:18572.0s 加:88.0s 等前:0.0s 等后:0.0s) | ST13 电检1(开:18660.0s 加:84.5s 等前:0.0s 等后:0.0s) | ST14 电检2(开:18744.5s 加:97.5s 等前:0.0s 等后:0.0s) | ST15 小跑道(开:18842.0s 加:50.0s 等前:0.0s 等后:0.0s)</t>
        </is>
      </c>
    </row>
    <row r="272">
      <c r="A272" s="13" t="n">
        <v>271</v>
      </c>
      <c r="B272" s="13" t="inlineStr">
        <is>
          <t>Car#270</t>
        </is>
      </c>
      <c r="C272" s="13" t="inlineStr">
        <is>
          <t>C</t>
        </is>
      </c>
      <c r="D272" s="14" t="n">
        <v>17452</v>
      </c>
      <c r="E272" s="14" t="n">
        <v>18977</v>
      </c>
      <c r="F272" s="14" t="n">
        <v>1525</v>
      </c>
      <c r="G272" s="14" t="n">
        <v>1951.5</v>
      </c>
      <c r="H272" s="13" t="inlineStr">
        <is>
          <t>Car#271</t>
        </is>
      </c>
      <c r="I272" s="14">
        <f>E272-E271</f>
        <v/>
      </c>
      <c r="J272" s="14">
        <f>I272-58</f>
        <v/>
      </c>
      <c r="K272" s="14">
        <f>MAX(0,J272)</f>
        <v/>
      </c>
      <c r="L272" s="14">
        <f>MAX(0,-J272)</f>
        <v/>
      </c>
      <c r="M272" s="14">
        <f>M271+I272</f>
        <v/>
      </c>
      <c r="N272" s="14">
        <f>D272+F272-E272</f>
        <v/>
      </c>
      <c r="O272" s="13" t="inlineStr">
        <is>
          <t>能力超目标：四轮定位上、下、ARHUD+慢充</t>
        </is>
      </c>
      <c r="P272" s="13" t="inlineStr">
        <is>
          <t>ST1 引取(开:17452.0s 加:56.0s 等前:1850.0s 等后:9.5s) | ST2 集约(开:17517.5s 加:111.0s 等前:0.0s 等后:26.5s) | ST3 空气悬挂+快充(开:17655.0s 加:108.5s 等前:0.0s 等后:35.0s) | ST4 四轮定位上、下(开:17798.5s 加:120.5s 等前:0.0s 等后:23.0s) | ST5 ADAS(开:17942.0s 加:107.0s 等前:0.0s 等后:7.5s) | ST6 ARHUD+慢充(开:18056.5s 加:143.5s 等前:0.0s 等后:0.0s) | ST7 转毂(开:18200.0s 加:114.5s 等前:0.0s 等后:0.0s) | ST8 制动(开:18314.5s 加:114.0s 等前:0.0s 等后:0.0s) | ST9 EG漏液/底盘漏液(开:18428.5s 加:112.5s 等前:0.0s 等后:0.0s) | ST10 全景/空调检查(开:18541.0s 加:0.0s 等前:0.0s 等后:0.0s) | ST11 气囊安装+绝缘(开:18541.0s 加:116.0s 等前:0.0s 等后:0.0s) | ST12 L2++(开:18657.0s 加:88.0s 等前:0.0s 等后:0.0s) | ST13 电检1(开:18745.0s 加:84.5s 等前:0.0s 等后:0.0s) | ST14 电检2(开:18829.5s 加:97.5s 等前:0.0s 等后:0.0s) | ST15 小跑道(开:18927.0s 加:50.0s 等前:0.0s 等后:0.0s)</t>
        </is>
      </c>
    </row>
    <row r="273">
      <c r="A273" s="15" t="n">
        <v>272</v>
      </c>
      <c r="B273" s="15" t="inlineStr">
        <is>
          <t>Car#273</t>
        </is>
      </c>
      <c r="C273" s="15" t="inlineStr">
        <is>
          <t>C</t>
        </is>
      </c>
      <c r="D273" s="16" t="n">
        <v>17655</v>
      </c>
      <c r="E273" s="16" t="n">
        <v>19078.5</v>
      </c>
      <c r="F273" s="16" t="n">
        <v>1423.5</v>
      </c>
      <c r="G273" s="16" t="n">
        <v>1879</v>
      </c>
      <c r="H273" s="15" t="inlineStr">
        <is>
          <t>Car#270</t>
        </is>
      </c>
      <c r="I273" s="16">
        <f>E273-E272</f>
        <v/>
      </c>
      <c r="J273" s="16">
        <f>I273-58</f>
        <v/>
      </c>
      <c r="K273" s="16">
        <f>MAX(0,J273)</f>
        <v/>
      </c>
      <c r="L273" s="16">
        <f>MAX(0,-J273)</f>
        <v/>
      </c>
      <c r="M273" s="16">
        <f>M272+I273</f>
        <v/>
      </c>
      <c r="N273" s="16">
        <f>D273+F273-E273</f>
        <v/>
      </c>
      <c r="O273" s="15" t="inlineStr">
        <is>
          <t>能力超目标：四轮定位上、下、ARHUD+慢充</t>
        </is>
      </c>
      <c r="P273" s="15" t="inlineStr">
        <is>
          <t>ST1 引取(开:17655.0s 加:56.0s 等前:1879.0s 等后:0.0s) | ST2 集约(开:17711.0s 加:111.0s 等前:0.0s 等后:0.0s) | ST3 空气悬挂+快充(开:17822.0s 加:108.5s 等前:0.0s 等后:0.0s) | ST4 四轮定位上、下(开:17930.5s 加:120.5s 等前:0.0s 等后:0.0s) | ST5 ADAS(开:18051.0s 加:107.0s 等前:0.0s 等后:0.0s) | ST6 ARHUD+慢充(开:18158.0s 加:143.5s 等前:0.0s 等后:0.0s) | ST7 转毂(开:18301.5s 加:114.5s 等前:0.0s 等后:0.0s) | ST8 制动(开:18416.0s 加:114.0s 等前:0.0s 等后:0.0s) | ST9 EG漏液/底盘漏液(开:18530.0s 加:112.5s 等前:0.0s 等后:0.0s) | ST10 全景/空调检查(开:18642.5s 加:0.0s 等前:0.0s 等后:0.0s) | ST11 气囊安装+绝缘(开:18642.5s 加:116.0s 等前:0.0s 等后:0.0s) | ST12 L2++(开:18758.5s 加:88.0s 等前:0.0s 等后:0.0s) | ST13 电检1(开:18846.5s 加:84.5s 等前:0.0s 等后:0.0s) | ST14 电检2(开:18931.0s 加:97.5s 等前:0.0s 等后:0.0s) | ST15 小跑道(开:19028.5s 加:50.0s 等前:0.0s 等后:0.0s)</t>
        </is>
      </c>
    </row>
    <row r="274">
      <c r="A274" s="13" t="n">
        <v>273</v>
      </c>
      <c r="B274" s="13" t="inlineStr">
        <is>
          <t>Car#272</t>
        </is>
      </c>
      <c r="C274" s="13" t="inlineStr">
        <is>
          <t>C</t>
        </is>
      </c>
      <c r="D274" s="14" t="n">
        <v>17573.5</v>
      </c>
      <c r="E274" s="14" t="n">
        <v>19128.5</v>
      </c>
      <c r="F274" s="14" t="n">
        <v>1555</v>
      </c>
      <c r="G274" s="14" t="n">
        <v>1987</v>
      </c>
      <c r="H274" s="13" t="inlineStr">
        <is>
          <t>Car#273</t>
        </is>
      </c>
      <c r="I274" s="14">
        <f>E274-E273</f>
        <v/>
      </c>
      <c r="J274" s="14">
        <f>I274-58</f>
        <v/>
      </c>
      <c r="K274" s="14">
        <f>MAX(0,J274)</f>
        <v/>
      </c>
      <c r="L274" s="14">
        <f>MAX(0,-J274)</f>
        <v/>
      </c>
      <c r="M274" s="14">
        <f>M273+I274</f>
        <v/>
      </c>
      <c r="N274" s="14">
        <f>D274+F274-E274</f>
        <v/>
      </c>
      <c r="O274" s="13" t="inlineStr">
        <is>
          <t>能力超目标：四轮定位上、下、ARHUD+慢充</t>
        </is>
      </c>
      <c r="P274" s="13" t="inlineStr">
        <is>
          <t>ST1 引取(开:17573.5s 加:56.0s 等前:1855.5s 等后:25.5s) | ST2 集约(开:17655.0s 加:111.0s 等前:0.0s 等后:32.5s) | ST3 空气悬挂+快充(开:17798.5s 加:108.5s 等前:0.0s 等后:35.0s) | ST4 四轮定位上、下(开:17942.0s 加:120.5s 等前:0.0s 等后:0.0s) | ST5 ADAS(开:18062.5s 加:107.0s 等前:0.0s 等后:30.5s) | ST6 ARHUD+慢充(开:18200.0s 加:143.5s 等前:0.0s 等后:0.0s) | ST7 转毂(开:18343.5s 加:114.5s 等前:0.0s 等后:0.0s) | ST8 制动(开:18458.0s 加:114.0s 等前:0.0s 等后:0.0s) | ST9 EG漏液/底盘漏液(开:18572.0s 加:112.5s 等前:0.0s 等后:0.0s) | ST10 全景/空调检查(开:18684.5s 加:0.0s 等前:0.0s 等后:0.0s) | ST11 气囊安装+绝缘(开:18684.5s 加:116.0s 等前:0.0s 等后:0.0s) | ST12 L2++(开:18800.5s 加:88.0s 等前:0.0s 等后:0.0s) | ST13 电检1(开:18888.5s 加:84.5s 等前:0.0s 等后:0.0s) | ST14 电检2(开:18973.0s 加:97.5s 等前:0.0s 等后:8.0s) | ST15 小跑道(开:19078.5s 加:50.0s 等前:0.0s 等后:0.0s)</t>
        </is>
      </c>
    </row>
    <row r="275">
      <c r="A275" s="15" t="n">
        <v>274</v>
      </c>
      <c r="B275" s="15" t="inlineStr">
        <is>
          <t>Car#275</t>
        </is>
      </c>
      <c r="C275" s="15" t="inlineStr">
        <is>
          <t>B</t>
        </is>
      </c>
      <c r="D275" s="16" t="n">
        <v>17798.5</v>
      </c>
      <c r="E275" s="16" t="n">
        <v>19194.5</v>
      </c>
      <c r="F275" s="16" t="n">
        <v>1396</v>
      </c>
      <c r="G275" s="16" t="n">
        <v>1971</v>
      </c>
      <c r="H275" s="15" t="inlineStr">
        <is>
          <t>Car#272</t>
        </is>
      </c>
      <c r="I275" s="16">
        <f>E275-E274</f>
        <v/>
      </c>
      <c r="J275" s="16">
        <f>I275-58</f>
        <v/>
      </c>
      <c r="K275" s="16">
        <f>MAX(0,J275)</f>
        <v/>
      </c>
      <c r="L275" s="16">
        <f>MAX(0,-J275)</f>
        <v/>
      </c>
      <c r="M275" s="16">
        <f>M274+I275</f>
        <v/>
      </c>
      <c r="N275" s="16">
        <f>D275+F275-E275</f>
        <v/>
      </c>
      <c r="O275" s="15" t="inlineStr">
        <is>
          <t>能力超目标：四轮定位上、下</t>
        </is>
      </c>
      <c r="P275" s="15" t="inlineStr">
        <is>
          <t>ST1 引取(开:17798.5s 加:56.0s 等前:1906.5s 等后:0.0s) | ST2 集约(开:17854.5s 加:111.0s 等前:0.0s 等后:0.0s) | ST3 空气悬挂+快充(开:17965.5s 加:108.5s 等前:0.0s 等后:0.0s) | ST4 四轮定位上、下(开:18074.0s 加:120.5s 等前:0.0s 等后:0.0s) | ST5 ADAS(开:18194.5s 加:107.0s 等前:0.0s 等后:0.0s) | ST6 ARHUD+慢充(开:18301.5s 加:51.5s 等前:0.0s 等后:63.0s) | ST7 转毂(开:18416.0s 加:114.5s 等前:0.0s 等后:0.0s) | ST8 制动(开:18530.5s 加:114.0s 等前:0.0s 等后:0.0s) | ST9 EG漏液/底盘漏液(开:18644.5s 加:112.5s 等前:0.0s 等后:0.0s) | ST10 全景/空调检查(开:18757.0s 加:0.0s 等前:0.0s 等后:1.5s) | ST11 气囊安装+绝缘(开:18758.5s 加:116.0s 等前:0.0s 等后:0.0s) | ST12 L2++(开:18874.5s 加:88.0s 等前:0.0s 等后:0.0s) | ST13 电检1(开:18962.5s 加:84.5s 等前:0.0s 等后:0.0s) | ST14 电检2(开:19047.0s 加:97.5s 等前:0.0s 等后:0.0s) | ST15 小跑道(开:19144.5s 加:50.0s 等前:0.0s 等后:0.0s)</t>
        </is>
      </c>
    </row>
    <row r="276">
      <c r="A276" s="13" t="n">
        <v>275</v>
      </c>
      <c r="B276" s="13" t="inlineStr">
        <is>
          <t>Car#274</t>
        </is>
      </c>
      <c r="C276" s="13" t="inlineStr">
        <is>
          <t>B</t>
        </is>
      </c>
      <c r="D276" s="14" t="n">
        <v>17711</v>
      </c>
      <c r="E276" s="14" t="n">
        <v>19244.5</v>
      </c>
      <c r="F276" s="14" t="n">
        <v>1533.5</v>
      </c>
      <c r="G276" s="14" t="n">
        <v>2079</v>
      </c>
      <c r="H276" s="13" t="inlineStr">
        <is>
          <t>Car#275</t>
        </is>
      </c>
      <c r="I276" s="14">
        <f>E276-E275</f>
        <v/>
      </c>
      <c r="J276" s="14">
        <f>I276-58</f>
        <v/>
      </c>
      <c r="K276" s="14">
        <f>MAX(0,J276)</f>
        <v/>
      </c>
      <c r="L276" s="14">
        <f>MAX(0,-J276)</f>
        <v/>
      </c>
      <c r="M276" s="14">
        <f>M275+I276</f>
        <v/>
      </c>
      <c r="N276" s="14">
        <f>D276+F276-E276</f>
        <v/>
      </c>
      <c r="O276" s="13" t="inlineStr">
        <is>
          <t>能力超目标：四轮定位上、下</t>
        </is>
      </c>
      <c r="P276" s="13" t="inlineStr">
        <is>
          <t>ST1 引取(开:17711.0s 加:56.0s 等前:1877.0s 等后:31.5s) | ST2 集约(开:17798.5s 加:111.0s 等前:0.0s 等后:32.5s) | ST3 空气悬挂+快充(开:17942.0s 加:108.5s 等前:0.0s 等后:12.0s) | ST4 四轮定位上、下(开:18062.5s 加:120.5s 等前:0.0s 等后:17.0s) | ST5 ADAS(开:18200.0s 加:107.0s 等前:0.0s 等后:36.5s) | ST6 ARHUD+慢充(开:18343.5s 加:51.5s 等前:0.0s 等后:63.0s) | ST7 转毂(开:18458.0s 加:114.5s 等前:0.0s 等后:0.0s) | ST8 制动(开:18572.5s 加:114.0s 等前:0.0s 等后:0.0s) | ST9 EG漏液/底盘漏液(开:18686.5s 加:112.5s 等前:0.0s 等后:0.0s) | ST10 全景/空调检查(开:18799.0s 加:0.0s 等前:0.0s 等后:1.5s) | ST11 气囊安装+绝缘(开:18800.5s 加:116.0s 等前:0.0s 等后:0.0s) | ST12 L2++(开:18916.5s 加:88.0s 等前:0.0s 等后:0.0s) | ST13 电检1(开:19004.5s 加:84.5s 等前:0.0s 等后:0.0s) | ST14 电检2(开:19089.0s 加:97.5s 等前:0.0s 等后:8.0s) | ST15 小跑道(开:19194.5s 加:50.0s 等前:0.0s 等后:0.0s)</t>
        </is>
      </c>
    </row>
    <row r="277">
      <c r="A277" s="15" t="n">
        <v>276</v>
      </c>
      <c r="B277" s="15" t="inlineStr">
        <is>
          <t>Car#277</t>
        </is>
      </c>
      <c r="C277" s="15" t="inlineStr">
        <is>
          <t>C</t>
        </is>
      </c>
      <c r="D277" s="16" t="n">
        <v>17942</v>
      </c>
      <c r="E277" s="16" t="n">
        <v>19365.5</v>
      </c>
      <c r="F277" s="16" t="n">
        <v>1423.5</v>
      </c>
      <c r="G277" s="16" t="n">
        <v>1934</v>
      </c>
      <c r="H277" s="15" t="inlineStr">
        <is>
          <t>Car#274</t>
        </is>
      </c>
      <c r="I277" s="16">
        <f>E277-E276</f>
        <v/>
      </c>
      <c r="J277" s="16">
        <f>I277-58</f>
        <v/>
      </c>
      <c r="K277" s="16">
        <f>MAX(0,J277)</f>
        <v/>
      </c>
      <c r="L277" s="16">
        <f>MAX(0,-J277)</f>
        <v/>
      </c>
      <c r="M277" s="16">
        <f>M276+I277</f>
        <v/>
      </c>
      <c r="N277" s="16">
        <f>D277+F277-E277</f>
        <v/>
      </c>
      <c r="O277" s="15" t="inlineStr">
        <is>
          <t>能力超目标：四轮定位上、下、ARHUD+慢充</t>
        </is>
      </c>
      <c r="P277" s="15" t="inlineStr">
        <is>
          <t>ST1 引取(开:17942.0s 加:56.0s 等前:1934.0s 等后:0.0s) | ST2 集约(开:17998.0s 加:111.0s 等前:0.0s 等后:0.0s) | ST3 空气悬挂+快充(开:18109.0s 加:108.5s 等前:0.0s 等后:0.0s) | ST4 四轮定位上、下(开:18217.5s 加:120.5s 等前:0.0s 等后:0.0s) | ST5 ADAS(开:18338.0s 加:107.0s 等前:0.0s 等后:0.0s) | ST6 ARHUD+慢充(开:18445.0s 加:143.5s 等前:0.0s 等后:0.0s) | ST7 转毂(开:18588.5s 加:114.5s 等前:0.0s 等后:0.0s) | ST8 制动(开:18703.0s 加:114.0s 等前:0.0s 等后:0.0s) | ST9 EG漏液/底盘漏液(开:18817.0s 加:112.5s 等前:0.0s 等后:0.0s) | ST10 全景/空调检查(开:18929.5s 加:0.0s 等前:0.0s 等后:0.0s) | ST11 气囊安装+绝缘(开:18929.5s 加:116.0s 等前:0.0s 等后:0.0s) | ST12 L2++(开:19045.5s 加:88.0s 等前:0.0s 等后:0.0s) | ST13 电检1(开:19133.5s 加:84.5s 等前:0.0s 等后:0.0s) | ST14 电检2(开:19218.0s 加:97.5s 等前:0.0s 等后:0.0s) | ST15 小跑道(开:19315.5s 加:50.0s 等前:0.0s 等后:0.0s)</t>
        </is>
      </c>
    </row>
    <row r="278">
      <c r="A278" s="13" t="n">
        <v>277</v>
      </c>
      <c r="B278" s="13" t="inlineStr">
        <is>
          <t>Car#279</t>
        </is>
      </c>
      <c r="C278" s="13" t="inlineStr">
        <is>
          <t>A</t>
        </is>
      </c>
      <c r="D278" s="14" t="n">
        <v>18062.5</v>
      </c>
      <c r="E278" s="14" t="n">
        <v>19416.5</v>
      </c>
      <c r="F278" s="14" t="n">
        <v>1354</v>
      </c>
      <c r="G278" s="14" t="n">
        <v>2431.5</v>
      </c>
      <c r="H278" s="13" t="inlineStr">
        <is>
          <t>Car#277</t>
        </is>
      </c>
      <c r="I278" s="14">
        <f>E278-E277</f>
        <v/>
      </c>
      <c r="J278" s="14">
        <f>I278-58</f>
        <v/>
      </c>
      <c r="K278" s="14">
        <f>MAX(0,J278)</f>
        <v/>
      </c>
      <c r="L278" s="14">
        <f>MAX(0,-J278)</f>
        <v/>
      </c>
      <c r="M278" s="14">
        <f>M277+I278</f>
        <v/>
      </c>
      <c r="N278" s="14">
        <f>D278+F278-E278</f>
        <v/>
      </c>
      <c r="O278" s="13" t="inlineStr">
        <is>
          <t>能力满足</t>
        </is>
      </c>
      <c r="P278" s="13" t="inlineStr">
        <is>
          <t>ST1 引取(开:18062.5s 加:55.0s 等前:1938.5s 等后:0.0s) | ST2 集约(开:18117.5s 加:106.0s 等前:0.0s 等后:0.0s) | ST3 空气悬挂+快充(开:18223.5s 加:0.0s 等前:0.0s 等后:114.5s) | ST4 四轮定位上、下(开:18338.0s 加:115.0s 等前:0.0s 等后:0.0s) | ST5 ADAS(开:18453.0s 加:97.0s 等前:0.0s 等后:38.5s) | ST6 ARHUD+慢充(开:18588.5s 加:0.0s 等前:0.0s 等后:114.5s) | ST7 转毂(开:18703.0s 加:116.0s 等前:0.0s 等后:0.0s) | ST8 制动(开:18819.0s 加:108.0s 等前:0.0s 等后:2.5s) | ST9 EG漏液/底盘漏液(开:18929.5s 加:115.0s 等前:0.0s 等后:0.0s) | ST10 全景/空调检查(开:19044.5s 加:98.0s 等前:0.0s 等后:0.0s) | ST11 气囊安装+绝缘(开:19142.5s 加:0.0s 等前:0.0s 等后:0.0s) | ST12 L2++(开:19142.5s 加:0.0s 等前:0.0s 等后:75.5s) | ST13 电检1(开:19218.0s 加:0.0s 等前:0.0s 等后:97.5s) | ST14 电检2(开:19315.5s 加:0.0s 等前:0.0s 等后:50.0s) | ST15 小跑道(开:19365.5s 加:51.0s 等前:0.0s 等后:0.0s)</t>
        </is>
      </c>
    </row>
    <row r="279">
      <c r="A279" s="15" t="n">
        <v>278</v>
      </c>
      <c r="B279" s="15" t="inlineStr">
        <is>
          <t>Car#276</t>
        </is>
      </c>
      <c r="C279" s="15" t="inlineStr">
        <is>
          <t>C</t>
        </is>
      </c>
      <c r="D279" s="16" t="n">
        <v>17854.5</v>
      </c>
      <c r="E279" s="16" t="n">
        <v>19466.5</v>
      </c>
      <c r="F279" s="16" t="n">
        <v>1612</v>
      </c>
      <c r="G279" s="16" t="n">
        <v>2093</v>
      </c>
      <c r="H279" s="15" t="inlineStr">
        <is>
          <t>Car#279</t>
        </is>
      </c>
      <c r="I279" s="16">
        <f>E279-E278</f>
        <v/>
      </c>
      <c r="J279" s="16">
        <f>I279-58</f>
        <v/>
      </c>
      <c r="K279" s="16">
        <f>MAX(0,J279)</f>
        <v/>
      </c>
      <c r="L279" s="16">
        <f>MAX(0,-J279)</f>
        <v/>
      </c>
      <c r="M279" s="16">
        <f>M278+I279</f>
        <v/>
      </c>
      <c r="N279" s="16">
        <f>D279+F279-E279</f>
        <v/>
      </c>
      <c r="O279" s="15" t="inlineStr">
        <is>
          <t>能力超目标：四轮定位上、下、ARHUD+慢充</t>
        </is>
      </c>
      <c r="P279" s="15" t="inlineStr">
        <is>
          <t>ST1 引取(开:17854.5s 加:56.0s 等前:1904.5s 等后:31.5s) | ST2 集约(开:17942.0s 加:111.0s 等前:0.0s 等后:9.5s) | ST3 空气悬挂+快充(开:18062.5s 加:108.5s 等前:0.0s 等后:29.0s) | ST4 四轮定位上、下(开:18200.0s 加:120.5s 等前:0.0s 等后:23.0s) | ST5 ADAS(开:18343.5s 加:107.0s 等前:0.0s 等后:7.5s) | ST6 ARHUD+慢充(开:18458.0s 加:143.5s 等前:0.0s 等后:0.0s) | ST7 转毂(开:18601.5s 加:114.5s 等前:0.0s 等后:0.0s) | ST8 制动(开:18716.0s 加:114.0s 等前:0.0s 等后:0.0s) | ST9 EG漏液/底盘漏液(开:18830.0s 加:112.5s 等前:0.0s 等后:0.0s) | ST10 全景/空调检查(开:18942.5s 加:0.0s 等前:0.0s 等后:0.0s) | ST11 气囊安装+绝缘(开:18942.5s 加:116.0s 等前:0.0s 等后:0.0s) | ST12 L2++(开:19058.5s 加:88.0s 等前:0.0s 等后:0.0s) | ST13 电检1(开:19146.5s 加:84.5s 等前:0.0s 等后:0.0s) | ST14 电检2(开:19231.0s 加:97.5s 等前:0.0s 等后:88.0s) | ST15 小跑道(开:19416.5s 加:50.0s 等前:0.0s 等后:0.0s)</t>
        </is>
      </c>
    </row>
    <row r="280">
      <c r="A280" s="13" t="n">
        <v>279</v>
      </c>
      <c r="B280" s="13" t="inlineStr">
        <is>
          <t>Car#281</t>
        </is>
      </c>
      <c r="C280" s="13" t="inlineStr">
        <is>
          <t>A</t>
        </is>
      </c>
      <c r="D280" s="14" t="n">
        <v>18200</v>
      </c>
      <c r="E280" s="14" t="n">
        <v>19517.5</v>
      </c>
      <c r="F280" s="14" t="n">
        <v>1317.5</v>
      </c>
      <c r="G280" s="14" t="n">
        <v>2416.5</v>
      </c>
      <c r="H280" s="13" t="inlineStr">
        <is>
          <t>Car#276</t>
        </is>
      </c>
      <c r="I280" s="14">
        <f>E280-E279</f>
        <v/>
      </c>
      <c r="J280" s="14">
        <f>I280-58</f>
        <v/>
      </c>
      <c r="K280" s="14">
        <f>MAX(0,J280)</f>
        <v/>
      </c>
      <c r="L280" s="14">
        <f>MAX(0,-J280)</f>
        <v/>
      </c>
      <c r="M280" s="14">
        <f>M279+I280</f>
        <v/>
      </c>
      <c r="N280" s="14">
        <f>D280+F280-E280</f>
        <v/>
      </c>
      <c r="O280" s="13" t="inlineStr">
        <is>
          <t>能力满足</t>
        </is>
      </c>
      <c r="P280" s="13" t="inlineStr">
        <is>
          <t>ST1 引取(开:18200.0s 加:55.0s 等前:1960.0s 等后:0.0s) | ST2 集约(开:18255.0s 加:106.0s 等前:0.0s 等后:0.0s) | ST3 空气悬挂+快充(开:18361.0s 加:0.0s 等前:0.0s 等后:92.0s) | ST4 四轮定位上、下(开:18453.0s 加:115.0s 等前:0.0s 等后:20.5s) | ST5 ADAS(开:18588.5s 加:97.0s 等前:0.0s 等后:17.5s) | ST6 ARHUD+慢充(开:18703.0s 加:0.0s 等前:0.0s 等后:116.0s) | ST7 转毂(开:18819.0s 加:116.0s 等前:0.0s 等后:0.0s) | ST8 制动(开:18935.0s 加:108.0s 等前:0.0s 等后:1.5s) | ST9 EG漏液/底盘漏液(开:19044.5s 加:115.0s 等前:0.0s 等后:0.0s) | ST10 全景/空调检查(开:19159.5s 加:98.0s 等前:0.0s 等后:0.0s) | ST11 气囊安装+绝缘(开:19257.5s 加:0.0s 等前:0.0s 等后:0.0s) | ST12 L2++(开:19257.5s 加:0.0s 等前:0.0s 等后:58.0s) | ST13 电检1(开:19315.5s 加:0.0s 等前:0.0s 等后:50.0s) | ST14 电检2(开:19365.5s 加:0.0s 等前:0.0s 等后:101.0s) | ST15 小跑道(开:19466.5s 加:51.0s 等前:0.0s 等后:0.0s)</t>
        </is>
      </c>
    </row>
    <row r="281">
      <c r="A281" s="15" t="n">
        <v>280</v>
      </c>
      <c r="B281" s="15" t="inlineStr">
        <is>
          <t>Car#278</t>
        </is>
      </c>
      <c r="C281" s="15" t="inlineStr">
        <is>
          <t>C</t>
        </is>
      </c>
      <c r="D281" s="16" t="n">
        <v>17998</v>
      </c>
      <c r="E281" s="16" t="n">
        <v>19567.5</v>
      </c>
      <c r="F281" s="16" t="n">
        <v>1569.5</v>
      </c>
      <c r="G281" s="16" t="n">
        <v>2078</v>
      </c>
      <c r="H281" s="15" t="inlineStr">
        <is>
          <t>Car#281</t>
        </is>
      </c>
      <c r="I281" s="16">
        <f>E281-E280</f>
        <v/>
      </c>
      <c r="J281" s="16">
        <f>I281-58</f>
        <v/>
      </c>
      <c r="K281" s="16">
        <f>MAX(0,J281)</f>
        <v/>
      </c>
      <c r="L281" s="16">
        <f>MAX(0,-J281)</f>
        <v/>
      </c>
      <c r="M281" s="16">
        <f>M280+I281</f>
        <v/>
      </c>
      <c r="N281" s="16">
        <f>D281+F281-E281</f>
        <v/>
      </c>
      <c r="O281" s="15" t="inlineStr">
        <is>
          <t>能力超目标：四轮定位上、下、ARHUD+慢充</t>
        </is>
      </c>
      <c r="P281" s="15" t="inlineStr">
        <is>
          <t>ST1 引取(开:17998.0s 加:56.0s 等前:1932.0s 等后:8.5s) | ST2 集约(开:18062.5s 加:111.0s 等前:0.0s 等后:26.5s) | ST3 空气悬挂+快充(开:18200.0s 加:108.5s 等前:0.0s 等后:35.0s) | ST4 四轮定位上、下(开:18343.5s 加:120.5s 等前:0.0s 等后:0.0s) | ST5 ADAS(开:18464.0s 加:107.0s 等前:0.0s 等后:30.5s) | ST6 ARHUD+慢充(开:18601.5s 加:143.5s 等前:0.0s 等后:0.0s) | ST7 转毂(开:18745.0s 加:114.5s 等前:0.0s 等后:0.0s) | ST8 制动(开:18859.5s 加:114.0s 等前:0.0s 等后:0.0s) | ST9 EG漏液/底盘漏液(开:18973.5s 加:112.5s 等前:0.0s 等后:0.0s) | ST10 全景/空调检查(开:19086.0s 加:0.0s 等前:0.0s 等后:0.0s) | ST11 气囊安装+绝缘(开:19086.0s 加:116.0s 等前:0.0s 等后:0.0s) | ST12 L2++(开:19202.0s 加:88.0s 等前:0.0s 等后:0.0s) | ST13 电检1(开:19290.0s 加:84.5s 等前:0.0s 等后:42.0s) | ST14 电检2(开:19416.5s 加:97.5s 等前:0.0s 等后:3.5s) | ST15 小跑道(开:19517.5s 加:50.0s 等前:0.0s 等后:0.0s)</t>
        </is>
      </c>
    </row>
    <row r="282">
      <c r="A282" s="13" t="n">
        <v>281</v>
      </c>
      <c r="B282" s="13" t="inlineStr">
        <is>
          <t>Car#280</t>
        </is>
      </c>
      <c r="C282" s="13" t="inlineStr">
        <is>
          <t>A</t>
        </is>
      </c>
      <c r="D282" s="14" t="n">
        <v>18117.5</v>
      </c>
      <c r="E282" s="14" t="n">
        <v>19618.5</v>
      </c>
      <c r="F282" s="14" t="n">
        <v>1501</v>
      </c>
      <c r="G282" s="14" t="n">
        <v>2575.5</v>
      </c>
      <c r="H282" s="13" t="inlineStr">
        <is>
          <t>Car#278</t>
        </is>
      </c>
      <c r="I282" s="14">
        <f>E282-E281</f>
        <v/>
      </c>
      <c r="J282" s="14">
        <f>I282-58</f>
        <v/>
      </c>
      <c r="K282" s="14">
        <f>MAX(0,J282)</f>
        <v/>
      </c>
      <c r="L282" s="14">
        <f>MAX(0,-J282)</f>
        <v/>
      </c>
      <c r="M282" s="14">
        <f>M281+I282</f>
        <v/>
      </c>
      <c r="N282" s="14">
        <f>D282+F282-E282</f>
        <v/>
      </c>
      <c r="O282" s="13" t="inlineStr">
        <is>
          <t>能力满足</t>
        </is>
      </c>
      <c r="P282" s="13" t="inlineStr">
        <is>
          <t>ST1 引取(开:18117.5s 加:55.0s 等前:1935.5s 等后:27.5s) | ST2 集约(开:18200.0s 加:106.0s 等前:0.0s 等后:37.5s) | ST3 空气悬挂+快充(开:18343.5s 加:0.0s 等前:0.0s 等后:120.5s) | ST4 四轮定位上、下(开:18464.0s 加:115.0s 等前:0.0s 等后:22.5s) | ST5 ADAS(开:18601.5s 加:97.0s 等前:0.0s 等后:46.5s) | ST6 ARHUD+慢充(开:18745.0s 加:0.0s 等前:0.0s 等后:114.5s) | ST7 转毂(开:18859.5s 加:116.0s 等前:0.0s 等后:0.0s) | ST8 制动(开:18975.5s 加:108.0s 等前:0.0s 等后:2.5s) | ST9 EG漏液/底盘漏液(开:19086.0s 加:115.0s 等前:0.0s 等后:0.0s) | ST10 全景/空调检查(开:19201.0s 加:98.0s 等前:0.0s 等后:0.0s) | ST11 气囊安装+绝缘(开:19299.0s 加:0.0s 等前:0.0s 等后:0.0s) | ST12 L2++(开:19299.0s 加:0.0s 等前:0.0s 等后:117.5s) | ST13 电检1(开:19416.5s 加:0.0s 等前:0.0s 等后:101.0s) | ST14 电检2(开:19517.5s 加:0.0s 等前:0.0s 等后:50.0s) | ST15 小跑道(开:19567.5s 加:51.0s 等前:0.0s 等后:0.0s)</t>
        </is>
      </c>
    </row>
    <row r="283">
      <c r="A283" s="15" t="n">
        <v>282</v>
      </c>
      <c r="B283" s="15" t="inlineStr">
        <is>
          <t>Car#282</t>
        </is>
      </c>
      <c r="C283" s="15" t="inlineStr">
        <is>
          <t>B</t>
        </is>
      </c>
      <c r="D283" s="16" t="n">
        <v>18255</v>
      </c>
      <c r="E283" s="16" t="n">
        <v>19752.5</v>
      </c>
      <c r="F283" s="16" t="n">
        <v>1497.5</v>
      </c>
      <c r="G283" s="16" t="n">
        <v>2123</v>
      </c>
      <c r="H283" s="15" t="inlineStr">
        <is>
          <t>Car#280</t>
        </is>
      </c>
      <c r="I283" s="16">
        <f>E283-E282</f>
        <v/>
      </c>
      <c r="J283" s="16">
        <f>I283-58</f>
        <v/>
      </c>
      <c r="K283" s="16">
        <f>MAX(0,J283)</f>
        <v/>
      </c>
      <c r="L283" s="16">
        <f>MAX(0,-J283)</f>
        <v/>
      </c>
      <c r="M283" s="16">
        <f>M282+I283</f>
        <v/>
      </c>
      <c r="N283" s="16">
        <f>D283+F283-E283</f>
        <v/>
      </c>
      <c r="O283" s="15" t="inlineStr">
        <is>
          <t>能力超目标：四轮定位上、下</t>
        </is>
      </c>
      <c r="P283" s="15" t="inlineStr">
        <is>
          <t>ST1 引取(开:18255.0s 加:56.0s 等前:1957.0s 等后:32.5s) | ST2 集约(开:18343.5s 加:111.0s 等前:0.0s 等后:9.5s) | ST3 空气悬挂+快充(开:18464.0s 加:108.5s 等前:0.0s 等后:29.0s) | ST4 四轮定位上、下(开:18601.5s 加:120.5s 等前:0.0s 等后:23.0s) | ST5 ADAS(开:18745.0s 加:107.0s 等前:0.0s 等后:7.5s) | ST6 ARHUD+慢充(开:18859.5s 加:51.5s 等前:0.0s 等后:64.5s) | ST7 转毂(开:18975.5s 加:114.5s 等前:0.0s 等后:0.0s) | ST8 制动(开:19090.0s 加:114.0s 等前:0.0s 等后:0.0s) | ST9 EG漏液/底盘漏液(开:19204.0s 加:112.5s 等前:0.0s 等后:0.0s) | ST10 全景/空调检查(开:19316.5s 加:0.0s 等前:0.0s 等后:0.0s) | ST11 气囊安装+绝缘(开:19316.5s 加:116.0s 等前:0.0s 等后:0.0s) | ST12 L2++(开:19432.5s 加:88.0s 等前:0.0s 等后:0.0s) | ST13 电检1(开:19520.5s 加:84.5s 等前:0.0s 等后:0.0s) | ST14 电检2(开:19605.0s 加:97.5s 等前:0.0s 等后:0.0s) | ST15 小跑道(开:19702.5s 加:50.0s 等前:0.0s 等后:0.0s)</t>
        </is>
      </c>
    </row>
    <row r="284">
      <c r="A284" s="13" t="n">
        <v>283</v>
      </c>
      <c r="B284" s="13" t="inlineStr">
        <is>
          <t>Car#283</t>
        </is>
      </c>
      <c r="C284" s="13" t="inlineStr">
        <is>
          <t>C</t>
        </is>
      </c>
      <c r="D284" s="14" t="n">
        <v>18343.5</v>
      </c>
      <c r="E284" s="14" t="n">
        <v>19802.5</v>
      </c>
      <c r="F284" s="14" t="n">
        <v>1459</v>
      </c>
      <c r="G284" s="14" t="n">
        <v>2023</v>
      </c>
      <c r="H284" s="13" t="inlineStr">
        <is>
          <t>Car#282</t>
        </is>
      </c>
      <c r="I284" s="14">
        <f>E284-E283</f>
        <v/>
      </c>
      <c r="J284" s="14">
        <f>I284-58</f>
        <v/>
      </c>
      <c r="K284" s="14">
        <f>MAX(0,J284)</f>
        <v/>
      </c>
      <c r="L284" s="14">
        <f>MAX(0,-J284)</f>
        <v/>
      </c>
      <c r="M284" s="14">
        <f>M283+I284</f>
        <v/>
      </c>
      <c r="N284" s="14">
        <f>D284+F284-E284</f>
        <v/>
      </c>
      <c r="O284" s="13" t="inlineStr">
        <is>
          <t>能力超目标：四轮定位上、下、ARHUD+慢充</t>
        </is>
      </c>
      <c r="P284" s="13" t="inlineStr">
        <is>
          <t>ST1 引取(开:18343.5s 加:56.0s 等前:1987.5s 等后:0.0s) | ST2 集约(开:18399.5s 加:111.0s 等前:0.0s 等后:0.0s) | ST3 空气悬挂+快充(开:18510.5s 加:108.5s 等前:0.0s 等后:0.0s) | ST4 四轮定位上、下(开:18619.0s 加:120.5s 等前:0.0s 等后:0.0s) | ST5 ADAS(开:18739.5s 加:107.0s 等前:0.0s 等后:0.0s) | ST6 ARHUD+慢充(开:18846.5s 加:143.5s 等前:0.0s 等后:0.0s) | ST7 转毂(开:18990.0s 加:114.5s 等前:0.0s 等后:0.0s) | ST8 制动(开:19104.5s 加:114.0s 等前:0.0s 等后:0.0s) | ST9 EG漏液/底盘漏液(开:19218.5s 加:112.5s 等前:0.0s 等后:0.0s) | ST10 全景/空调检查(开:19331.0s 加:0.0s 等前:0.0s 等后:0.0s) | ST11 气囊安装+绝缘(开:19331.0s 加:116.0s 等前:0.0s 等后:0.0s) | ST12 L2++(开:19447.0s 加:88.0s 等前:0.0s 等后:0.0s) | ST13 电检1(开:19535.0s 加:84.5s 等前:0.0s 等后:0.0s) | ST14 电检2(开:19619.5s 加:97.5s 等前:0.0s 等后:35.5s) | ST15 小跑道(开:19752.5s 加:50.0s 等前:0.0s 等后:0.0s)</t>
        </is>
      </c>
    </row>
    <row r="285">
      <c r="A285" s="15" t="n">
        <v>284</v>
      </c>
      <c r="B285" s="15" t="inlineStr">
        <is>
          <t>Car#284</t>
        </is>
      </c>
      <c r="C285" s="15" t="inlineStr">
        <is>
          <t>C</t>
        </is>
      </c>
      <c r="D285" s="16" t="n">
        <v>18399.5</v>
      </c>
      <c r="E285" s="16" t="n">
        <v>19896</v>
      </c>
      <c r="F285" s="16" t="n">
        <v>1496.5</v>
      </c>
      <c r="G285" s="16" t="n">
        <v>2058.5</v>
      </c>
      <c r="H285" s="15" t="inlineStr">
        <is>
          <t>Car#283</t>
        </is>
      </c>
      <c r="I285" s="16">
        <f>E285-E284</f>
        <v/>
      </c>
      <c r="J285" s="16">
        <f>I285-58</f>
        <v/>
      </c>
      <c r="K285" s="16">
        <f>MAX(0,J285)</f>
        <v/>
      </c>
      <c r="L285" s="16">
        <f>MAX(0,-J285)</f>
        <v/>
      </c>
      <c r="M285" s="16">
        <f>M284+I285</f>
        <v/>
      </c>
      <c r="N285" s="16">
        <f>D285+F285-E285</f>
        <v/>
      </c>
      <c r="O285" s="15" t="inlineStr">
        <is>
          <t>能力超目标：四轮定位上、下、ARHUD+慢充</t>
        </is>
      </c>
      <c r="P285" s="15" t="inlineStr">
        <is>
          <t>ST1 引取(开:18399.5s 加:56.0s 等前:1985.5s 等后:8.5s) | ST2 集约(开:18464.0s 加:111.0s 等前:0.0s 等后:26.5s) | ST3 空气悬挂+快充(开:18601.5s 加:108.5s 等前:0.0s 等后:35.0s) | ST4 四轮定位上、下(开:18745.0s 加:120.5s 等前:0.0s 等后:0.0s) | ST5 ADAS(开:18865.5s 加:107.0s 等前:0.0s 等后:3.0s) | ST6 ARHUD+慢充(开:18975.5s 加:143.5s 等前:0.0s 等后:0.0s) | ST7 转毂(开:19119.0s 加:114.5s 等前:0.0s 等后:0.0s) | ST8 制动(开:19233.5s 加:114.0s 等前:0.0s 等后:0.0s) | ST9 EG漏液/底盘漏液(开:19347.5s 加:112.5s 等前:0.0s 等后:0.0s) | ST10 全景/空调检查(开:19460.0s 加:0.0s 等前:0.0s 等后:0.0s) | ST11 气囊安装+绝缘(开:19460.0s 加:116.0s 等前:0.0s 等后:0.0s) | ST12 L2++(开:19576.0s 加:88.0s 等前:0.0s 等后:0.0s) | ST13 电检1(开:19664.0s 加:84.5s 等前:0.0s 等后:0.0s) | ST14 电检2(开:19748.5s 加:97.5s 等前:0.0s 等后:0.0s) | ST15 小跑道(开:19846.0s 加:50.0s 等前:0.0s 等后:0.0s)</t>
        </is>
      </c>
    </row>
    <row r="286">
      <c r="A286" s="13" t="n">
        <v>285</v>
      </c>
      <c r="B286" s="13" t="inlineStr">
        <is>
          <t>Car#285</t>
        </is>
      </c>
      <c r="C286" s="13" t="inlineStr">
        <is>
          <t>C</t>
        </is>
      </c>
      <c r="D286" s="14" t="n">
        <v>18464</v>
      </c>
      <c r="E286" s="14" t="n">
        <v>19946</v>
      </c>
      <c r="F286" s="14" t="n">
        <v>1482</v>
      </c>
      <c r="G286" s="14" t="n">
        <v>2050.5</v>
      </c>
      <c r="H286" s="13" t="inlineStr">
        <is>
          <t>Car#284</t>
        </is>
      </c>
      <c r="I286" s="14">
        <f>E286-E285</f>
        <v/>
      </c>
      <c r="J286" s="14">
        <f>I286-58</f>
        <v/>
      </c>
      <c r="K286" s="14">
        <f>MAX(0,J286)</f>
        <v/>
      </c>
      <c r="L286" s="14">
        <f>MAX(0,-J286)</f>
        <v/>
      </c>
      <c r="M286" s="14">
        <f>M285+I286</f>
        <v/>
      </c>
      <c r="N286" s="14">
        <f>D286+F286-E286</f>
        <v/>
      </c>
      <c r="O286" s="13" t="inlineStr">
        <is>
          <t>能力超目标：四轮定位上、下、ARHUD+慢充</t>
        </is>
      </c>
      <c r="P286" s="13" t="inlineStr">
        <is>
          <t>ST1 引取(开:18464.0s 加:56.0s 等前:1992.0s 等后:0.0s) | ST2 集约(开:18520.0s 加:111.0s 等前:0.0s 等后:0.0s) | ST3 空气悬挂+快充(开:18631.0s 加:108.5s 等前:0.0s 等后:0.0s) | ST4 四轮定位上、下(开:18739.5s 加:120.5s 等前:0.0s 等后:0.0s) | ST5 ADAS(开:18860.0s 加:107.0s 等前:0.0s 等后:23.0s) | ST6 ARHUD+慢充(开:18990.0s 加:143.5s 等前:0.0s 等后:0.0s) | ST7 转毂(开:19133.5s 加:114.5s 等前:0.0s 等后:0.0s) | ST8 制动(开:19248.0s 加:114.0s 等前:0.0s 等后:0.0s) | ST9 EG漏液/底盘漏液(开:19362.0s 加:112.5s 等前:0.0s 等后:0.0s) | ST10 全景/空调检查(开:19474.5s 加:0.0s 等前:0.0s 等后:0.0s) | ST11 气囊安装+绝缘(开:19474.5s 加:116.0s 等前:0.0s 等后:0.0s) | ST12 L2++(开:19590.5s 加:88.0s 等前:0.0s 等后:0.0s) | ST13 电检1(开:19678.5s 加:84.5s 等前:0.0s 等后:0.0s) | ST14 电检2(开:19763.0s 加:97.5s 等前:0.0s 等后:35.5s) | ST15 小跑道(开:19896.0s 加:50.0s 等前:0.0s 等后:0.0s)</t>
        </is>
      </c>
    </row>
    <row r="287">
      <c r="A287" s="15" t="n">
        <v>286</v>
      </c>
      <c r="B287" s="15" t="inlineStr">
        <is>
          <t>Car#286</t>
        </is>
      </c>
      <c r="C287" s="15" t="inlineStr">
        <is>
          <t>B</t>
        </is>
      </c>
      <c r="D287" s="16" t="n">
        <v>18520</v>
      </c>
      <c r="E287" s="16" t="n">
        <v>20012</v>
      </c>
      <c r="F287" s="16" t="n">
        <v>1492</v>
      </c>
      <c r="G287" s="16" t="n">
        <v>2150.5</v>
      </c>
      <c r="H287" s="15" t="inlineStr">
        <is>
          <t>Car#285</t>
        </is>
      </c>
      <c r="I287" s="16">
        <f>E287-E286</f>
        <v/>
      </c>
      <c r="J287" s="16">
        <f>I287-58</f>
        <v/>
      </c>
      <c r="K287" s="16">
        <f>MAX(0,J287)</f>
        <v/>
      </c>
      <c r="L287" s="16">
        <f>MAX(0,-J287)</f>
        <v/>
      </c>
      <c r="M287" s="16">
        <f>M286+I287</f>
        <v/>
      </c>
      <c r="N287" s="16">
        <f>D287+F287-E287</f>
        <v/>
      </c>
      <c r="O287" s="15" t="inlineStr">
        <is>
          <t>能力超目标：四轮定位上、下</t>
        </is>
      </c>
      <c r="P287" s="15" t="inlineStr">
        <is>
          <t>ST1 引取(开:18520.0s 加:56.0s 等前:1990.0s 等后:25.5s) | ST2 集约(开:18601.5s 加:111.0s 等前:0.0s 等后:32.5s) | ST3 空气悬挂+快充(开:18745.0s 加:108.5s 等前:0.0s 等后:12.0s) | ST4 四轮定位上、下(开:18865.5s 加:120.5s 等前:0.0s 等后:0.0s) | ST5 ADAS(开:18986.0s 加:107.0s 等前:0.0s 等后:26.0s) | ST6 ARHUD+慢充(开:19119.0s 加:51.5s 等前:0.0s 等后:63.0s) | ST7 转毂(开:19233.5s 加:114.5s 等前:0.0s 等后:0.0s) | ST8 制动(开:19348.0s 加:114.0s 等前:0.0s 等后:0.0s) | ST9 EG漏液/底盘漏液(开:19462.0s 加:112.5s 等前:0.0s 等后:0.0s) | ST10 全景/空调检查(开:19574.5s 加:0.0s 等前:0.0s 等后:1.5s) | ST11 气囊安装+绝缘(开:19576.0s 加:116.0s 等前:0.0s 等后:0.0s) | ST12 L2++(开:19692.0s 加:88.0s 等前:0.0s 等后:0.0s) | ST13 电检1(开:19780.0s 加:84.5s 等前:0.0s 等后:0.0s) | ST14 电检2(开:19864.5s 加:97.5s 等前:0.0s 等后:0.0s) | ST15 小跑道(开:19962.0s 加:50.0s 等前:0.0s 等后:0.0s)</t>
        </is>
      </c>
    </row>
    <row r="288">
      <c r="A288" s="13" t="n">
        <v>287</v>
      </c>
      <c r="B288" s="13" t="inlineStr">
        <is>
          <t>Car#287</t>
        </is>
      </c>
      <c r="C288" s="13" t="inlineStr">
        <is>
          <t>B</t>
        </is>
      </c>
      <c r="D288" s="14" t="n">
        <v>18601.5</v>
      </c>
      <c r="E288" s="14" t="n">
        <v>20062</v>
      </c>
      <c r="F288" s="14" t="n">
        <v>1460.5</v>
      </c>
      <c r="G288" s="14" t="n">
        <v>2142.5</v>
      </c>
      <c r="H288" s="13" t="inlineStr">
        <is>
          <t>Car#286</t>
        </is>
      </c>
      <c r="I288" s="14">
        <f>E288-E287</f>
        <v/>
      </c>
      <c r="J288" s="14">
        <f>I288-58</f>
        <v/>
      </c>
      <c r="K288" s="14">
        <f>MAX(0,J288)</f>
        <v/>
      </c>
      <c r="L288" s="14">
        <f>MAX(0,-J288)</f>
        <v/>
      </c>
      <c r="M288" s="14">
        <f>M287+I288</f>
        <v/>
      </c>
      <c r="N288" s="14">
        <f>D288+F288-E288</f>
        <v/>
      </c>
      <c r="O288" s="13" t="inlineStr">
        <is>
          <t>能力超目标：四轮定位上、下</t>
        </is>
      </c>
      <c r="P288" s="13" t="inlineStr">
        <is>
          <t>ST1 引取(开:18601.5s 加:56.0s 等前:2013.5s 等后:0.0s) | ST2 集约(开:18657.5s 加:111.0s 等前:0.0s 等后:0.0s) | ST3 空气悬挂+快充(开:18768.5s 加:108.5s 等前:0.0s 等后:0.0s) | ST4 四轮定位上、下(开:18877.0s 加:120.5s 等前:0.0s 等后:0.0s) | ST5 ADAS(开:18997.5s 加:107.0s 等前:0.0s 等后:29.0s) | ST6 ARHUD+慢充(开:19133.5s 加:51.5s 等前:0.0s 等后:63.0s) | ST7 转毂(开:19248.0s 加:114.5s 等前:0.0s 等后:0.0s) | ST8 制动(开:19362.5s 加:114.0s 等前:0.0s 等后:0.0s) | ST9 EG漏液/底盘漏液(开:19476.5s 加:112.5s 等前:0.0s 等后:0.0s) | ST10 全景/空调检查(开:19589.0s 加:0.0s 等前:0.0s 等后:1.5s) | ST11 气囊安装+绝缘(开:19590.5s 加:116.0s 等前:0.0s 等后:0.0s) | ST12 L2++(开:19706.5s 加:88.0s 等前:0.0s 等后:0.0s) | ST13 电检1(开:19794.5s 加:84.5s 等前:0.0s 等后:17.0s) | ST14 电检2(开:19896.0s 加:97.5s 等前:0.0s 等后:18.5s) | ST15 小跑道(开:20012.0s 加:50.0s 等前:0.0s 等后:0.0s)</t>
        </is>
      </c>
    </row>
    <row r="289">
      <c r="A289" s="15" t="n">
        <v>288</v>
      </c>
      <c r="B289" s="15" t="inlineStr">
        <is>
          <t>Car#288</t>
        </is>
      </c>
      <c r="C289" s="15" t="inlineStr">
        <is>
          <t>B</t>
        </is>
      </c>
      <c r="D289" s="16" t="n">
        <v>18657.5</v>
      </c>
      <c r="E289" s="16" t="n">
        <v>20128</v>
      </c>
      <c r="F289" s="16" t="n">
        <v>1470.5</v>
      </c>
      <c r="G289" s="16" t="n">
        <v>2150.5</v>
      </c>
      <c r="H289" s="15" t="inlineStr">
        <is>
          <t>Car#287</t>
        </is>
      </c>
      <c r="I289" s="16">
        <f>E289-E288</f>
        <v/>
      </c>
      <c r="J289" s="16">
        <f>I289-58</f>
        <v/>
      </c>
      <c r="K289" s="16">
        <f>MAX(0,J289)</f>
        <v/>
      </c>
      <c r="L289" s="16">
        <f>MAX(0,-J289)</f>
        <v/>
      </c>
      <c r="M289" s="16">
        <f>M288+I289</f>
        <v/>
      </c>
      <c r="N289" s="16">
        <f>D289+F289-E289</f>
        <v/>
      </c>
      <c r="O289" s="15" t="inlineStr">
        <is>
          <t>能力超目标：四轮定位上、下</t>
        </is>
      </c>
      <c r="P289" s="15" t="inlineStr">
        <is>
          <t>ST1 引取(开:18657.5s 加:56.0s 等前:2011.5s 等后:31.5s) | ST2 集约(开:18745.0s 加:111.0s 等前:0.0s 等后:9.5s) | ST3 空气悬挂+快充(开:18865.5s 加:108.5s 等前:0.0s 等后:12.0s) | ST4 四轮定位上、下(开:18986.0s 加:120.5s 等前:0.0s 等后:12.5s) | ST5 ADAS(开:19119.0s 加:107.0s 等前:0.0s 等后:7.5s) | ST6 ARHUD+慢充(开:19233.5s 加:51.5s 等前:0.0s 等后:63.0s) | ST7 转毂(开:19348.0s 加:114.5s 等前:0.0s 等后:0.0s) | ST8 制动(开:19462.5s 加:114.0s 等前:0.0s 等后:0.0s) | ST9 EG漏液/底盘漏液(开:19576.5s 加:112.5s 等前:0.0s 等后:0.0s) | ST10 全景/空调检查(开:19689.0s 加:0.0s 等前:0.0s 等后:3.0s) | ST11 气囊安装+绝缘(开:19692.0s 加:116.0s 等前:0.0s 等后:0.0s) | ST12 L2++(开:19808.0s 加:88.0s 等前:0.0s 等后:0.0s) | ST13 电检1(开:19896.0s 加:84.5s 等前:0.0s 等后:0.0s) | ST14 电检2(开:19980.5s 加:97.5s 等前:0.0s 等后:0.0s) | ST15 小跑道(开:20078.0s 加:50.0s 等前:0.0s 等后:0.0s)</t>
        </is>
      </c>
    </row>
    <row r="290">
      <c r="A290" s="13" t="n">
        <v>289</v>
      </c>
      <c r="B290" s="13" t="inlineStr">
        <is>
          <t>Car#289</t>
        </is>
      </c>
      <c r="C290" s="13" t="inlineStr">
        <is>
          <t>C</t>
        </is>
      </c>
      <c r="D290" s="14" t="n">
        <v>18745</v>
      </c>
      <c r="E290" s="14" t="n">
        <v>20178</v>
      </c>
      <c r="F290" s="14" t="n">
        <v>1433</v>
      </c>
      <c r="G290" s="14" t="n">
        <v>2050.5</v>
      </c>
      <c r="H290" s="13" t="inlineStr">
        <is>
          <t>Car#288</t>
        </is>
      </c>
      <c r="I290" s="14">
        <f>E290-E289</f>
        <v/>
      </c>
      <c r="J290" s="14">
        <f>I290-58</f>
        <v/>
      </c>
      <c r="K290" s="14">
        <f>MAX(0,J290)</f>
        <v/>
      </c>
      <c r="L290" s="14">
        <f>MAX(0,-J290)</f>
        <v/>
      </c>
      <c r="M290" s="14">
        <f>M289+I290</f>
        <v/>
      </c>
      <c r="N290" s="14">
        <f>D290+F290-E290</f>
        <v/>
      </c>
      <c r="O290" s="13" t="inlineStr">
        <is>
          <t>能力超目标：四轮定位上、下、ARHUD+慢充</t>
        </is>
      </c>
      <c r="P290" s="13" t="inlineStr">
        <is>
          <t>ST1 引取(开:18745.0s 加:56.0s 等前:2041.0s 等后:0.0s) | ST2 集约(开:18801.0s 加:111.0s 等前:0.0s 等后:0.0s) | ST3 空气悬挂+快充(开:18912.0s 加:108.5s 等前:0.0s 等后:0.0s) | ST4 四轮定位上、下(开:19020.5s 加:120.5s 等前:0.0s 等后:0.0s) | ST5 ADAS(开:19141.0s 加:107.0s 等前:0.0s 等后:0.0s) | ST6 ARHUD+慢充(开:19248.0s 加:143.5s 等前:0.0s 等后:0.0s) | ST7 转毂(开:19391.5s 加:114.5s 等前:0.0s 等后:0.0s) | ST8 制动(开:19506.0s 加:114.0s 等前:0.0s 等后:0.0s) | ST9 EG漏液/底盘漏液(开:19620.0s 加:112.5s 等前:0.0s 等后:0.0s) | ST10 全景/空调检查(开:19732.5s 加:0.0s 等前:0.0s 等后:0.0s) | ST11 气囊安装+绝缘(开:19732.5s 加:116.0s 等前:0.0s 等后:0.0s) | ST12 L2++(开:19848.5s 加:88.0s 等前:0.0s 等后:0.0s) | ST13 电检1(开:19936.5s 加:84.5s 等前:0.0s 等后:0.0s) | ST14 电检2(开:20021.0s 加:97.5s 等前:0.0s 等后:9.5s) | ST15 小跑道(开:20128.0s 加:50.0s 等前:0.0s 等后:0.0s)</t>
        </is>
      </c>
    </row>
    <row r="291">
      <c r="A291" s="15" t="n">
        <v>290</v>
      </c>
      <c r="B291" s="15" t="inlineStr">
        <is>
          <t>Car#290</t>
        </is>
      </c>
      <c r="C291" s="15" t="inlineStr">
        <is>
          <t>C</t>
        </is>
      </c>
      <c r="D291" s="16" t="n">
        <v>18801</v>
      </c>
      <c r="E291" s="16" t="n">
        <v>20268.5</v>
      </c>
      <c r="F291" s="16" t="n">
        <v>1467.5</v>
      </c>
      <c r="G291" s="16" t="n">
        <v>2083</v>
      </c>
      <c r="H291" s="15" t="inlineStr">
        <is>
          <t>Car#289</t>
        </is>
      </c>
      <c r="I291" s="16">
        <f>E291-E290</f>
        <v/>
      </c>
      <c r="J291" s="16">
        <f>I291-58</f>
        <v/>
      </c>
      <c r="K291" s="16">
        <f>MAX(0,J291)</f>
        <v/>
      </c>
      <c r="L291" s="16">
        <f>MAX(0,-J291)</f>
        <v/>
      </c>
      <c r="M291" s="16">
        <f>M290+I291</f>
        <v/>
      </c>
      <c r="N291" s="16">
        <f>D291+F291-E291</f>
        <v/>
      </c>
      <c r="O291" s="15" t="inlineStr">
        <is>
          <t>能力超目标：四轮定位上、下、ARHUD+慢充</t>
        </is>
      </c>
      <c r="P291" s="15" t="inlineStr">
        <is>
          <t>ST1 引取(开:18801.0s 加:56.0s 等前:2039.0s 等后:8.5s) | ST2 集约(开:18865.5s 加:111.0s 等前:0.0s 等后:9.5s) | ST3 空气悬挂+快充(开:18986.0s 加:108.5s 等前:0.0s 等后:24.5s) | ST4 四轮定位上、下(开:19119.0s 加:120.5s 等前:0.0s 等后:0.0s) | ST5 ADAS(开:19239.5s 加:107.0s 等前:0.0s 等后:1.5s) | ST6 ARHUD+慢充(开:19348.0s 加:143.5s 等前:0.0s 等后:0.0s) | ST7 转毂(开:19491.5s 加:114.5s 等前:0.0s 等后:0.0s) | ST8 制动(开:19606.0s 加:114.0s 等前:0.0s 等后:0.0s) | ST9 EG漏液/底盘漏液(开:19720.0s 加:112.5s 等前:0.0s 等后:0.0s) | ST10 全景/空调检查(开:19832.5s 加:0.0s 等前:0.0s 等后:0.0s) | ST11 气囊安装+绝缘(开:19832.5s 加:116.0s 等前:0.0s 等后:0.0s) | ST12 L2++(开:19948.5s 加:88.0s 等前:0.0s 等后:0.0s) | ST13 电检1(开:20036.5s 加:84.5s 等前:0.0s 等后:0.0s) | ST14 电检2(开:20121.0s 加:97.5s 等前:0.0s 等后:0.0s) | ST15 小跑道(开:20218.5s 加:50.0s 等前:0.0s 等后:0.0s)</t>
        </is>
      </c>
    </row>
    <row r="292">
      <c r="A292" s="13" t="n">
        <v>291</v>
      </c>
      <c r="B292" s="13" t="inlineStr">
        <is>
          <t>Car#292</t>
        </is>
      </c>
      <c r="C292" s="13" t="inlineStr">
        <is>
          <t>A</t>
        </is>
      </c>
      <c r="D292" s="14" t="n">
        <v>18921.5</v>
      </c>
      <c r="E292" s="14" t="n">
        <v>20319.5</v>
      </c>
      <c r="F292" s="14" t="n">
        <v>1398</v>
      </c>
      <c r="G292" s="14" t="n">
        <v>2580.5</v>
      </c>
      <c r="H292" s="13" t="inlineStr">
        <is>
          <t>Car#290</t>
        </is>
      </c>
      <c r="I292" s="14">
        <f>E292-E291</f>
        <v/>
      </c>
      <c r="J292" s="14">
        <f>I292-58</f>
        <v/>
      </c>
      <c r="K292" s="14">
        <f>MAX(0,J292)</f>
        <v/>
      </c>
      <c r="L292" s="14">
        <f>MAX(0,-J292)</f>
        <v/>
      </c>
      <c r="M292" s="14">
        <f>M291+I292</f>
        <v/>
      </c>
      <c r="N292" s="14">
        <f>D292+F292-E292</f>
        <v/>
      </c>
      <c r="O292" s="13" t="inlineStr">
        <is>
          <t>能力满足</t>
        </is>
      </c>
      <c r="P292" s="13" t="inlineStr">
        <is>
          <t>ST1 引取(开:18921.5s 加:55.0s 等前:2043.5s 等后:9.5s) | ST2 集约(开:18986.0s 加:106.0s 等前:0.0s 等后:27.0s) | ST3 空气悬挂+快充(开:19119.0s 加:0.0s 等前:0.0s 等后:120.5s) | ST4 四轮定位上、下(开:19239.5s 加:115.0s 等前:0.0s 等后:0.0s) | ST5 ADAS(开:19354.5s 加:97.0s 等前:0.0s 等后:40.0s) | ST6 ARHUD+慢充(开:19491.5s 加:0.0s 等前:0.0s 等后:114.5s) | ST7 转毂(开:19606.0s 加:116.0s 等前:0.0s 等后:0.0s) | ST8 制动(开:19722.0s 加:108.0s 等前:0.0s 等后:2.5s) | ST9 EG漏液/底盘漏液(开:19832.5s 加:115.0s 等前:0.0s 等后:0.0s) | ST10 全景/空调检查(开:19947.5s 加:98.0s 等前:0.0s 等后:0.0s) | ST11 气囊安装+绝缘(开:20045.5s 加:0.0s 等前:0.0s 等后:0.0s) | ST12 L2++(开:20045.5s 加:0.0s 等前:0.0s 等后:75.5s) | ST13 电检1(开:20121.0s 加:0.0s 等前:0.0s 等后:97.5s) | ST14 电检2(开:20218.5s 加:0.0s 等前:0.0s 等后:50.0s) | ST15 小跑道(开:20268.5s 加:51.0s 等前:0.0s 等后:0.0s)</t>
        </is>
      </c>
    </row>
    <row r="293">
      <c r="A293" s="15" t="n">
        <v>292</v>
      </c>
      <c r="B293" s="15" t="inlineStr">
        <is>
          <t>Car#291</t>
        </is>
      </c>
      <c r="C293" s="15" t="inlineStr">
        <is>
          <t>C</t>
        </is>
      </c>
      <c r="D293" s="16" t="n">
        <v>18865.5</v>
      </c>
      <c r="E293" s="16" t="n">
        <v>20369.5</v>
      </c>
      <c r="F293" s="16" t="n">
        <v>1504</v>
      </c>
      <c r="G293" s="16" t="n">
        <v>2126</v>
      </c>
      <c r="H293" s="15" t="inlineStr">
        <is>
          <t>Car#292</t>
        </is>
      </c>
      <c r="I293" s="16">
        <f>E293-E292</f>
        <v/>
      </c>
      <c r="J293" s="16">
        <f>I293-58</f>
        <v/>
      </c>
      <c r="K293" s="16">
        <f>MAX(0,J293)</f>
        <v/>
      </c>
      <c r="L293" s="16">
        <f>MAX(0,-J293)</f>
        <v/>
      </c>
      <c r="M293" s="16">
        <f>M292+I293</f>
        <v/>
      </c>
      <c r="N293" s="16">
        <f>D293+F293-E293</f>
        <v/>
      </c>
      <c r="O293" s="15" t="inlineStr">
        <is>
          <t>能力超目标：四轮定位上、下、ARHUD+慢充</t>
        </is>
      </c>
      <c r="P293" s="15" t="inlineStr">
        <is>
          <t>ST1 引取(开:18865.5s 加:56.0s 等前:2045.5s 等后:0.0s) | ST2 集约(开:18921.5s 加:111.0s 等前:0.0s 等后:0.0s) | ST3 空气悬挂+快充(开:19032.5s 加:108.5s 等前:0.0s 等后:0.0s) | ST4 四轮定位上、下(开:19141.0s 加:120.5s 等前:0.0s 等后:0.0s) | ST5 ADAS(开:19261.5s 加:107.0s 等前:0.0s 等后:23.0s) | ST6 ARHUD+慢充(开:19391.5s 加:143.5s 等前:0.0s 等后:0.0s) | ST7 转毂(开:19535.0s 加:114.5s 等前:0.0s 等后:0.0s) | ST8 制动(开:19649.5s 加:114.0s 等前:0.0s 等后:0.0s) | ST9 EG漏液/底盘漏液(开:19763.5s 加:112.5s 等前:0.0s 等后:0.0s) | ST10 全景/空调检查(开:19876.0s 加:0.0s 等前:0.0s 等后:0.0s) | ST11 气囊安装+绝缘(开:19876.0s 加:116.0s 等前:0.0s 等后:0.0s) | ST12 L2++(开:19992.0s 加:88.0s 等前:0.0s 等后:0.0s) | ST13 电检1(开:20080.0s 加:84.5s 等前:0.0s 等后:0.0s) | ST14 电检2(开:20164.5s 加:97.5s 等前:0.0s 等后:57.5s) | ST15 小跑道(开:20319.5s 加:50.0s 等前:0.0s 等后:0.0s)</t>
        </is>
      </c>
    </row>
    <row r="294">
      <c r="A294" s="13" t="n">
        <v>293</v>
      </c>
      <c r="B294" s="13" t="inlineStr">
        <is>
          <t>Car#294</t>
        </is>
      </c>
      <c r="C294" s="13" t="inlineStr">
        <is>
          <t>A</t>
        </is>
      </c>
      <c r="D294" s="14" t="n">
        <v>19041</v>
      </c>
      <c r="E294" s="14" t="n">
        <v>20420.5</v>
      </c>
      <c r="F294" s="14" t="n">
        <v>1379.5</v>
      </c>
      <c r="G294" s="14" t="n">
        <v>2565.5</v>
      </c>
      <c r="H294" s="13" t="inlineStr">
        <is>
          <t>Car#291</t>
        </is>
      </c>
      <c r="I294" s="14">
        <f>E294-E293</f>
        <v/>
      </c>
      <c r="J294" s="14">
        <f>I294-58</f>
        <v/>
      </c>
      <c r="K294" s="14">
        <f>MAX(0,J294)</f>
        <v/>
      </c>
      <c r="L294" s="14">
        <f>MAX(0,-J294)</f>
        <v/>
      </c>
      <c r="M294" s="14">
        <f>M293+I294</f>
        <v/>
      </c>
      <c r="N294" s="14">
        <f>D294+F294-E294</f>
        <v/>
      </c>
      <c r="O294" s="13" t="inlineStr">
        <is>
          <t>能力满足</t>
        </is>
      </c>
      <c r="P294" s="13" t="inlineStr">
        <is>
          <t>ST1 引取(开:19041.0s 加:55.0s 等前:2047.0s 等后:23.0s) | ST2 集约(开:19119.0s 加:106.0s 等前:0.0s 等后:14.5s) | ST3 空气悬挂+快充(开:19239.5s 加:0.0s 等前:0.0s 等后:115.0s) | ST4 四轮定位上、下(开:19354.5s 加:115.0s 等前:0.0s 等后:22.0s) | ST5 ADAS(开:19491.5s 加:97.0s 等前:0.0s 等后:17.5s) | ST6 ARHUD+慢充(开:19606.0s 加:0.0s 等前:0.0s 等后:116.0s) | ST7 转毂(开:19722.0s 加:116.0s 等前:0.0s 等后:0.0s) | ST8 制动(开:19838.0s 加:108.0s 等前:0.0s 等后:1.5s) | ST9 EG漏液/底盘漏液(开:19947.5s 加:115.0s 等前:0.0s 等后:0.0s) | ST10 全景/空调检查(开:20062.5s 加:98.0s 等前:0.0s 等后:0.0s) | ST11 气囊安装+绝缘(开:20160.5s 加:0.0s 等前:0.0s 等后:0.0s) | ST12 L2++(开:20160.5s 加:0.0s 等前:0.0s 等后:58.0s) | ST13 电检1(开:20218.5s 加:0.0s 等前:0.0s 等后:50.0s) | ST14 电检2(开:20268.5s 加:0.0s 等前:0.0s 等后:101.0s) | ST15 小跑道(开:20369.5s 加:51.0s 等前:0.0s 等后:0.0s)</t>
        </is>
      </c>
    </row>
    <row r="295">
      <c r="A295" s="15" t="n">
        <v>294</v>
      </c>
      <c r="B295" s="15" t="inlineStr">
        <is>
          <t>Car#293</t>
        </is>
      </c>
      <c r="C295" s="15" t="inlineStr">
        <is>
          <t>A</t>
        </is>
      </c>
      <c r="D295" s="16" t="n">
        <v>18986</v>
      </c>
      <c r="E295" s="16" t="n">
        <v>20471.5</v>
      </c>
      <c r="F295" s="16" t="n">
        <v>1485.5</v>
      </c>
      <c r="G295" s="16" t="n">
        <v>2674.5</v>
      </c>
      <c r="H295" s="15" t="inlineStr">
        <is>
          <t>Car#294</t>
        </is>
      </c>
      <c r="I295" s="16">
        <f>E295-E294</f>
        <v/>
      </c>
      <c r="J295" s="16">
        <f>I295-58</f>
        <v/>
      </c>
      <c r="K295" s="16">
        <f>MAX(0,J295)</f>
        <v/>
      </c>
      <c r="L295" s="16">
        <f>MAX(0,-J295)</f>
        <v/>
      </c>
      <c r="M295" s="16">
        <f>M294+I295</f>
        <v/>
      </c>
      <c r="N295" s="16">
        <f>D295+F295-E295</f>
        <v/>
      </c>
      <c r="O295" s="15" t="inlineStr">
        <is>
          <t>能力满足</t>
        </is>
      </c>
      <c r="P295" s="15" t="inlineStr">
        <is>
          <t>ST1 引取(开:18986.0s 加:55.0s 等前:2050.0s 等后:0.0s) | ST2 集约(开:19041.0s 加:106.0s 等前:0.0s 等后:0.0s) | ST3 空气悬挂+快充(开:19147.0s 加:0.0s 等前:0.0s 等后:114.5s) | ST4 四轮定位上、下(开:19261.5s 加:115.0s 等前:0.0s 等后:15.0s) | ST5 ADAS(开:19391.5s 加:97.0s 等前:0.0s 等后:46.5s) | ST6 ARHUD+慢充(开:19535.0s 加:0.0s 等前:0.0s 等后:114.5s) | ST7 转毂(开:19649.5s 加:116.0s 等前:0.0s 等后:0.0s) | ST8 制动(开:19765.5s 加:108.0s 等前:0.0s 等后:2.5s) | ST9 EG漏液/底盘漏液(开:19876.0s 加:115.0s 等前:0.0s 等后:0.0s) | ST10 全景/空调检查(开:19991.0s 加:98.0s 等前:0.0s 等后:0.0s) | ST11 气囊安装+绝缘(开:20089.0s 加:0.0s 等前:0.0s 等后:0.0s) | ST12 L2++(开:20089.0s 加:0.0s 等前:0.0s 等后:75.5s) | ST13 电检1(开:20164.5s 加:0.0s 等前:0.0s 等后:155.0s) | ST14 电检2(开:20319.5s 加:0.0s 等前:0.0s 等后:101.0s) | ST15 小跑道(开:20420.5s 加:51.0s 等前:0.0s 等后:0.0s)</t>
        </is>
      </c>
    </row>
    <row r="296">
      <c r="A296" s="13" t="n">
        <v>295</v>
      </c>
      <c r="B296" s="13" t="inlineStr">
        <is>
          <t>Car#295</t>
        </is>
      </c>
      <c r="C296" s="13" t="inlineStr">
        <is>
          <t>C</t>
        </is>
      </c>
      <c r="D296" s="14" t="n">
        <v>19119</v>
      </c>
      <c r="E296" s="14" t="n">
        <v>20570</v>
      </c>
      <c r="F296" s="14" t="n">
        <v>1451</v>
      </c>
      <c r="G296" s="14" t="n">
        <v>2094.5</v>
      </c>
      <c r="H296" s="13" t="inlineStr">
        <is>
          <t>Car#293</t>
        </is>
      </c>
      <c r="I296" s="14">
        <f>E296-E295</f>
        <v/>
      </c>
      <c r="J296" s="14">
        <f>I296-58</f>
        <v/>
      </c>
      <c r="K296" s="14">
        <f>MAX(0,J296)</f>
        <v/>
      </c>
      <c r="L296" s="14">
        <f>MAX(0,-J296)</f>
        <v/>
      </c>
      <c r="M296" s="14">
        <f>M295+I296</f>
        <v/>
      </c>
      <c r="N296" s="14">
        <f>D296+F296-E296</f>
        <v/>
      </c>
      <c r="O296" s="13" t="inlineStr">
        <is>
          <t>能力超目标：四轮定位上、下、ARHUD+慢充</t>
        </is>
      </c>
      <c r="P296" s="13" t="inlineStr">
        <is>
          <t>ST1 引取(开:19119.0s 加:56.0s 等前:2067.0s 等后:0.0s) | ST2 集约(开:19175.0s 加:111.0s 等前:0.0s 等后:0.0s) | ST3 空气悬挂+快充(开:19286.0s 加:108.5s 等前:0.0s 等后:0.0s) | ST4 四轮定位上、下(开:19394.5s 加:120.5s 等前:0.0s 等后:20.0s) | ST5 ADAS(开:19535.0s 加:107.0s 等前:0.0s 等后:7.5s) | ST6 ARHUD+慢充(开:19649.5s 加:143.5s 等前:0.0s 等后:0.0s) | ST7 转毂(开:19793.0s 加:114.5s 等前:0.0s 等后:0.0s) | ST8 制动(开:19907.5s 加:114.0s 等前:0.0s 等后:0.0s) | ST9 EG漏液/底盘漏液(开:20021.5s 加:112.5s 等前:0.0s 等后:0.0s) | ST10 全景/空调检查(开:20134.0s 加:0.0s 等前:0.0s 等后:0.0s) | ST11 气囊安装+绝缘(开:20134.0s 加:116.0s 等前:0.0s 等后:0.0s) | ST12 L2++(开:20250.0s 加:88.0s 等前:0.0s 等后:0.0s) | ST13 电检1(开:20338.0s 加:84.5s 等前:0.0s 等后:0.0s) | ST14 电检2(开:20422.5s 加:97.5s 等前:0.0s 等后:0.0s) | ST15 小跑道(开:20520.0s 加:50.0s 等前:0.0s 等后:0.0s)</t>
        </is>
      </c>
    </row>
    <row r="297">
      <c r="A297" s="15" t="n">
        <v>296</v>
      </c>
      <c r="B297" s="15" t="inlineStr">
        <is>
          <t>Car#296</t>
        </is>
      </c>
      <c r="C297" s="15" t="inlineStr">
        <is>
          <t>C</t>
        </is>
      </c>
      <c r="D297" s="16" t="n">
        <v>19175</v>
      </c>
      <c r="E297" s="16" t="n">
        <v>20642.5</v>
      </c>
      <c r="F297" s="16" t="n">
        <v>1467.5</v>
      </c>
      <c r="G297" s="16" t="n">
        <v>2109</v>
      </c>
      <c r="H297" s="15" t="inlineStr">
        <is>
          <t>Car#295</t>
        </is>
      </c>
      <c r="I297" s="16">
        <f>E297-E296</f>
        <v/>
      </c>
      <c r="J297" s="16">
        <f>I297-58</f>
        <v/>
      </c>
      <c r="K297" s="16">
        <f>MAX(0,J297)</f>
        <v/>
      </c>
      <c r="L297" s="16">
        <f>MAX(0,-J297)</f>
        <v/>
      </c>
      <c r="M297" s="16">
        <f>M296+I297</f>
        <v/>
      </c>
      <c r="N297" s="16">
        <f>D297+F297-E297</f>
        <v/>
      </c>
      <c r="O297" s="15" t="inlineStr">
        <is>
          <t>能力超目标：四轮定位上、下、ARHUD+慢充</t>
        </is>
      </c>
      <c r="P297" s="15" t="inlineStr">
        <is>
          <t>ST1 引取(开:19175.0s 加:56.0s 等前:2065.0s 等后:8.5s) | ST2 集约(开:19239.5s 加:111.0s 等前:0.0s 等后:4.0s) | ST3 空气悬挂+快充(开:19354.5s 加:108.5s 等前:0.0s 等后:28.5s) | ST4 四轮定位上、下(开:19491.5s 加:120.5s 等前:0.0s 等后:0.0s) | ST5 ADAS(开:19612.0s 加:107.0s 等前:0.0s 等后:3.0s) | ST6 ARHUD+慢充(开:19722.0s 加:143.5s 等前:0.0s 等后:0.0s) | ST7 转毂(开:19865.5s 加:114.5s 等前:0.0s 等后:0.0s) | ST8 制动(开:19980.0s 加:114.0s 等前:0.0s 等后:0.0s) | ST9 EG漏液/底盘漏液(开:20094.0s 加:112.5s 等前:0.0s 等后:0.0s) | ST10 全景/空调检查(开:20206.5s 加:0.0s 等前:0.0s 等后:0.0s) | ST11 气囊安装+绝缘(开:20206.5s 加:116.0s 等前:0.0s 等后:0.0s) | ST12 L2++(开:20322.5s 加:88.0s 等前:0.0s 等后:0.0s) | ST13 电检1(开:20410.5s 加:84.5s 等前:0.0s 等后:0.0s) | ST14 电检2(开:20495.0s 加:97.5s 等前:0.0s 等后:0.0s) | ST15 小跑道(开:20592.5s 加:50.0s 等前:0.0s 等后:0.0s)</t>
        </is>
      </c>
    </row>
    <row r="298">
      <c r="A298" s="13" t="n">
        <v>297</v>
      </c>
      <c r="B298" s="13" t="inlineStr">
        <is>
          <t>Car#297</t>
        </is>
      </c>
      <c r="C298" s="13" t="inlineStr">
        <is>
          <t>B</t>
        </is>
      </c>
      <c r="D298" s="14" t="n">
        <v>19239.5</v>
      </c>
      <c r="E298" s="14" t="n">
        <v>20692.5</v>
      </c>
      <c r="F298" s="14" t="n">
        <v>1453</v>
      </c>
      <c r="G298" s="14" t="n">
        <v>2193</v>
      </c>
      <c r="H298" s="13" t="inlineStr">
        <is>
          <t>Car#296</t>
        </is>
      </c>
      <c r="I298" s="14">
        <f>E298-E297</f>
        <v/>
      </c>
      <c r="J298" s="14">
        <f>I298-58</f>
        <v/>
      </c>
      <c r="K298" s="14">
        <f>MAX(0,J298)</f>
        <v/>
      </c>
      <c r="L298" s="14">
        <f>MAX(0,-J298)</f>
        <v/>
      </c>
      <c r="M298" s="14">
        <f>M297+I298</f>
        <v/>
      </c>
      <c r="N298" s="14">
        <f>D298+F298-E298</f>
        <v/>
      </c>
      <c r="O298" s="13" t="inlineStr">
        <is>
          <t>能力超目标：四轮定位上、下</t>
        </is>
      </c>
      <c r="P298" s="13" t="inlineStr">
        <is>
          <t>ST1 引取(开:19239.5s 加:56.0s 等前:2071.5s 等后:0.0s) | ST2 集约(开:19295.5s 加:111.0s 等前:0.0s 等后:0.0s) | ST3 空气悬挂+快充(开:19406.5s 加:108.5s 等前:0.0s 等后:20.0s) | ST4 四轮定位上、下(开:19535.0s 加:120.5s 等前:0.0s 等后:0.0s) | ST5 ADAS(开:19655.5s 加:107.0s 等前:0.0s 等后:30.5s) | ST6 ARHUD+慢充(开:19793.0s 加:51.5s 等前:0.0s 等后:63.0s) | ST7 转毂(开:19907.5s 加:114.5s 等前:0.0s 等后:0.0s) | ST8 制动(开:20022.0s 加:114.0s 等前:0.0s 等后:0.0s) | ST9 EG漏液/底盘漏液(开:20136.0s 加:112.5s 等前:0.0s 等后:0.0s) | ST10 全景/空调检查(开:20248.5s 加:0.0s 等前:0.0s 等后:1.5s) | ST11 气囊安装+绝缘(开:20250.0s 加:116.0s 等前:0.0s 等后:0.0s) | ST12 L2++(开:20366.0s 加:88.0s 等前:0.0s 等后:0.0s) | ST13 电检1(开:20454.0s 加:84.5s 等前:0.0s 等后:0.0s) | ST14 电检2(开:20538.5s 加:97.5s 等前:0.0s 等后:6.5s) | ST15 小跑道(开:20642.5s 加:50.0s 等前:0.0s 等后:0.0s)</t>
        </is>
      </c>
    </row>
    <row r="299">
      <c r="A299" s="15" t="n">
        <v>298</v>
      </c>
      <c r="B299" s="15" t="inlineStr">
        <is>
          <t>Car#298</t>
        </is>
      </c>
      <c r="C299" s="15" t="inlineStr">
        <is>
          <t>B</t>
        </is>
      </c>
      <c r="D299" s="16" t="n">
        <v>19295.5</v>
      </c>
      <c r="E299" s="16" t="n">
        <v>20758.5</v>
      </c>
      <c r="F299" s="16" t="n">
        <v>1463</v>
      </c>
      <c r="G299" s="16" t="n">
        <v>2201</v>
      </c>
      <c r="H299" s="15" t="inlineStr">
        <is>
          <t>Car#297</t>
        </is>
      </c>
      <c r="I299" s="16">
        <f>E299-E298</f>
        <v/>
      </c>
      <c r="J299" s="16">
        <f>I299-58</f>
        <v/>
      </c>
      <c r="K299" s="16">
        <f>MAX(0,J299)</f>
        <v/>
      </c>
      <c r="L299" s="16">
        <f>MAX(0,-J299)</f>
        <v/>
      </c>
      <c r="M299" s="16">
        <f>M298+I299</f>
        <v/>
      </c>
      <c r="N299" s="16">
        <f>D299+F299-E299</f>
        <v/>
      </c>
      <c r="O299" s="15" t="inlineStr">
        <is>
          <t>能力超目标：四轮定位上、下</t>
        </is>
      </c>
      <c r="P299" s="15" t="inlineStr">
        <is>
          <t>ST1 引取(开:19295.5s 加:56.0s 等前:2069.5s 等后:3.0s) | ST2 集约(开:19354.5s 加:111.0s 等前:0.0s 等后:26.0s) | ST3 空气悬挂+快充(开:19491.5s 加:108.5s 等前:0.0s 等后:12.0s) | ST4 四轮定位上、下(开:19612.0s 加:120.5s 等前:0.0s 等后:0.0s) | ST5 ADAS(开:19732.5s 加:107.0s 等前:0.0s 等后:26.0s) | ST6 ARHUD+慢充(开:19865.5s 加:51.5s 等前:0.0s 等后:63.0s) | ST7 转毂(开:19980.0s 加:114.5s 等前:0.0s 等后:0.0s) | ST8 制动(开:20094.5s 加:114.0s 等前:0.0s 等后:0.0s) | ST9 EG漏液/底盘漏液(开:20208.5s 加:112.5s 等前:0.0s 等后:0.0s) | ST10 全景/空调检查(开:20321.0s 加:0.0s 等前:0.0s 等后:1.5s) | ST11 气囊安装+绝缘(开:20322.5s 加:116.0s 等前:0.0s 等后:0.0s) | ST12 L2++(开:20438.5s 加:88.0s 等前:0.0s 等后:0.0s) | ST13 电检1(开:20526.5s 加:84.5s 等前:0.0s 等后:0.0s) | ST14 电检2(开:20611.0s 加:97.5s 等前:0.0s 等后:0.0s) | ST15 小跑道(开:20708.5s 加:50.0s 等前:0.0s 等后:0.0s)</t>
        </is>
      </c>
    </row>
    <row r="300">
      <c r="A300" s="13" t="n">
        <v>299</v>
      </c>
      <c r="B300" s="13" t="inlineStr">
        <is>
          <t>Car#299</t>
        </is>
      </c>
      <c r="C300" s="13" t="inlineStr">
        <is>
          <t>C</t>
        </is>
      </c>
      <c r="D300" s="14" t="n">
        <v>19354.5</v>
      </c>
      <c r="E300" s="14" t="n">
        <v>20828</v>
      </c>
      <c r="F300" s="14" t="n">
        <v>1473.5</v>
      </c>
      <c r="G300" s="14" t="n">
        <v>2120.5</v>
      </c>
      <c r="H300" s="13" t="inlineStr">
        <is>
          <t>Car#298</t>
        </is>
      </c>
      <c r="I300" s="14">
        <f>E300-E299</f>
        <v/>
      </c>
      <c r="J300" s="14">
        <f>I300-58</f>
        <v/>
      </c>
      <c r="K300" s="14">
        <f>MAX(0,J300)</f>
        <v/>
      </c>
      <c r="L300" s="14">
        <f>MAX(0,-J300)</f>
        <v/>
      </c>
      <c r="M300" s="14">
        <f>M299+I300</f>
        <v/>
      </c>
      <c r="N300" s="14">
        <f>D300+F300-E300</f>
        <v/>
      </c>
      <c r="O300" s="13" t="inlineStr">
        <is>
          <t>能力超目标：四轮定位上、下、ARHUD+慢充</t>
        </is>
      </c>
      <c r="P300" s="13" t="inlineStr">
        <is>
          <t>ST1 引取(开:19354.5s 加:56.0s 等前:2070.5s 等后:0.0s) | ST2 集约(开:19410.5s 加:111.0s 等前:0.0s 等后:13.5s) | ST3 空气悬挂+快充(开:19535.0s 加:108.5s 等前:0.0s 等后:12.0s) | ST4 四轮定位上、下(开:19655.5s 加:120.5s 等前:0.0s 等后:17.0s) | ST5 ADAS(开:19793.0s 加:107.0s 等前:0.0s 等后:7.5s) | ST6 ARHUD+慢充(开:19907.5s 加:143.5s 等前:0.0s 等后:0.0s) | ST7 转毂(开:20051.0s 加:114.5s 等前:0.0s 等后:0.0s) | ST8 制动(开:20165.5s 加:114.0s 等前:0.0s 等后:0.0s) | ST9 EG漏液/底盘漏液(开:20279.5s 加:112.5s 等前:0.0s 等后:0.0s) | ST10 全景/空调检查(开:20392.0s 加:0.0s 等前:0.0s 等后:0.0s) | ST11 气囊安装+绝缘(开:20392.0s 加:116.0s 等前:0.0s 等后:0.0s) | ST12 L2++(开:20508.0s 加:88.0s 等前:0.0s 等后:0.0s) | ST13 电检1(开:20596.0s 加:84.5s 等前:0.0s 等后:0.0s) | ST14 电检2(开:20680.5s 加:97.5s 等前:0.0s 等后:0.0s) | ST15 小跑道(开:20778.0s 加:50.0s 等前:0.0s 等后:0.0s)</t>
        </is>
      </c>
    </row>
    <row r="301">
      <c r="A301" s="15" t="n">
        <v>300</v>
      </c>
      <c r="B301" s="15" t="inlineStr">
        <is>
          <t>Car#300</t>
        </is>
      </c>
      <c r="C301" s="15" t="inlineStr">
        <is>
          <t>C</t>
        </is>
      </c>
      <c r="D301" s="16" t="n">
        <v>19410.5</v>
      </c>
      <c r="E301" s="16" t="n">
        <v>20900.5</v>
      </c>
      <c r="F301" s="16" t="n">
        <v>1490</v>
      </c>
      <c r="G301" s="16" t="n">
        <v>2135</v>
      </c>
      <c r="H301" s="15" t="inlineStr">
        <is>
          <t>Car#299</t>
        </is>
      </c>
      <c r="I301" s="16">
        <f>E301-E300</f>
        <v/>
      </c>
      <c r="J301" s="16">
        <f>I301-58</f>
        <v/>
      </c>
      <c r="K301" s="16">
        <f>MAX(0,J301)</f>
        <v/>
      </c>
      <c r="L301" s="16">
        <f>MAX(0,-J301)</f>
        <v/>
      </c>
      <c r="M301" s="16">
        <f>M300+I301</f>
        <v/>
      </c>
      <c r="N301" s="16">
        <f>D301+F301-E301</f>
        <v/>
      </c>
      <c r="O301" s="15" t="inlineStr">
        <is>
          <t>能力超目标：四轮定位上、下、ARHUD+慢充</t>
        </is>
      </c>
      <c r="P301" s="15" t="inlineStr">
        <is>
          <t>ST1 引取(开:19410.5s 加:56.0s 等前:2068.5s 等后:25.0s) | ST2 集约(开:19491.5s 加:111.0s 等前:0.0s 等后:9.5s) | ST3 空气悬挂+快充(开:19612.0s 加:108.5s 等前:0.0s 等后:12.0s) | ST4 四轮定位上、下(开:19732.5s 加:120.5s 等前:0.0s 等后:12.5s) | ST5 ADAS(开:19865.5s 加:107.0s 等前:0.0s 等后:7.5s) | ST6 ARHUD+慢充(开:19980.0s 加:143.5s 等前:0.0s 等后:0.0s) | ST7 转毂(开:20123.5s 加:114.5s 等前:0.0s 等后:0.0s) | ST8 制动(开:20238.0s 加:114.0s 等前:0.0s 等后:0.0s) | ST9 EG漏液/底盘漏液(开:20352.0s 加:112.5s 等前:0.0s 等后:0.0s) | ST10 全景/空调检查(开:20464.5s 加:0.0s 等前:0.0s 等后:0.0s) | ST11 气囊安装+绝缘(开:20464.5s 加:116.0s 等前:0.0s 等后:0.0s) | ST12 L2++(开:20580.5s 加:88.0s 等前:0.0s 等后:0.0s) | ST13 电检1(开:20668.5s 加:84.5s 等前:0.0s 等后:0.0s) | ST14 电检2(开:20753.0s 加:97.5s 等前:0.0s 等后:0.0s) | ST15 小跑道(开:20850.5s 加:50.0s 等前:0.0s 等后:0.0s)</t>
        </is>
      </c>
    </row>
    <row r="302">
      <c r="A302" s="13" t="n">
        <v>301</v>
      </c>
      <c r="B302" s="13" t="inlineStr">
        <is>
          <t>Car#301</t>
        </is>
      </c>
      <c r="C302" s="13" t="inlineStr">
        <is>
          <t>C</t>
        </is>
      </c>
      <c r="D302" s="14" t="n">
        <v>19491.5</v>
      </c>
      <c r="E302" s="14" t="n">
        <v>20971.5</v>
      </c>
      <c r="F302" s="14" t="n">
        <v>1480</v>
      </c>
      <c r="G302" s="14" t="n">
        <v>2148</v>
      </c>
      <c r="H302" s="13" t="inlineStr">
        <is>
          <t>Car#300</t>
        </is>
      </c>
      <c r="I302" s="14">
        <f>E302-E301</f>
        <v/>
      </c>
      <c r="J302" s="14">
        <f>I302-58</f>
        <v/>
      </c>
      <c r="K302" s="14">
        <f>MAX(0,J302)</f>
        <v/>
      </c>
      <c r="L302" s="14">
        <f>MAX(0,-J302)</f>
        <v/>
      </c>
      <c r="M302" s="14">
        <f>M301+I302</f>
        <v/>
      </c>
      <c r="N302" s="14">
        <f>D302+F302-E302</f>
        <v/>
      </c>
      <c r="O302" s="13" t="inlineStr">
        <is>
          <t>能力超目标：四轮定位上、下、ARHUD+慢充</t>
        </is>
      </c>
      <c r="P302" s="13" t="inlineStr">
        <is>
          <t>ST1 引取(开:19491.5s 加:56.0s 等前:2091.5s 等后:0.0s) | ST2 集约(开:19547.5s 加:111.0s 等前:0.0s 等后:0.0s) | ST3 空气悬挂+快充(开:19658.5s 加:108.5s 等前:0.0s 等后:26.0s) | ST4 四轮定位上、下(开:19793.0s 加:120.5s 等前:0.0s 等后:0.0s) | ST5 ADAS(开:19913.5s 加:107.0s 等前:0.0s 等后:30.5s) | ST6 ARHUD+慢充(开:20051.0s 加:143.5s 等前:0.0s 等后:0.0s) | ST7 转毂(开:20194.5s 加:114.5s 等前:0.0s 等后:0.0s) | ST8 制动(开:20309.0s 加:114.0s 等前:0.0s 等后:0.0s) | ST9 EG漏液/底盘漏液(开:20423.0s 加:112.5s 等前:0.0s 等后:0.0s) | ST10 全景/空调检查(开:20535.5s 加:0.0s 等前:0.0s 等后:0.0s) | ST11 气囊安装+绝缘(开:20535.5s 加:116.0s 等前:0.0s 等后:0.0s) | ST12 L2++(开:20651.5s 加:88.0s 等前:0.0s 等后:0.0s) | ST13 电检1(开:20739.5s 加:84.5s 等前:0.0s 等后:0.0s) | ST14 电检2(开:20824.0s 加:97.5s 等前:0.0s 等后:0.0s) | ST15 小跑道(开:20921.5s 加:50.0s 等前:0.0s 等后:0.0s)</t>
        </is>
      </c>
    </row>
    <row r="303">
      <c r="A303" s="15" t="n">
        <v>302</v>
      </c>
      <c r="B303" s="15" t="inlineStr">
        <is>
          <t>Car#302</t>
        </is>
      </c>
      <c r="C303" s="15" t="inlineStr">
        <is>
          <t>C</t>
        </is>
      </c>
      <c r="D303" s="16" t="n">
        <v>19547.5</v>
      </c>
      <c r="E303" s="16" t="n">
        <v>21044</v>
      </c>
      <c r="F303" s="16" t="n">
        <v>1496.5</v>
      </c>
      <c r="G303" s="16" t="n">
        <v>2162.5</v>
      </c>
      <c r="H303" s="15" t="inlineStr">
        <is>
          <t>Car#301</t>
        </is>
      </c>
      <c r="I303" s="16">
        <f>E303-E302</f>
        <v/>
      </c>
      <c r="J303" s="16">
        <f>I303-58</f>
        <v/>
      </c>
      <c r="K303" s="16">
        <f>MAX(0,J303)</f>
        <v/>
      </c>
      <c r="L303" s="16">
        <f>MAX(0,-J303)</f>
        <v/>
      </c>
      <c r="M303" s="16">
        <f>M302+I303</f>
        <v/>
      </c>
      <c r="N303" s="16">
        <f>D303+F303-E303</f>
        <v/>
      </c>
      <c r="O303" s="15" t="inlineStr">
        <is>
          <t>能力超目标：四轮定位上、下、ARHUD+慢充</t>
        </is>
      </c>
      <c r="P303" s="15" t="inlineStr">
        <is>
          <t>ST1 引取(开:19547.5s 加:56.0s 等前:2089.5s 等后:8.5s) | ST2 集约(开:19612.0s 加:111.0s 等前:0.0s 等后:9.5s) | ST3 空气悬挂+快充(开:19732.5s 加:108.5s 等前:0.0s 等后:24.5s) | ST4 四轮定位上、下(开:19865.5s 加:120.5s 等前:0.0s 等后:0.0s) | ST5 ADAS(开:19986.0s 加:107.0s 等前:0.0s 等后:30.5s) | ST6 ARHUD+慢充(开:20123.5s 加:143.5s 等前:0.0s 等后:0.0s) | ST7 转毂(开:20267.0s 加:114.5s 等前:0.0s 等后:0.0s) | ST8 制动(开:20381.5s 加:114.0s 等前:0.0s 等后:0.0s) | ST9 EG漏液/底盘漏液(开:20495.5s 加:112.5s 等前:0.0s 等后:0.0s) | ST10 全景/空调检查(开:20608.0s 加:0.0s 等前:0.0s 等后:0.0s) | ST11 气囊安装+绝缘(开:20608.0s 加:116.0s 等前:0.0s 等后:0.0s) | ST12 L2++(开:20724.0s 加:88.0s 等前:0.0s 等后:0.0s) | ST13 电检1(开:20812.0s 加:84.5s 等前:0.0s 等后:0.0s) | ST14 电检2(开:20896.5s 加:97.5s 等前:0.0s 等后:0.0s) | ST15 小跑道(开:20994.0s 加:50.0s 等前:0.0s 等后:0.0s)</t>
        </is>
      </c>
    </row>
    <row r="304">
      <c r="A304" s="13" t="n">
        <v>303</v>
      </c>
      <c r="B304" s="13" t="inlineStr">
        <is>
          <t>Car#304</t>
        </is>
      </c>
      <c r="C304" s="13" t="inlineStr">
        <is>
          <t>A</t>
        </is>
      </c>
      <c r="D304" s="14" t="n">
        <v>19668</v>
      </c>
      <c r="E304" s="14" t="n">
        <v>21095</v>
      </c>
      <c r="F304" s="14" t="n">
        <v>1427</v>
      </c>
      <c r="G304" s="14" t="n">
        <v>2660</v>
      </c>
      <c r="H304" s="13" t="inlineStr">
        <is>
          <t>Car#302</t>
        </is>
      </c>
      <c r="I304" s="14">
        <f>E304-E303</f>
        <v/>
      </c>
      <c r="J304" s="14">
        <f>I304-58</f>
        <v/>
      </c>
      <c r="K304" s="14">
        <f>MAX(0,J304)</f>
        <v/>
      </c>
      <c r="L304" s="14">
        <f>MAX(0,-J304)</f>
        <v/>
      </c>
      <c r="M304" s="14">
        <f>M303+I304</f>
        <v/>
      </c>
      <c r="N304" s="14">
        <f>D304+F304-E304</f>
        <v/>
      </c>
      <c r="O304" s="13" t="inlineStr">
        <is>
          <t>能力满足</t>
        </is>
      </c>
      <c r="P304" s="13" t="inlineStr">
        <is>
          <t>ST1 引取(开:19668.0s 加:55.0s 等前:2094.0s 等后:9.5s) | ST2 集约(开:19732.5s 加:106.0s 等前:0.0s 等后:27.0s) | ST3 空气悬挂+快充(开:19865.5s 加:0.0s 等前:0.0s 等后:120.5s) | ST4 四轮定位上、下(开:19986.0s 加:115.0s 等前:0.0s 等后:22.5s) | ST5 ADAS(开:20123.5s 加:97.0s 等前:0.0s 等后:46.5s) | ST6 ARHUD+慢充(开:20267.0s 加:0.0s 等前:0.0s 等后:114.5s) | ST7 转毂(开:20381.5s 加:116.0s 等前:0.0s 等后:0.0s) | ST8 制动(开:20497.5s 加:108.0s 等前:0.0s 等后:2.5s) | ST9 EG漏液/底盘漏液(开:20608.0s 加:115.0s 等前:0.0s 等后:0.0s) | ST10 全景/空调检查(开:20723.0s 加:98.0s 等前:0.0s 等后:0.0s) | ST11 气囊安装+绝缘(开:20821.0s 加:0.0s 等前:0.0s 等后:0.0s) | ST12 L2++(开:20821.0s 加:0.0s 等前:0.0s 等后:75.5s) | ST13 电检1(开:20896.5s 加:0.0s 等前:0.0s 等后:97.5s) | ST14 电检2(开:20994.0s 加:0.0s 等前:0.0s 等后:50.0s) | ST15 小跑道(开:21044.0s 加:51.0s 等前:0.0s 等后:0.0s)</t>
        </is>
      </c>
    </row>
    <row r="305">
      <c r="A305" s="15" t="n">
        <v>304</v>
      </c>
      <c r="B305" s="15" t="inlineStr">
        <is>
          <t>Car#303</t>
        </is>
      </c>
      <c r="C305" s="15" t="inlineStr">
        <is>
          <t>C</t>
        </is>
      </c>
      <c r="D305" s="16" t="n">
        <v>19612</v>
      </c>
      <c r="E305" s="16" t="n">
        <v>21145</v>
      </c>
      <c r="F305" s="16" t="n">
        <v>1533</v>
      </c>
      <c r="G305" s="16" t="n">
        <v>2205.5</v>
      </c>
      <c r="H305" s="15" t="inlineStr">
        <is>
          <t>Car#304</t>
        </is>
      </c>
      <c r="I305" s="16">
        <f>E305-E304</f>
        <v/>
      </c>
      <c r="J305" s="16">
        <f>I305-58</f>
        <v/>
      </c>
      <c r="K305" s="16">
        <f>MAX(0,J305)</f>
        <v/>
      </c>
      <c r="L305" s="16">
        <f>MAX(0,-J305)</f>
        <v/>
      </c>
      <c r="M305" s="16">
        <f>M304+I305</f>
        <v/>
      </c>
      <c r="N305" s="16">
        <f>D305+F305-E305</f>
        <v/>
      </c>
      <c r="O305" s="15" t="inlineStr">
        <is>
          <t>能力超目标：四轮定位上、下、ARHUD+慢充</t>
        </is>
      </c>
      <c r="P305" s="15" t="inlineStr">
        <is>
          <t>ST1 引取(开:19612.0s 加:56.0s 等前:2096.0s 等后:0.0s) | ST2 集约(开:19668.0s 加:111.0s 等前:0.0s 等后:14.0s) | ST3 空气悬挂+快充(开:19793.0s 加:108.5s 等前:0.0s 等后:12.0s) | ST4 四轮定位上、下(开:19913.5s 加:120.5s 等前:0.0s 等后:17.0s) | ST5 ADAS(开:20051.0s 加:107.0s 等前:0.0s 等后:36.5s) | ST6 ARHUD+慢充(开:20194.5s 加:143.5s 等前:0.0s 等后:0.0s) | ST7 转毂(开:20338.0s 加:114.5s 等前:0.0s 等后:0.0s) | ST8 制动(开:20452.5s 加:114.0s 等前:0.0s 等后:0.0s) | ST9 EG漏液/底盘漏液(开:20566.5s 加:112.5s 等前:0.0s 等后:0.0s) | ST10 全景/空调检查(开:20679.0s 加:0.0s 等前:0.0s 等后:0.0s) | ST11 气囊安装+绝缘(开:20679.0s 加:116.0s 等前:0.0s 等后:0.0s) | ST12 L2++(开:20795.0s 加:88.0s 等前:0.0s 等后:0.0s) | ST13 电检1(开:20883.0s 加:84.5s 等前:0.0s 等后:0.0s) | ST14 电检2(开:20967.5s 加:97.5s 等前:0.0s 等后:30.0s) | ST15 小跑道(开:21095.0s 加:50.0s 等前:0.0s 等后:0.0s)</t>
        </is>
      </c>
    </row>
    <row r="306">
      <c r="A306" s="13" t="n">
        <v>305</v>
      </c>
      <c r="B306" s="13" t="inlineStr">
        <is>
          <t>Car#305</t>
        </is>
      </c>
      <c r="C306" s="13" t="inlineStr">
        <is>
          <t>B</t>
        </is>
      </c>
      <c r="D306" s="14" t="n">
        <v>19732.5</v>
      </c>
      <c r="E306" s="14" t="n">
        <v>21242.5</v>
      </c>
      <c r="F306" s="14" t="n">
        <v>1510</v>
      </c>
      <c r="G306" s="14" t="n">
        <v>2279</v>
      </c>
      <c r="H306" s="13" t="inlineStr">
        <is>
          <t>Car#303</t>
        </is>
      </c>
      <c r="I306" s="14">
        <f>E306-E305</f>
        <v/>
      </c>
      <c r="J306" s="14">
        <f>I306-58</f>
        <v/>
      </c>
      <c r="K306" s="14">
        <f>MAX(0,J306)</f>
        <v/>
      </c>
      <c r="L306" s="14">
        <f>MAX(0,-J306)</f>
        <v/>
      </c>
      <c r="M306" s="14">
        <f>M305+I306</f>
        <v/>
      </c>
      <c r="N306" s="14">
        <f>D306+F306-E306</f>
        <v/>
      </c>
      <c r="O306" s="13" t="inlineStr">
        <is>
          <t>能力超目标：四轮定位上、下</t>
        </is>
      </c>
      <c r="P306" s="13" t="inlineStr">
        <is>
          <t>ST1 引取(开:19732.5s 加:56.0s 等前:2100.5s 等后:4.5s) | ST2 集约(开:19793.0s 加:111.0s 等前:0.0s 等后:9.5s) | ST3 空气悬挂+快充(开:19913.5s 加:108.5s 等前:0.0s 等后:29.0s) | ST4 四轮定位上、下(开:20051.0s 加:120.5s 等前:0.0s 等后:23.0s) | ST5 ADAS(开:20194.5s 加:107.0s 等前:0.0s 等后:36.5s) | ST6 ARHUD+慢充(开:20338.0s 加:51.5s 等前:0.0s 等后:63.0s) | ST7 转毂(开:20452.5s 加:114.5s 等前:0.0s 等后:0.0s) | ST8 制动(开:20567.0s 加:114.0s 等前:0.0s 等后:0.0s) | ST9 EG漏液/底盘漏液(开:20681.0s 加:112.5s 等前:0.0s 等后:0.0s) | ST10 全景/空调检查(开:20793.5s 加:0.0s 等前:0.0s 等后:1.5s) | ST11 气囊安装+绝缘(开:20795.0s 加:116.0s 等前:0.0s 等后:0.0s) | ST12 L2++(开:20911.0s 加:88.0s 等前:0.0s 等后:0.0s) | ST13 电检1(开:20999.0s 加:84.5s 等前:0.0s 等后:11.5s) | ST14 电检2(开:21095.0s 加:97.5s 等前:0.0s 等后:0.0s) | ST15 小跑道(开:21192.5s 加:50.0s 等前:0.0s 等后:0.0s)</t>
        </is>
      </c>
    </row>
    <row r="307">
      <c r="A307" s="15" t="n">
        <v>306</v>
      </c>
      <c r="B307" s="15" t="inlineStr">
        <is>
          <t>Car#306</t>
        </is>
      </c>
      <c r="C307" s="15" t="inlineStr">
        <is>
          <t>B</t>
        </is>
      </c>
      <c r="D307" s="16" t="n">
        <v>19793</v>
      </c>
      <c r="E307" s="16" t="n">
        <v>21292.5</v>
      </c>
      <c r="F307" s="16" t="n">
        <v>1499.5</v>
      </c>
      <c r="G307" s="16" t="n">
        <v>2271</v>
      </c>
      <c r="H307" s="15" t="inlineStr">
        <is>
          <t>Car#305</t>
        </is>
      </c>
      <c r="I307" s="16">
        <f>E307-E306</f>
        <v/>
      </c>
      <c r="J307" s="16">
        <f>I307-58</f>
        <v/>
      </c>
      <c r="K307" s="16">
        <f>MAX(0,J307)</f>
        <v/>
      </c>
      <c r="L307" s="16">
        <f>MAX(0,-J307)</f>
        <v/>
      </c>
      <c r="M307" s="16">
        <f>M306+I307</f>
        <v/>
      </c>
      <c r="N307" s="16">
        <f>D307+F307-E307</f>
        <v/>
      </c>
      <c r="O307" s="15" t="inlineStr">
        <is>
          <t>能力超目标：四轮定位上、下</t>
        </is>
      </c>
      <c r="P307" s="15" t="inlineStr">
        <is>
          <t>ST1 引取(开:19793.0s 加:56.0s 等前:2103.0s 等后:16.5s) | ST2 集约(开:19865.5s 加:111.0s 等前:0.0s 等后:9.5s) | ST3 空气悬挂+快充(开:19986.0s 加:108.5s 等前:0.0s 等后:29.0s) | ST4 四轮定位上、下(开:20123.5s 加:120.5s 等前:0.0s 等后:23.0s) | ST5 ADAS(开:20267.0s 加:107.0s 等前:0.0s 等后:7.5s) | ST6 ARHUD+慢充(开:20381.5s 加:51.5s 等前:0.0s 等后:64.5s) | ST7 转毂(开:20497.5s 加:114.5s 等前:0.0s 等后:0.0s) | ST8 制动(开:20612.0s 加:114.0s 等前:0.0s 等后:0.0s) | ST9 EG漏液/底盘漏液(开:20726.0s 加:112.5s 等前:0.0s 等后:0.0s) | ST10 全景/空调检查(开:20838.5s 加:0.0s 等前:0.0s 等后:0.0s) | ST11 气囊安装+绝缘(开:20838.5s 加:116.0s 等前:0.0s 等后:0.0s) | ST12 L2++(开:20954.5s 加:88.0s 等前:0.0s 等后:0.0s) | ST13 电检1(开:21042.5s 加:84.5s 等前:0.0s 等后:0.0s) | ST14 电检2(开:21127.0s 加:97.5s 等前:0.0s 等后:18.0s) | ST15 小跑道(开:21242.5s 加:50.0s 等前:0.0s 等后:0.0s)</t>
        </is>
      </c>
    </row>
    <row r="308">
      <c r="A308" s="13" t="n">
        <v>307</v>
      </c>
      <c r="B308" s="13" t="inlineStr">
        <is>
          <t>Car#308</t>
        </is>
      </c>
      <c r="C308" s="13" t="inlineStr">
        <is>
          <t>A</t>
        </is>
      </c>
      <c r="D308" s="14" t="n">
        <v>19921.5</v>
      </c>
      <c r="E308" s="14" t="n">
        <v>21343.5</v>
      </c>
      <c r="F308" s="14" t="n">
        <v>1422</v>
      </c>
      <c r="G308" s="14" t="n">
        <v>2676.5</v>
      </c>
      <c r="H308" s="13" t="inlineStr">
        <is>
          <t>Car#306</t>
        </is>
      </c>
      <c r="I308" s="14">
        <f>E308-E307</f>
        <v/>
      </c>
      <c r="J308" s="14">
        <f>I308-58</f>
        <v/>
      </c>
      <c r="K308" s="14">
        <f>MAX(0,J308)</f>
        <v/>
      </c>
      <c r="L308" s="14">
        <f>MAX(0,-J308)</f>
        <v/>
      </c>
      <c r="M308" s="14">
        <f>M307+I308</f>
        <v/>
      </c>
      <c r="N308" s="14">
        <f>D308+F308-E308</f>
        <v/>
      </c>
      <c r="O308" s="13" t="inlineStr">
        <is>
          <t>能力满足</t>
        </is>
      </c>
      <c r="P308" s="13" t="inlineStr">
        <is>
          <t>ST1 引取(开:19921.5s 加:55.0s 等前:2115.5s 等后:9.5s) | ST2 集约(开:19986.0s 加:106.0s 等前:0.0s 等后:31.5s) | ST3 空气悬挂+快充(开:20123.5s 加:0.0s 等前:0.0s 等后:143.5s) | ST4 四轮定位上、下(开:20267.0s 加:115.0s 等前:0.0s 等后:0.0s) | ST5 ADAS(开:20382.0s 加:97.0s 等前:0.0s 等后:18.5s) | ST6 ARHUD+慢充(开:20497.5s 加:0.0s 等前:0.0s 等后:114.5s) | ST7 转毂(开:20612.0s 加:116.0s 等前:0.0s 等后:0.0s) | ST8 制动(开:20728.0s 加:108.0s 等前:0.0s 等后:2.5s) | ST9 EG漏液/底盘漏液(开:20838.5s 加:115.0s 等前:0.0s 等后:0.0s) | ST10 全景/空调检查(开:20953.5s 加:98.0s 等前:0.0s 等后:0.0s) | ST11 气囊安装+绝缘(开:21051.5s 加:0.0s 等前:0.0s 等后:0.0s) | ST12 L2++(开:21051.5s 加:0.0s 等前:0.0s 等后:75.5s) | ST13 电检1(开:21127.0s 加:0.0s 等前:0.0s 等后:115.5s) | ST14 电检2(开:21242.5s 加:0.0s 等前:0.0s 等后:50.0s) | ST15 小跑道(开:21292.5s 加:51.0s 等前:0.0s 等后:0.0s)</t>
        </is>
      </c>
    </row>
    <row r="309">
      <c r="A309" s="15" t="n">
        <v>308</v>
      </c>
      <c r="B309" s="15" t="inlineStr">
        <is>
          <t>Car#307</t>
        </is>
      </c>
      <c r="C309" s="15" t="inlineStr">
        <is>
          <t>B</t>
        </is>
      </c>
      <c r="D309" s="16" t="n">
        <v>19865.5</v>
      </c>
      <c r="E309" s="16" t="n">
        <v>21393.5</v>
      </c>
      <c r="F309" s="16" t="n">
        <v>1528</v>
      </c>
      <c r="G309" s="16" t="n">
        <v>2314</v>
      </c>
      <c r="H309" s="15" t="inlineStr">
        <is>
          <t>Car#308</t>
        </is>
      </c>
      <c r="I309" s="16">
        <f>E309-E308</f>
        <v/>
      </c>
      <c r="J309" s="16">
        <f>I309-58</f>
        <v/>
      </c>
      <c r="K309" s="16">
        <f>MAX(0,J309)</f>
        <v/>
      </c>
      <c r="L309" s="16">
        <f>MAX(0,-J309)</f>
        <v/>
      </c>
      <c r="M309" s="16">
        <f>M308+I309</f>
        <v/>
      </c>
      <c r="N309" s="16">
        <f>D309+F309-E309</f>
        <v/>
      </c>
      <c r="O309" s="15" t="inlineStr">
        <is>
          <t>能力超目标：四轮定位上、下</t>
        </is>
      </c>
      <c r="P309" s="15" t="inlineStr">
        <is>
          <t>ST1 引取(开:19865.5s 加:56.0s 等前:2117.5s 等后:0.0s) | ST2 集约(开:19921.5s 加:111.0s 等前:0.0s 等后:18.5s) | ST3 空气悬挂+快充(开:20051.0s 加:108.5s 等前:0.0s 等后:35.0s) | ST4 四轮定位上、下(开:20194.5s 加:120.5s 等前:0.0s 等后:23.0s) | ST5 ADAS(开:20338.0s 加:107.0s 等前:0.0s 等后:7.5s) | ST6 ARHUD+慢充(开:20452.5s 加:51.5s 等前:0.0s 等后:63.0s) | ST7 转毂(开:20567.0s 加:114.5s 等前:0.0s 等后:0.0s) | ST8 制动(开:20681.5s 加:114.0s 等前:0.0s 等后:0.0s) | ST9 EG漏液/底盘漏液(开:20795.5s 加:112.5s 等前:0.0s 等后:0.0s) | ST10 全景/空调检查(开:20908.0s 加:0.0s 等前:0.0s 等后:3.0s) | ST11 气囊安装+绝缘(开:20911.0s 加:116.0s 等前:0.0s 等后:0.0s) | ST12 L2++(开:21027.0s 加:88.0s 等前:0.0s 等后:0.0s) | ST13 电检1(开:21115.0s 加:84.5s 等前:0.0s 等后:0.0s) | ST14 电检2(开:21199.5s 加:97.5s 等前:0.0s 等后:46.5s) | ST15 小跑道(开:21343.5s 加:50.0s 等前:0.0s 等后:0.0s)</t>
        </is>
      </c>
    </row>
    <row r="310">
      <c r="A310" s="13" t="n">
        <v>309</v>
      </c>
      <c r="B310" s="13" t="inlineStr">
        <is>
          <t>Car#309</t>
        </is>
      </c>
      <c r="C310" s="13" t="inlineStr">
        <is>
          <t>C</t>
        </is>
      </c>
      <c r="D310" s="14" t="n">
        <v>19986</v>
      </c>
      <c r="E310" s="14" t="n">
        <v>21491</v>
      </c>
      <c r="F310" s="14" t="n">
        <v>1505</v>
      </c>
      <c r="G310" s="14" t="n">
        <v>2203.5</v>
      </c>
      <c r="H310" s="13" t="inlineStr">
        <is>
          <t>Car#307</t>
        </is>
      </c>
      <c r="I310" s="14">
        <f>E310-E309</f>
        <v/>
      </c>
      <c r="J310" s="14">
        <f>I310-58</f>
        <v/>
      </c>
      <c r="K310" s="14">
        <f>MAX(0,J310)</f>
        <v/>
      </c>
      <c r="L310" s="14">
        <f>MAX(0,-J310)</f>
        <v/>
      </c>
      <c r="M310" s="14">
        <f>M309+I310</f>
        <v/>
      </c>
      <c r="N310" s="14">
        <f>D310+F310-E310</f>
        <v/>
      </c>
      <c r="O310" s="13" t="inlineStr">
        <is>
          <t>能力超目标：四轮定位上、下、ARHUD+慢充</t>
        </is>
      </c>
      <c r="P310" s="13" t="inlineStr">
        <is>
          <t>ST1 引取(开:19986.0s 加:56.0s 等前:2122.0s 等后:9.0s) | ST2 集约(开:20051.0s 加:111.0s 等前:0.0s 等后:32.5s) | ST3 空气悬挂+快充(开:20194.5s 加:108.5s 等前:0.0s 等后:35.0s) | ST4 四轮定位上、下(开:20338.0s 加:120.5s 等前:0.0s 等后:0.0s) | ST5 ADAS(开:20458.5s 加:107.0s 等前:0.0s 等后:1.5s) | ST6 ARHUD+慢充(开:20567.0s 加:143.5s 等前:0.0s 等后:0.0s) | ST7 转毂(开:20710.5s 加:114.5s 等前:0.0s 等后:0.0s) | ST8 制动(开:20825.0s 加:114.0s 等前:0.0s 等后:0.0s) | ST9 EG漏液/底盘漏液(开:20939.0s 加:112.5s 等前:0.0s 等后:0.0s) | ST10 全景/空调检查(开:21051.5s 加:0.0s 等前:0.0s 等后:0.0s) | ST11 气囊安装+绝缘(开:21051.5s 加:116.0s 等前:0.0s 等后:0.0s) | ST12 L2++(开:21167.5s 加:88.0s 等前:0.0s 等后:0.0s) | ST13 电检1(开:21255.5s 加:84.5s 等前:0.0s 等后:3.5s) | ST14 电检2(开:21343.5s 加:97.5s 等前:0.0s 等后:0.0s) | ST15 小跑道(开:21441.0s 加:50.0s 等前:0.0s 等后:0.0s)</t>
        </is>
      </c>
    </row>
    <row r="311">
      <c r="A311" s="15" t="n">
        <v>310</v>
      </c>
      <c r="B311" s="15" t="inlineStr">
        <is>
          <t>Car#310</t>
        </is>
      </c>
      <c r="C311" s="15" t="inlineStr">
        <is>
          <t>C</t>
        </is>
      </c>
      <c r="D311" s="16" t="n">
        <v>20051</v>
      </c>
      <c r="E311" s="16" t="n">
        <v>21541</v>
      </c>
      <c r="F311" s="16" t="n">
        <v>1490</v>
      </c>
      <c r="G311" s="16" t="n">
        <v>2195.5</v>
      </c>
      <c r="H311" s="15" t="inlineStr">
        <is>
          <t>Car#309</t>
        </is>
      </c>
      <c r="I311" s="16">
        <f>E311-E310</f>
        <v/>
      </c>
      <c r="J311" s="16">
        <f>I311-58</f>
        <v/>
      </c>
      <c r="K311" s="16">
        <f>MAX(0,J311)</f>
        <v/>
      </c>
      <c r="L311" s="16">
        <f>MAX(0,-J311)</f>
        <v/>
      </c>
      <c r="M311" s="16">
        <f>M310+I311</f>
        <v/>
      </c>
      <c r="N311" s="16">
        <f>D311+F311-E311</f>
        <v/>
      </c>
      <c r="O311" s="15" t="inlineStr">
        <is>
          <t>能力超目标：四轮定位上、下、ARHUD+慢充</t>
        </is>
      </c>
      <c r="P311" s="15" t="inlineStr">
        <is>
          <t>ST1 引取(开:20051.0s 加:56.0s 等前:2129.0s 等后:16.5s) | ST2 集约(开:20123.5s 加:111.0s 等前:0.0s 等后:32.5s) | ST3 空气悬挂+快充(开:20267.0s 加:108.5s 等前:0.0s 等后:6.5s) | ST4 四轮定位上、下(开:20382.0s 加:120.5s 等前:0.0s 等后:0.0s) | ST5 ADAS(开:20502.5s 加:107.0s 等前:0.0s 等后:2.5s) | ST6 ARHUD+慢充(开:20612.0s 加:143.5s 等前:0.0s 等后:0.0s) | ST7 转毂(开:20755.5s 加:114.5s 等前:0.0s 等后:0.0s) | ST8 制动(开:20870.0s 加:114.0s 等前:0.0s 等后:0.0s) | ST9 EG漏液/底盘漏液(开:20984.0s 加:112.5s 等前:0.0s 等后:0.0s) | ST10 全景/空调检查(开:21096.5s 加:0.0s 等前:0.0s 等后:0.0s) | ST11 气囊安装+绝缘(开:21096.5s 加:116.0s 等前:0.0s 等后:0.0s) | ST12 L2++(开:21212.5s 加:88.0s 等前:0.0s 等后:0.0s) | ST13 电检1(开:21300.5s 加:84.5s 等前:0.0s 等后:0.0s) | ST14 电检2(开:21385.0s 加:97.5s 等前:0.0s 等后:8.5s) | ST15 小跑道(开:21491.0s 加:50.0s 等前:0.0s 等后:0.0s)</t>
        </is>
      </c>
    </row>
    <row r="312">
      <c r="A312" s="13" t="n">
        <v>311</v>
      </c>
      <c r="B312" s="13" t="inlineStr">
        <is>
          <t>Car#312</t>
        </is>
      </c>
      <c r="C312" s="13" t="inlineStr">
        <is>
          <t>A</t>
        </is>
      </c>
      <c r="D312" s="14" t="n">
        <v>20194.5</v>
      </c>
      <c r="E312" s="14" t="n">
        <v>21592</v>
      </c>
      <c r="F312" s="14" t="n">
        <v>1397.5</v>
      </c>
      <c r="G312" s="14" t="n">
        <v>2693</v>
      </c>
      <c r="H312" s="13" t="inlineStr">
        <is>
          <t>Car#310</t>
        </is>
      </c>
      <c r="I312" s="14">
        <f>E312-E311</f>
        <v/>
      </c>
      <c r="J312" s="14">
        <f>I312-58</f>
        <v/>
      </c>
      <c r="K312" s="14">
        <f>MAX(0,J312)</f>
        <v/>
      </c>
      <c r="L312" s="14">
        <f>MAX(0,-J312)</f>
        <v/>
      </c>
      <c r="M312" s="14">
        <f>M311+I312</f>
        <v/>
      </c>
      <c r="N312" s="14">
        <f>D312+F312-E312</f>
        <v/>
      </c>
      <c r="O312" s="13" t="inlineStr">
        <is>
          <t>能力满足</t>
        </is>
      </c>
      <c r="P312" s="13" t="inlineStr">
        <is>
          <t>ST1 引取(开:20194.5s 加:55.0s 等前:2156.5s 等后:17.5s) | ST2 集约(开:20267.0s 加:106.0s 等前:0.0s 等后:9.0s) | ST3 空气悬挂+快充(开:20382.0s 加:0.0s 等前:0.0s 等后:120.5s) | ST4 四轮定位上、下(开:20502.5s 加:115.0s 等前:0.0s 等后:0.0s) | ST5 ADAS(开:20617.5s 加:97.0s 等前:0.0s 等后:41.0s) | ST6 ARHUD+慢充(开:20755.5s 加:0.0s 等前:0.0s 等后:114.5s) | ST7 转毂(开:20870.0s 加:116.0s 等前:0.0s 等后:0.0s) | ST8 制动(开:20986.0s 加:108.0s 等前:0.0s 等后:2.5s) | ST9 EG漏液/底盘漏液(开:21096.5s 加:115.0s 等前:0.0s 等后:0.0s) | ST10 全景/空调检查(开:21211.5s 加:98.0s 等前:0.0s 等后:0.0s) | ST11 气囊安装+绝缘(开:21309.5s 加:0.0s 等前:0.0s 等后:0.0s) | ST12 L2++(开:21309.5s 加:0.0s 等前:0.0s 等后:75.5s) | ST13 电检1(开:21385.0s 加:0.0s 等前:0.0s 等后:106.0s) | ST14 电检2(开:21491.0s 加:0.0s 等前:0.0s 等后:50.0s) | ST15 小跑道(开:21541.0s 加:51.0s 等前:0.0s 等后:0.0s)</t>
        </is>
      </c>
    </row>
    <row r="313">
      <c r="A313" s="15" t="n">
        <v>312</v>
      </c>
      <c r="B313" s="15" t="inlineStr">
        <is>
          <t>Car#314</t>
        </is>
      </c>
      <c r="C313" s="15" t="inlineStr">
        <is>
          <t>A</t>
        </is>
      </c>
      <c r="D313" s="16" t="n">
        <v>20338</v>
      </c>
      <c r="E313" s="16" t="n">
        <v>21643</v>
      </c>
      <c r="F313" s="16" t="n">
        <v>1305</v>
      </c>
      <c r="G313" s="16" t="n">
        <v>2628</v>
      </c>
      <c r="H313" s="15" t="inlineStr">
        <is>
          <t>Car#312</t>
        </is>
      </c>
      <c r="I313" s="16">
        <f>E313-E312</f>
        <v/>
      </c>
      <c r="J313" s="16">
        <f>I313-58</f>
        <v/>
      </c>
      <c r="K313" s="16">
        <f>MAX(0,J313)</f>
        <v/>
      </c>
      <c r="L313" s="16">
        <f>MAX(0,-J313)</f>
        <v/>
      </c>
      <c r="M313" s="16">
        <f>M312+I313</f>
        <v/>
      </c>
      <c r="N313" s="16">
        <f>D313+F313-E313</f>
        <v/>
      </c>
      <c r="O313" s="15" t="inlineStr">
        <is>
          <t>能力满足</t>
        </is>
      </c>
      <c r="P313" s="15" t="inlineStr">
        <is>
          <t>ST1 引取(开:20338.0s 加:55.0s 等前:2184.0s 等后:0.0s) | ST2 集约(开:20393.0s 加:106.0s 等前:0.0s 等后:3.5s) | ST3 空气悬挂+快充(开:20502.5s 加:0.0s 等前:0.0s 等后:115.0s) | ST4 四轮定位上、下(开:20617.5s 加:115.0s 等前:0.0s 等后:23.0s) | ST5 ADAS(开:20755.5s 加:97.0s 等前:0.0s 等后:17.5s) | ST6 ARHUD+慢充(开:20870.0s 加:0.0s 等前:0.0s 等后:116.0s) | ST7 转毂(开:20986.0s 加:116.0s 等前:0.0s 等后:0.0s) | ST8 制动(开:21102.0s 加:108.0s 等前:0.0s 等后:1.5s) | ST9 EG漏液/底盘漏液(开:21211.5s 加:115.0s 等前:0.0s 等后:0.0s) | ST10 全景/空调检查(开:21326.5s 加:98.0s 等前:0.0s 等后:0.0s) | ST11 气囊安装+绝缘(开:21424.5s 加:0.0s 等前:0.0s 等后:0.0s) | ST12 L2++(开:21424.5s 加:0.0s 等前:0.0s 等后:66.5s) | ST13 电检1(开:21491.0s 加:0.0s 等前:0.0s 等后:50.0s) | ST14 电检2(开:21541.0s 加:0.0s 等前:0.0s 等后:51.0s) | ST15 小跑道(开:21592.0s 加:51.0s 等前:0.0s 等后:0.0s)</t>
        </is>
      </c>
    </row>
    <row r="314">
      <c r="A314" s="13" t="n">
        <v>313</v>
      </c>
      <c r="B314" s="13" t="inlineStr">
        <is>
          <t>Car#311</t>
        </is>
      </c>
      <c r="C314" s="13" t="inlineStr">
        <is>
          <t>C</t>
        </is>
      </c>
      <c r="D314" s="14" t="n">
        <v>20123.5</v>
      </c>
      <c r="E314" s="14" t="n">
        <v>21693</v>
      </c>
      <c r="F314" s="14" t="n">
        <v>1569.5</v>
      </c>
      <c r="G314" s="14" t="n">
        <v>2289.5</v>
      </c>
      <c r="H314" s="13" t="inlineStr">
        <is>
          <t>Car#314</t>
        </is>
      </c>
      <c r="I314" s="14">
        <f>E314-E313</f>
        <v/>
      </c>
      <c r="J314" s="14">
        <f>I314-58</f>
        <v/>
      </c>
      <c r="K314" s="14">
        <f>MAX(0,J314)</f>
        <v/>
      </c>
      <c r="L314" s="14">
        <f>MAX(0,-J314)</f>
        <v/>
      </c>
      <c r="M314" s="14">
        <f>M313+I314</f>
        <v/>
      </c>
      <c r="N314" s="14">
        <f>D314+F314-E314</f>
        <v/>
      </c>
      <c r="O314" s="13" t="inlineStr">
        <is>
          <t>能力超目标：四轮定位上、下、ARHUD+慢充</t>
        </is>
      </c>
      <c r="P314" s="13" t="inlineStr">
        <is>
          <t>ST1 引取(开:20123.5s 加:56.0s 等前:2143.5s 等后:15.0s) | ST2 集约(开:20194.5s 加:111.0s 等前:0.0s 等后:32.5s) | ST3 空气悬挂+快充(开:20338.0s 加:108.5s 等前:0.0s 等后:12.0s) | ST4 四轮定位上、下(开:20458.5s 加:120.5s 等前:0.0s 等后:0.0s) | ST5 ADAS(开:20579.0s 加:107.0s 等前:0.0s 等后:24.5s) | ST6 ARHUD+慢充(开:20710.5s 加:143.5s 等前:0.0s 等后:0.0s) | ST7 转毂(开:20854.0s 加:114.5s 等前:0.0s 等后:0.0s) | ST8 制动(开:20968.5s 加:114.0s 等前:0.0s 等后:0.0s) | ST9 EG漏液/底盘漏液(开:21082.5s 加:112.5s 等前:0.0s 等后:0.0s) | ST10 全景/空调检查(开:21195.0s 加:0.0s 等前:0.0s 等后:0.0s) | ST11 气囊安装+绝缘(开:21195.0s 加:116.0s 等前:0.0s 等后:0.0s) | ST12 L2++(开:21311.0s 加:88.0s 等前:0.0s 等后:0.0s) | ST13 电检1(开:21399.0s 加:84.5s 等前:0.0s 等后:0.0s) | ST14 电检2(开:21483.5s 加:97.5s 等前:0.0s 等后:62.0s) | ST15 小跑道(开:21643.0s 加:50.0s 等前:0.0s 等后:0.0s)</t>
        </is>
      </c>
    </row>
    <row r="315">
      <c r="A315" s="15" t="n">
        <v>314</v>
      </c>
      <c r="B315" s="15" t="inlineStr">
        <is>
          <t>Car#313</t>
        </is>
      </c>
      <c r="C315" s="15" t="inlineStr">
        <is>
          <t>A</t>
        </is>
      </c>
      <c r="D315" s="16" t="n">
        <v>20267</v>
      </c>
      <c r="E315" s="16" t="n">
        <v>21744</v>
      </c>
      <c r="F315" s="16" t="n">
        <v>1477</v>
      </c>
      <c r="G315" s="16" t="n">
        <v>2787</v>
      </c>
      <c r="H315" s="15" t="inlineStr">
        <is>
          <t>Car#311</t>
        </is>
      </c>
      <c r="I315" s="16">
        <f>E315-E314</f>
        <v/>
      </c>
      <c r="J315" s="16">
        <f>I315-58</f>
        <v/>
      </c>
      <c r="K315" s="16">
        <f>MAX(0,J315)</f>
        <v/>
      </c>
      <c r="L315" s="16">
        <f>MAX(0,-J315)</f>
        <v/>
      </c>
      <c r="M315" s="16">
        <f>M314+I315</f>
        <v/>
      </c>
      <c r="N315" s="16">
        <f>D315+F315-E315</f>
        <v/>
      </c>
      <c r="O315" s="15" t="inlineStr">
        <is>
          <t>能力满足</t>
        </is>
      </c>
      <c r="P315" s="15" t="inlineStr">
        <is>
          <t>ST1 引取(开:20267.0s 加:55.0s 等前:2171.0s 等后:16.0s) | ST2 集约(开:20338.0s 加:106.0s 等前:0.0s 等后:14.5s) | ST3 空气悬挂+快充(开:20458.5s 加:0.0s 等前:0.0s 等后:120.5s) | ST4 四轮定位上、下(开:20579.0s 加:115.0s 等前:0.0s 等后:16.5s) | ST5 ADAS(开:20710.5s 加:97.0s 等前:0.0s 等后:46.5s) | ST6 ARHUD+慢充(开:20854.0s 加:0.0s 等前:0.0s 等后:114.5s) | ST7 转毂(开:20968.5s 加:116.0s 等前:0.0s 等后:0.0s) | ST8 制动(开:21084.5s 加:108.0s 等前:0.0s 等后:2.5s) | ST9 EG漏液/底盘漏液(开:21195.0s 加:115.0s 等前:0.0s 等后:0.0s) | ST10 全景/空调检查(开:21310.0s 加:98.0s 等前:0.0s 等后:0.0s) | ST11 气囊安装+绝缘(开:21408.0s 加:0.0s 等前:0.0s 等后:0.0s) | ST12 L2++(开:21408.0s 加:0.0s 等前:0.0s 等后:75.5s) | ST13 电检1(开:21483.5s 加:0.0s 等前:0.0s 等后:159.5s) | ST14 电检2(开:21643.0s 加:0.0s 等前:0.0s 等后:50.0s) | ST15 小跑道(开:21693.0s 加:51.0s 等前:0.0s 等后:0.0s)</t>
        </is>
      </c>
    </row>
    <row r="316">
      <c r="A316" s="13" t="n">
        <v>315</v>
      </c>
      <c r="B316" s="13" t="inlineStr">
        <is>
          <t>Car#316</t>
        </is>
      </c>
      <c r="C316" s="13" t="inlineStr">
        <is>
          <t>B</t>
        </is>
      </c>
      <c r="D316" s="14" t="n">
        <v>20458.5</v>
      </c>
      <c r="E316" s="14" t="n">
        <v>21879</v>
      </c>
      <c r="F316" s="14" t="n">
        <v>1420.5</v>
      </c>
      <c r="G316" s="14" t="n">
        <v>2277.5</v>
      </c>
      <c r="H316" s="13" t="inlineStr">
        <is>
          <t>Car#313</t>
        </is>
      </c>
      <c r="I316" s="14">
        <f>E316-E315</f>
        <v/>
      </c>
      <c r="J316" s="14">
        <f>I316-58</f>
        <v/>
      </c>
      <c r="K316" s="14">
        <f>MAX(0,J316)</f>
        <v/>
      </c>
      <c r="L316" s="14">
        <f>MAX(0,-J316)</f>
        <v/>
      </c>
      <c r="M316" s="14">
        <f>M315+I316</f>
        <v/>
      </c>
      <c r="N316" s="14">
        <f>D316+F316-E316</f>
        <v/>
      </c>
      <c r="O316" s="13" t="inlineStr">
        <is>
          <t>能力超目标：四轮定位上、下</t>
        </is>
      </c>
      <c r="P316" s="13" t="inlineStr">
        <is>
          <t>ST1 引取(开:20458.5s 加:56.0s 等前:2188.5s 等后:0.0s) | ST2 集约(开:20514.5s 加:111.0s 等前:0.0s 等后:0.0s) | ST3 空气悬挂+快充(开:20625.5s 加:108.5s 等前:0.0s 等后:21.5s) | ST4 四轮定位上、下(开:20755.5s 加:120.5s 等前:0.0s 等后:0.0s) | ST5 ADAS(开:20876.0s 加:107.0s 等前:0.0s 等后:3.0s) | ST6 ARHUD+慢充(开:20986.0s 加:51.5s 等前:0.0s 等后:64.5s) | ST7 转毂(开:21102.0s 加:114.5s 等前:0.0s 等后:0.0s) | ST8 制动(开:21216.5s 加:114.0s 等前:0.0s 等后:0.0s) | ST9 EG漏液/底盘漏液(开:21330.5s 加:112.5s 等前:0.0s 等后:0.0s) | ST10 全景/空调检查(开:21443.0s 加:0.0s 等前:0.0s 等后:0.0s) | ST11 气囊安装+绝缘(开:21443.0s 加:116.0s 等前:0.0s 等后:0.0s) | ST12 L2++(开:21559.0s 加:88.0s 等前:0.0s 等后:0.0s) | ST13 电检1(开:21647.0s 加:84.5s 等前:0.0s 等后:0.0s) | ST14 电检2(开:21731.5s 加:97.5s 等前:0.0s 等后:0.0s) | ST15 小跑道(开:21829.0s 加:50.0s 等前:0.0s 等后:0.0s)</t>
        </is>
      </c>
    </row>
    <row r="317">
      <c r="A317" s="15" t="n">
        <v>316</v>
      </c>
      <c r="B317" s="15" t="inlineStr">
        <is>
          <t>Car#315</t>
        </is>
      </c>
      <c r="C317" s="15" t="inlineStr">
        <is>
          <t>C</t>
        </is>
      </c>
      <c r="D317" s="16" t="n">
        <v>20393</v>
      </c>
      <c r="E317" s="16" t="n">
        <v>21929</v>
      </c>
      <c r="F317" s="16" t="n">
        <v>1536</v>
      </c>
      <c r="G317" s="16" t="n">
        <v>2293.5</v>
      </c>
      <c r="H317" s="15" t="inlineStr">
        <is>
          <t>Car#316</t>
        </is>
      </c>
      <c r="I317" s="16">
        <f>E317-E316</f>
        <v/>
      </c>
      <c r="J317" s="16">
        <f>I317-58</f>
        <v/>
      </c>
      <c r="K317" s="16">
        <f>MAX(0,J317)</f>
        <v/>
      </c>
      <c r="L317" s="16">
        <f>MAX(0,-J317)</f>
        <v/>
      </c>
      <c r="M317" s="16">
        <f>M316+I317</f>
        <v/>
      </c>
      <c r="N317" s="16">
        <f>D317+F317-E317</f>
        <v/>
      </c>
      <c r="O317" s="15" t="inlineStr">
        <is>
          <t>能力超目标：四轮定位上、下、ARHUD+慢充</t>
        </is>
      </c>
      <c r="P317" s="15" t="inlineStr">
        <is>
          <t>ST1 引取(开:20393.0s 加:56.0s 等前:2181.0s 等后:9.5s) | ST2 集约(开:20458.5s 加:111.0s 等前:0.0s 等后:9.5s) | ST3 空气悬挂+快充(开:20579.0s 加:108.5s 等前:0.0s 等后:23.0s) | ST4 四轮定位上、下(开:20710.5s 加:120.5s 等前:0.0s 等后:23.0s) | ST5 ADAS(开:20854.0s 加:107.0s 等前:0.0s 等后:7.5s) | ST6 ARHUD+慢充(开:20968.5s 加:143.5s 等前:0.0s 等后:0.0s) | ST7 转毂(开:21112.0s 加:114.5s 等前:0.0s 等后:0.0s) | ST8 制动(开:21226.5s 加:114.0s 等前:0.0s 等后:0.0s) | ST9 EG漏液/底盘漏液(开:21340.5s 加:112.5s 等前:0.0s 等后:0.0s) | ST10 全景/空调检查(开:21453.0s 加:0.0s 等前:0.0s 等后:0.0s) | ST11 气囊安装+绝缘(开:21453.0s 加:116.0s 等前:0.0s 等后:0.0s) | ST12 L2++(开:21569.0s 加:88.0s 等前:0.0s 等后:0.0s) | ST13 电检1(开:21657.0s 加:84.5s 等前:0.0s 等后:0.0s) | ST14 电检2(开:21741.5s 加:97.5s 等前:0.0s 等后:40.0s) | ST15 小跑道(开:21879.0s 加:50.0s 等前:0.0s 等后:0.0s)</t>
        </is>
      </c>
    </row>
    <row r="318">
      <c r="A318" s="13" t="n">
        <v>317</v>
      </c>
      <c r="B318" s="13" t="inlineStr">
        <is>
          <t>Car#318</t>
        </is>
      </c>
      <c r="C318" s="13" t="inlineStr">
        <is>
          <t>C</t>
        </is>
      </c>
      <c r="D318" s="14" t="n">
        <v>20579</v>
      </c>
      <c r="E318" s="14" t="n">
        <v>22024</v>
      </c>
      <c r="F318" s="14" t="n">
        <v>1445</v>
      </c>
      <c r="G318" s="14" t="n">
        <v>2214.5</v>
      </c>
      <c r="H318" s="13" t="inlineStr">
        <is>
          <t>Car#315</t>
        </is>
      </c>
      <c r="I318" s="14">
        <f>E318-E317</f>
        <v/>
      </c>
      <c r="J318" s="14">
        <f>I318-58</f>
        <v/>
      </c>
      <c r="K318" s="14">
        <f>MAX(0,J318)</f>
        <v/>
      </c>
      <c r="L318" s="14">
        <f>MAX(0,-J318)</f>
        <v/>
      </c>
      <c r="M318" s="14">
        <f>M317+I318</f>
        <v/>
      </c>
      <c r="N318" s="14">
        <f>D318+F318-E318</f>
        <v/>
      </c>
      <c r="O318" s="13" t="inlineStr">
        <is>
          <t>能力超目标：四轮定位上、下、ARHUD+慢充</t>
        </is>
      </c>
      <c r="P318" s="13" t="inlineStr">
        <is>
          <t>ST1 引取(开:20579.0s 加:56.0s 等前:2193.0s 等后:0.0s) | ST2 集约(开:20635.0s 加:111.0s 等前:0.0s 等后:9.5s) | ST3 空气悬挂+快充(开:20755.5s 加:108.5s 等前:0.0s 等后:12.0s) | ST4 四轮定位上、下(开:20876.0s 加:120.5s 等前:0.0s 等后:0.0s) | ST5 ADAS(开:20996.5s 加:107.0s 等前:0.0s 等后:0.0s) | ST6 ARHUD+慢充(开:21103.5s 加:143.5s 等前:0.0s 等后:0.0s) | ST7 转毂(开:21247.0s 加:114.5s 等前:0.0s 等后:0.0s) | ST8 制动(开:21361.5s 加:114.0s 等前:0.0s 等后:0.0s) | ST9 EG漏液/底盘漏液(开:21475.5s 加:112.5s 等前:0.0s 等后:0.0s) | ST10 全景/空调检查(开:21588.0s 加:0.0s 等前:0.0s 等后:0.0s) | ST11 气囊安装+绝缘(开:21588.0s 加:116.0s 等前:0.0s 等后:0.0s) | ST12 L2++(开:21704.0s 加:88.0s 等前:0.0s 等后:0.0s) | ST13 电检1(开:21792.0s 加:84.5s 等前:0.0s 等后:0.0s) | ST14 电检2(开:21876.5s 加:97.5s 等前:0.0s 等后:0.0s) | ST15 小跑道(开:21974.0s 加:50.0s 等前:0.0s 等后:0.0s)</t>
        </is>
      </c>
    </row>
    <row r="319">
      <c r="A319" s="15" t="n">
        <v>318</v>
      </c>
      <c r="B319" s="15" t="inlineStr">
        <is>
          <t>Car#317</t>
        </is>
      </c>
      <c r="C319" s="15" t="inlineStr">
        <is>
          <t>C</t>
        </is>
      </c>
      <c r="D319" s="16" t="n">
        <v>20514.5</v>
      </c>
      <c r="E319" s="16" t="n">
        <v>22074</v>
      </c>
      <c r="F319" s="16" t="n">
        <v>1559.5</v>
      </c>
      <c r="G319" s="16" t="n">
        <v>2322.5</v>
      </c>
      <c r="H319" s="15" t="inlineStr">
        <is>
          <t>Car#318</t>
        </is>
      </c>
      <c r="I319" s="16">
        <f>E319-E318</f>
        <v/>
      </c>
      <c r="J319" s="16">
        <f>I319-58</f>
        <v/>
      </c>
      <c r="K319" s="16">
        <f>MAX(0,J319)</f>
        <v/>
      </c>
      <c r="L319" s="16">
        <f>MAX(0,-J319)</f>
        <v/>
      </c>
      <c r="M319" s="16">
        <f>M318+I319</f>
        <v/>
      </c>
      <c r="N319" s="16">
        <f>D319+F319-E319</f>
        <v/>
      </c>
      <c r="O319" s="15" t="inlineStr">
        <is>
          <t>能力超目标：四轮定位上、下、ARHUD+慢充</t>
        </is>
      </c>
      <c r="P319" s="15" t="inlineStr">
        <is>
          <t>ST1 引取(开:20514.5s 加:56.0s 等前:2186.5s 等后:8.5s) | ST2 集约(开:20579.0s 加:111.0s 等前:0.0s 等后:20.5s) | ST3 空气悬挂+快充(开:20710.5s 加:108.5s 等前:0.0s 等后:35.0s) | ST4 四轮定位上、下(开:20854.0s 加:120.5s 等前:0.0s 等后:0.0s) | ST5 ADAS(开:20974.5s 加:107.0s 等前:0.0s 等后:30.5s) | ST6 ARHUD+慢充(开:21112.0s 加:143.5s 等前:0.0s 等后:0.0s) | ST7 转毂(开:21255.5s 加:114.5s 等前:0.0s 等后:0.0s) | ST8 制动(开:21370.0s 加:114.0s 等前:0.0s 等后:0.0s) | ST9 EG漏液/底盘漏液(开:21484.0s 加:112.5s 等前:0.0s 等后:0.0s) | ST10 全景/空调检查(开:21596.5s 加:0.0s 等前:0.0s 等后:0.0s) | ST11 气囊安装+绝缘(开:21596.5s 加:116.0s 等前:0.0s 等后:0.0s) | ST12 L2++(开:21712.5s 加:88.0s 等前:0.0s 等后:0.0s) | ST13 电检1(开:21800.5s 加:84.5s 等前:0.0s 等后:0.0s) | ST14 电检2(开:21885.0s 加:97.5s 等前:0.0s 等后:41.5s) | ST15 小跑道(开:22024.0s 加:50.0s 等前:0.0s 等后:0.0s)</t>
        </is>
      </c>
    </row>
    <row r="320">
      <c r="A320" s="13" t="n">
        <v>319</v>
      </c>
      <c r="B320" s="13" t="inlineStr">
        <is>
          <t>Car#320</t>
        </is>
      </c>
      <c r="C320" s="13" t="inlineStr">
        <is>
          <t>B</t>
        </is>
      </c>
      <c r="D320" s="14" t="n">
        <v>20710.5</v>
      </c>
      <c r="E320" s="14" t="n">
        <v>22140</v>
      </c>
      <c r="F320" s="14" t="n">
        <v>1429.5</v>
      </c>
      <c r="G320" s="14" t="n">
        <v>2306.5</v>
      </c>
      <c r="H320" s="13" t="inlineStr">
        <is>
          <t>Car#317</t>
        </is>
      </c>
      <c r="I320" s="14">
        <f>E320-E319</f>
        <v/>
      </c>
      <c r="J320" s="14">
        <f>I320-58</f>
        <v/>
      </c>
      <c r="K320" s="14">
        <f>MAX(0,J320)</f>
        <v/>
      </c>
      <c r="L320" s="14">
        <f>MAX(0,-J320)</f>
        <v/>
      </c>
      <c r="M320" s="14">
        <f>M319+I320</f>
        <v/>
      </c>
      <c r="N320" s="14">
        <f>D320+F320-E320</f>
        <v/>
      </c>
      <c r="O320" s="13" t="inlineStr">
        <is>
          <t>能力超目标：四轮定位上、下</t>
        </is>
      </c>
      <c r="P320" s="13" t="inlineStr">
        <is>
          <t>ST1 引取(开:20710.5s 加:56.0s 等前:2208.5s 等后:0.0s) | ST2 集约(开:20766.5s 加:111.0s 等前:0.0s 等后:0.0s) | ST3 空气悬挂+快充(开:20877.5s 加:108.5s 等前:0.0s 等后:10.5s) | ST4 四轮定位上、下(开:20996.5s 加:120.5s 等前:0.0s 等后:0.0s) | ST5 ADAS(开:21117.0s 加:107.0s 等前:0.0s 等后:23.0s) | ST6 ARHUD+慢充(开:21247.0s 加:51.5s 等前:0.0s 等后:63.0s) | ST7 转毂(开:21361.5s 加:114.5s 等前:0.0s 等后:0.0s) | ST8 制动(开:21476.0s 加:114.0s 等前:0.0s 等后:0.0s) | ST9 EG漏液/底盘漏液(开:21590.0s 加:112.5s 等前:0.0s 等后:0.0s) | ST10 全景/空调检查(开:21702.5s 加:0.0s 等前:0.0s 等后:1.5s) | ST11 气囊安装+绝缘(开:21704.0s 加:116.0s 等前:0.0s 等后:0.0s) | ST12 L2++(开:21820.0s 加:88.0s 等前:0.0s 等后:0.0s) | ST13 电检1(开:21908.0s 加:84.5s 等前:0.0s 等后:0.0s) | ST14 电检2(开:21992.5s 加:97.5s 等前:0.0s 等后:0.0s) | ST15 小跑道(开:22090.0s 加:50.0s 等前:0.0s 等后:0.0s)</t>
        </is>
      </c>
    </row>
    <row r="321">
      <c r="A321" s="15" t="n">
        <v>320</v>
      </c>
      <c r="B321" s="15" t="inlineStr">
        <is>
          <t>Car#319</t>
        </is>
      </c>
      <c r="C321" s="15" t="inlineStr">
        <is>
          <t>B</t>
        </is>
      </c>
      <c r="D321" s="16" t="n">
        <v>20635</v>
      </c>
      <c r="E321" s="16" t="n">
        <v>22190</v>
      </c>
      <c r="F321" s="16" t="n">
        <v>1555</v>
      </c>
      <c r="G321" s="16" t="n">
        <v>2414.5</v>
      </c>
      <c r="H321" s="15" t="inlineStr">
        <is>
          <t>Car#320</t>
        </is>
      </c>
      <c r="I321" s="16">
        <f>E321-E320</f>
        <v/>
      </c>
      <c r="J321" s="16">
        <f>I321-58</f>
        <v/>
      </c>
      <c r="K321" s="16">
        <f>MAX(0,J321)</f>
        <v/>
      </c>
      <c r="L321" s="16">
        <f>MAX(0,-J321)</f>
        <v/>
      </c>
      <c r="M321" s="16">
        <f>M320+I321</f>
        <v/>
      </c>
      <c r="N321" s="16">
        <f>D321+F321-E321</f>
        <v/>
      </c>
      <c r="O321" s="15" t="inlineStr">
        <is>
          <t>能力超目标：四轮定位上、下</t>
        </is>
      </c>
      <c r="P321" s="15" t="inlineStr">
        <is>
          <t>ST1 引取(开:20635.0s 加:56.0s 等前:2191.0s 等后:19.5s) | ST2 集约(开:20710.5s 加:111.0s 等前:0.0s 等后:32.5s) | ST3 空气悬挂+快充(开:20854.0s 加:108.5s 等前:0.0s 等后:12.0s) | ST4 四轮定位上、下(开:20974.5s 加:120.5s 等前:0.0s 等后:17.0s) | ST5 ADAS(开:21112.0s 加:107.0s 等前:0.0s 等后:36.5s) | ST6 ARHUD+慢充(开:21255.5s 加:51.5s 等前:0.0s 等后:63.0s) | ST7 转毂(开:21370.0s 加:114.5s 等前:0.0s 等后:0.0s) | ST8 制动(开:21484.5s 加:114.0s 等前:0.0s 等后:0.0s) | ST9 EG漏液/底盘漏液(开:21598.5s 加:112.5s 等前:0.0s 等后:0.0s) | ST10 全景/空调检查(开:21711.0s 加:0.0s 等前:0.0s 等后:1.5s) | ST11 气囊安装+绝缘(开:21712.5s 加:116.0s 等前:0.0s 等后:0.0s) | ST12 L2++(开:21828.5s 加:88.0s 等前:0.0s 等后:0.0s) | ST13 电检1(开:21916.5s 加:84.5s 等前:0.0s 等后:23.0s) | ST14 电检2(开:22024.0s 加:97.5s 等前:0.0s 等后:18.5s) | ST15 小跑道(开:22140.0s 加:50.0s 等前:0.0s 等后:0.0s)</t>
        </is>
      </c>
    </row>
    <row r="322">
      <c r="A322" s="13" t="n">
        <v>321</v>
      </c>
      <c r="B322" s="13" t="inlineStr">
        <is>
          <t>Car#322</t>
        </is>
      </c>
      <c r="C322" s="13" t="inlineStr">
        <is>
          <t>C</t>
        </is>
      </c>
      <c r="D322" s="14" t="n">
        <v>20854</v>
      </c>
      <c r="E322" s="14" t="n">
        <v>22282</v>
      </c>
      <c r="F322" s="14" t="n">
        <v>1428</v>
      </c>
      <c r="G322" s="14" t="n">
        <v>2240.5</v>
      </c>
      <c r="H322" s="13" t="inlineStr">
        <is>
          <t>Car#319</t>
        </is>
      </c>
      <c r="I322" s="14">
        <f>E322-E321</f>
        <v/>
      </c>
      <c r="J322" s="14">
        <f>I322-58</f>
        <v/>
      </c>
      <c r="K322" s="14">
        <f>MAX(0,J322)</f>
        <v/>
      </c>
      <c r="L322" s="14">
        <f>MAX(0,-J322)</f>
        <v/>
      </c>
      <c r="M322" s="14">
        <f>M321+I322</f>
        <v/>
      </c>
      <c r="N322" s="14">
        <f>D322+F322-E322</f>
        <v/>
      </c>
      <c r="O322" s="13" t="inlineStr">
        <is>
          <t>能力超目标：四轮定位上、下、ARHUD+慢充</t>
        </is>
      </c>
      <c r="P322" s="13" t="inlineStr">
        <is>
          <t>ST1 引取(开:20854.0s 加:56.0s 等前:2236.0s 等后:0.0s) | ST2 集约(开:20910.0s 加:111.0s 等前:0.0s 等后:0.0s) | ST3 空气悬挂+快充(开:21021.0s 加:108.5s 等前:0.0s 等后:0.0s) | ST4 四轮定位上、下(开:21129.5s 加:120.5s 等前:0.0s 等后:0.0s) | ST5 ADAS(开:21250.0s 加:107.0s 等前:0.0s 等后:4.5s) | ST6 ARHUD+慢充(开:21361.5s 加:143.5s 等前:0.0s 等后:0.0s) | ST7 转毂(开:21505.0s 加:114.5s 等前:0.0s 等后:0.0s) | ST8 制动(开:21619.5s 加:114.0s 等前:0.0s 等后:0.0s) | ST9 EG漏液/底盘漏液(开:21733.5s 加:112.5s 等前:0.0s 等后:0.0s) | ST10 全景/空调检查(开:21846.0s 加:0.0s 等前:0.0s 等后:0.0s) | ST11 气囊安装+绝缘(开:21846.0s 加:116.0s 等前:0.0s 等后:0.0s) | ST12 L2++(开:21962.0s 加:88.0s 等前:0.0s 等后:0.0s) | ST13 电检1(开:22050.0s 加:84.5s 等前:0.0s 等后:0.0s) | ST14 电检2(开:22134.5s 加:97.5s 等前:0.0s 等后:0.0s) | ST15 小跑道(开:22232.0s 加:50.0s 等前:0.0s 等后:0.0s)</t>
        </is>
      </c>
    </row>
    <row r="323">
      <c r="A323" s="15" t="n">
        <v>322</v>
      </c>
      <c r="B323" s="15" t="inlineStr">
        <is>
          <t>Car#321</t>
        </is>
      </c>
      <c r="C323" s="15" t="inlineStr">
        <is>
          <t>C</t>
        </is>
      </c>
      <c r="D323" s="16" t="n">
        <v>20766.5</v>
      </c>
      <c r="E323" s="16" t="n">
        <v>22332</v>
      </c>
      <c r="F323" s="16" t="n">
        <v>1565.5</v>
      </c>
      <c r="G323" s="16" t="n">
        <v>2348.5</v>
      </c>
      <c r="H323" s="15" t="inlineStr">
        <is>
          <t>Car#322</t>
        </is>
      </c>
      <c r="I323" s="16">
        <f>E323-E322</f>
        <v/>
      </c>
      <c r="J323" s="16">
        <f>I323-58</f>
        <v/>
      </c>
      <c r="K323" s="16">
        <f>MAX(0,J323)</f>
        <v/>
      </c>
      <c r="L323" s="16">
        <f>MAX(0,-J323)</f>
        <v/>
      </c>
      <c r="M323" s="16">
        <f>M322+I323</f>
        <v/>
      </c>
      <c r="N323" s="16">
        <f>D323+F323-E323</f>
        <v/>
      </c>
      <c r="O323" s="15" t="inlineStr">
        <is>
          <t>能力超目标：四轮定位上、下、ARHUD+慢充</t>
        </is>
      </c>
      <c r="P323" s="15" t="inlineStr">
        <is>
          <t>ST1 引取(开:20766.5s 加:56.0s 等前:2206.5s 等后:31.5s) | ST2 集约(开:20854.0s 加:111.0s 等前:0.0s 等后:9.5s) | ST3 空气悬挂+快充(开:20974.5s 加:108.5s 等前:0.0s 等后:29.0s) | ST4 四轮定位上、下(开:21112.0s 加:120.5s 等前:0.0s 等后:23.0s) | ST5 ADAS(开:21255.5s 加:107.0s 等前:0.0s 等后:7.5s) | ST6 ARHUD+慢充(开:21370.0s 加:143.5s 等前:0.0s 等后:0.0s) | ST7 转毂(开:21513.5s 加:114.5s 等前:0.0s 等后:0.0s) | ST8 制动(开:21628.0s 加:114.0s 等前:0.0s 等后:0.0s) | ST9 EG漏液/底盘漏液(开:21742.0s 加:112.5s 等前:0.0s 等后:0.0s) | ST10 全景/空调检查(开:21854.5s 加:0.0s 等前:0.0s 等后:0.0s) | ST11 气囊安装+绝缘(开:21854.5s 加:116.0s 等前:0.0s 等后:0.0s) | ST12 L2++(开:21970.5s 加:88.0s 等前:0.0s 等后:0.0s) | ST13 电检1(开:22058.5s 加:84.5s 等前:0.0s 等后:0.0s) | ST14 电检2(开:22143.0s 加:97.5s 等前:0.0s 等后:41.5s) | ST15 小跑道(开:22282.0s 加:50.0s 等前:0.0s 等后:0.0s)</t>
        </is>
      </c>
    </row>
    <row r="324">
      <c r="A324" s="13" t="n">
        <v>323</v>
      </c>
      <c r="B324" s="13" t="inlineStr">
        <is>
          <t>Car#324</t>
        </is>
      </c>
      <c r="C324" s="13" t="inlineStr">
        <is>
          <t>C</t>
        </is>
      </c>
      <c r="D324" s="14" t="n">
        <v>20974.5</v>
      </c>
      <c r="E324" s="14" t="n">
        <v>22425.5</v>
      </c>
      <c r="F324" s="14" t="n">
        <v>1451</v>
      </c>
      <c r="G324" s="14" t="n">
        <v>2268</v>
      </c>
      <c r="H324" s="13" t="inlineStr">
        <is>
          <t>Car#321</t>
        </is>
      </c>
      <c r="I324" s="14">
        <f>E324-E323</f>
        <v/>
      </c>
      <c r="J324" s="14">
        <f>I324-58</f>
        <v/>
      </c>
      <c r="K324" s="14">
        <f>MAX(0,J324)</f>
        <v/>
      </c>
      <c r="L324" s="14">
        <f>MAX(0,-J324)</f>
        <v/>
      </c>
      <c r="M324" s="14">
        <f>M323+I324</f>
        <v/>
      </c>
      <c r="N324" s="14">
        <f>D324+F324-E324</f>
        <v/>
      </c>
      <c r="O324" s="13" t="inlineStr">
        <is>
          <t>能力超目标：四轮定位上、下、ARHUD+慢充</t>
        </is>
      </c>
      <c r="P324" s="13" t="inlineStr">
        <is>
          <t>ST1 引取(开:20974.5s 加:56.0s 等前:2240.5s 等后:0.0s) | ST2 集约(开:21030.5s 加:111.0s 等前:0.0s 等后:0.0s) | ST3 空气悬挂+快充(开:21141.5s 加:108.5s 等前:0.0s 等后:0.0s) | ST4 四轮定位上、下(开:21250.0s 加:120.5s 等前:0.0s 等后:0.0s) | ST5 ADAS(开:21370.5s 加:107.0s 等前:0.0s 等后:27.5s) | ST6 ARHUD+慢充(开:21505.0s 加:143.5s 等前:0.0s 等后:0.0s) | ST7 转毂(开:21648.5s 加:114.5s 等前:0.0s 等后:0.0s) | ST8 制动(开:21763.0s 加:114.0s 等前:0.0s 等后:0.0s) | ST9 EG漏液/底盘漏液(开:21877.0s 加:112.5s 等前:0.0s 等后:0.0s) | ST10 全景/空调检查(开:21989.5s 加:0.0s 等前:0.0s 等后:0.0s) | ST11 气囊安装+绝缘(开:21989.5s 加:116.0s 等前:0.0s 等后:0.0s) | ST12 L2++(开:22105.5s 加:88.0s 等前:0.0s 等后:0.0s) | ST13 电检1(开:22193.5s 加:84.5s 等前:0.0s 等后:0.0s) | ST14 电检2(开:22278.0s 加:97.5s 等前:0.0s 等后:0.0s) | ST15 小跑道(开:22375.5s 加:50.0s 等前:0.0s 等后:0.0s)</t>
        </is>
      </c>
    </row>
    <row r="325">
      <c r="A325" s="15" t="n">
        <v>324</v>
      </c>
      <c r="B325" s="15" t="inlineStr">
        <is>
          <t>Car#326</t>
        </is>
      </c>
      <c r="C325" s="15" t="inlineStr">
        <is>
          <t>A</t>
        </is>
      </c>
      <c r="D325" s="16" t="n">
        <v>21112</v>
      </c>
      <c r="E325" s="16" t="n">
        <v>22476.5</v>
      </c>
      <c r="F325" s="16" t="n">
        <v>1364.5</v>
      </c>
      <c r="G325" s="16" t="n">
        <v>2765.5</v>
      </c>
      <c r="H325" s="15" t="inlineStr">
        <is>
          <t>Car#324</t>
        </is>
      </c>
      <c r="I325" s="16">
        <f>E325-E324</f>
        <v/>
      </c>
      <c r="J325" s="16">
        <f>I325-58</f>
        <v/>
      </c>
      <c r="K325" s="16">
        <f>MAX(0,J325)</f>
        <v/>
      </c>
      <c r="L325" s="16">
        <f>MAX(0,-J325)</f>
        <v/>
      </c>
      <c r="M325" s="16">
        <f>M324+I325</f>
        <v/>
      </c>
      <c r="N325" s="16">
        <f>D325+F325-E325</f>
        <v/>
      </c>
      <c r="O325" s="15" t="inlineStr">
        <is>
          <t>能力满足</t>
        </is>
      </c>
      <c r="P325" s="15" t="inlineStr">
        <is>
          <t>ST1 引取(开:21112.0s 加:55.0s 等前:2262.0s 等后:0.0s) | ST2 集约(开:21167.0s 加:106.0s 等前:0.0s 等后:0.0s) | ST3 空气悬挂+快充(开:21273.0s 加:0.0s 等前:0.0s 等后:97.5s) | ST4 四轮定位上、下(开:21370.5s 加:115.0s 等前:0.0s 等后:19.5s) | ST5 ADAS(开:21505.0s 加:97.0s 等前:0.0s 等后:46.5s) | ST6 ARHUD+慢充(开:21648.5s 加:0.0s 等前:0.0s 等后:114.5s) | ST7 转毂(开:21763.0s 加:116.0s 等前:0.0s 等后:0.0s) | ST8 制动(开:21879.0s 加:108.0s 等前:0.0s 等后:2.5s) | ST9 EG漏液/底盘漏液(开:21989.5s 加:115.0s 等前:0.0s 等后:0.0s) | ST10 全景/空调检查(开:22104.5s 加:98.0s 等前:0.0s 等后:0.0s) | ST11 气囊安装+绝缘(开:22202.5s 加:0.0s 等前:0.0s 等后:0.0s) | ST12 L2++(开:22202.5s 加:0.0s 等前:0.0s 等后:75.5s) | ST13 电检1(开:22278.0s 加:0.0s 等前:0.0s 等后:97.5s) | ST14 电检2(开:22375.5s 加:0.0s 等前:0.0s 等后:50.0s) | ST15 小跑道(开:22425.5s 加:51.0s 等前:0.0s 等后:0.0s)</t>
        </is>
      </c>
    </row>
    <row r="326">
      <c r="A326" s="13" t="n">
        <v>325</v>
      </c>
      <c r="B326" s="13" t="inlineStr">
        <is>
          <t>Car#323</t>
        </is>
      </c>
      <c r="C326" s="13" t="inlineStr">
        <is>
          <t>C</t>
        </is>
      </c>
      <c r="D326" s="14" t="n">
        <v>20910</v>
      </c>
      <c r="E326" s="14" t="n">
        <v>22526.5</v>
      </c>
      <c r="F326" s="14" t="n">
        <v>1616.5</v>
      </c>
      <c r="G326" s="14" t="n">
        <v>2427</v>
      </c>
      <c r="H326" s="13" t="inlineStr">
        <is>
          <t>Car#326</t>
        </is>
      </c>
      <c r="I326" s="14">
        <f>E326-E325</f>
        <v/>
      </c>
      <c r="J326" s="14">
        <f>I326-58</f>
        <v/>
      </c>
      <c r="K326" s="14">
        <f>MAX(0,J326)</f>
        <v/>
      </c>
      <c r="L326" s="14">
        <f>MAX(0,-J326)</f>
        <v/>
      </c>
      <c r="M326" s="14">
        <f>M325+I326</f>
        <v/>
      </c>
      <c r="N326" s="14">
        <f>D326+F326-E326</f>
        <v/>
      </c>
      <c r="O326" s="13" t="inlineStr">
        <is>
          <t>能力超目标：四轮定位上、下、ARHUD+慢充</t>
        </is>
      </c>
      <c r="P326" s="13" t="inlineStr">
        <is>
          <t>ST1 引取(开:20910.0s 加:56.0s 等前:2234.0s 等后:8.5s) | ST2 集约(开:20974.5s 加:111.0s 等前:0.0s 等后:26.5s) | ST3 空气悬挂+快充(开:21112.0s 加:108.5s 等前:0.0s 等后:35.0s) | ST4 四轮定位上、下(开:21255.5s 加:120.5s 等前:0.0s 等后:0.0s) | ST5 ADAS(开:21376.0s 加:107.0s 等前:0.0s 等后:30.5s) | ST6 ARHUD+慢充(开:21513.5s 加:143.5s 等前:0.0s 等后:0.0s) | ST7 转毂(开:21657.0s 加:114.5s 等前:0.0s 等后:0.0s) | ST8 制动(开:21771.5s 加:114.0s 等前:0.0s 等后:0.0s) | ST9 EG漏液/底盘漏液(开:21885.5s 加:112.5s 等前:0.0s 等后:0.0s) | ST10 全景/空调检查(开:21998.0s 加:0.0s 等前:0.0s 等后:0.0s) | ST11 气囊安装+绝缘(开:21998.0s 加:116.0s 等前:0.0s 等后:0.0s) | ST12 L2++(开:22114.0s 加:88.0s 等前:0.0s 等后:0.0s) | ST13 电检1(开:22202.0s 加:84.5s 等前:0.0s 等后:0.0s) | ST14 电检2(开:22286.5s 加:97.5s 等前:0.0s 等后:92.5s) | ST15 小跑道(开:22476.5s 加:50.0s 等前:0.0s 等后:0.0s)</t>
        </is>
      </c>
    </row>
    <row r="327">
      <c r="A327" s="15" t="n">
        <v>326</v>
      </c>
      <c r="B327" s="15" t="inlineStr">
        <is>
          <t>Car#325</t>
        </is>
      </c>
      <c r="C327" s="15" t="inlineStr">
        <is>
          <t>A</t>
        </is>
      </c>
      <c r="D327" s="16" t="n">
        <v>21030.5</v>
      </c>
      <c r="E327" s="16" t="n">
        <v>22577.5</v>
      </c>
      <c r="F327" s="16" t="n">
        <v>1547</v>
      </c>
      <c r="G327" s="16" t="n">
        <v>2924.5</v>
      </c>
      <c r="H327" s="15" t="inlineStr">
        <is>
          <t>Car#323</t>
        </is>
      </c>
      <c r="I327" s="16">
        <f>E327-E326</f>
        <v/>
      </c>
      <c r="J327" s="16">
        <f>I327-58</f>
        <v/>
      </c>
      <c r="K327" s="16">
        <f>MAX(0,J327)</f>
        <v/>
      </c>
      <c r="L327" s="16">
        <f>MAX(0,-J327)</f>
        <v/>
      </c>
      <c r="M327" s="16">
        <f>M326+I327</f>
        <v/>
      </c>
      <c r="N327" s="16">
        <f>D327+F327-E327</f>
        <v/>
      </c>
      <c r="O327" s="15" t="inlineStr">
        <is>
          <t>能力满足</t>
        </is>
      </c>
      <c r="P327" s="15" t="inlineStr">
        <is>
          <t>ST1 引取(开:21030.5s 加:55.0s 等前:2238.5s 等后:26.5s) | ST2 集约(开:21112.0s 加:106.0s 等前:0.0s 等后:37.5s) | ST3 空气悬挂+快充(开:21255.5s 加:0.0s 等前:0.0s 等后:120.5s) | ST4 四轮定位上、下(开:21376.0s 加:115.0s 等前:0.0s 等后:22.5s) | ST5 ADAS(开:21513.5s 加:97.0s 等前:0.0s 等后:46.5s) | ST6 ARHUD+慢充(开:21657.0s 加:0.0s 等前:0.0s 等后:114.5s) | ST7 转毂(开:21771.5s 加:116.0s 等前:0.0s 等后:0.0s) | ST8 制动(开:21887.5s 加:108.0s 等前:0.0s 等后:2.5s) | ST9 EG漏液/底盘漏液(开:21998.0s 加:115.0s 等前:0.0s 等后:0.0s) | ST10 全景/空调检查(开:22113.0s 加:98.0s 等前:0.0s 等后:0.0s) | ST11 气囊安装+绝缘(开:22211.0s 加:0.0s 等前:0.0s 等后:0.0s) | ST12 L2++(开:22211.0s 加:0.0s 等前:0.0s 等后:75.5s) | ST13 电检1(开:22286.5s 加:0.0s 等前:0.0s 等后:190.0s) | ST14 电检2(开:22476.5s 加:0.0s 等前:0.0s 等后:50.0s) | ST15 小跑道(开:22526.5s 加:51.0s 等前:0.0s 等后:0.0s)</t>
        </is>
      </c>
    </row>
    <row r="328">
      <c r="A328" s="13" t="n">
        <v>327</v>
      </c>
      <c r="B328" s="13" t="inlineStr">
        <is>
          <t>Car#328</t>
        </is>
      </c>
      <c r="C328" s="13" t="inlineStr">
        <is>
          <t>B</t>
        </is>
      </c>
      <c r="D328" s="14" t="n">
        <v>21255.5</v>
      </c>
      <c r="E328" s="14" t="n">
        <v>22656</v>
      </c>
      <c r="F328" s="14" t="n">
        <v>1400.5</v>
      </c>
      <c r="G328" s="14" t="n">
        <v>2358.5</v>
      </c>
      <c r="H328" s="13" t="inlineStr">
        <is>
          <t>Car#325</t>
        </is>
      </c>
      <c r="I328" s="14">
        <f>E328-E327</f>
        <v/>
      </c>
      <c r="J328" s="14">
        <f>I328-58</f>
        <v/>
      </c>
      <c r="K328" s="14">
        <f>MAX(0,J328)</f>
        <v/>
      </c>
      <c r="L328" s="14">
        <f>MAX(0,-J328)</f>
        <v/>
      </c>
      <c r="M328" s="14">
        <f>M327+I328</f>
        <v/>
      </c>
      <c r="N328" s="14">
        <f>D328+F328-E328</f>
        <v/>
      </c>
      <c r="O328" s="13" t="inlineStr">
        <is>
          <t>能力超目标：四轮定位上、下</t>
        </is>
      </c>
      <c r="P328" s="13" t="inlineStr">
        <is>
          <t>ST1 引取(开:21255.5s 加:56.0s 等前:2289.5s 等后:0.0s) | ST2 集约(开:21311.5s 加:111.0s 等前:0.0s 等后:0.0s) | ST3 空气悬挂+快充(开:21422.5s 加:108.5s 等前:0.0s 等后:0.0s) | ST4 四轮定位上、下(开:21531.0s 加:120.5s 等前:0.0s 等后:0.0s) | ST5 ADAS(开:21651.5s 加:107.0s 等前:0.0s 等后:4.5s) | ST6 ARHUD+慢充(开:21763.0s 加:51.5s 等前:0.0s 等后:64.5s) | ST7 转毂(开:21879.0s 加:114.5s 等前:0.0s 等后:0.0s) | ST8 制动(开:21993.5s 加:114.0s 等前:0.0s 等后:0.0s) | ST9 EG漏液/底盘漏液(开:22107.5s 加:112.5s 等前:0.0s 等后:0.0s) | ST10 全景/空调检查(开:22220.0s 加:0.0s 等前:0.0s 等后:0.0s) | ST11 气囊安装+绝缘(开:22220.0s 加:116.0s 等前:0.0s 等后:0.0s) | ST12 L2++(开:22336.0s 加:88.0s 等前:0.0s 等后:0.0s) | ST13 电检1(开:22424.0s 加:84.5s 等前:0.0s 等后:0.0s) | ST14 电检2(开:22508.5s 加:97.5s 等前:0.0s 等后:0.0s) | ST15 小跑道(开:22606.0s 加:50.0s 等前:0.0s 等后:0.0s)</t>
        </is>
      </c>
    </row>
    <row r="329">
      <c r="A329" s="15" t="n">
        <v>328</v>
      </c>
      <c r="B329" s="15" t="inlineStr">
        <is>
          <t>Car#327</t>
        </is>
      </c>
      <c r="C329" s="15" t="inlineStr">
        <is>
          <t>B</t>
        </is>
      </c>
      <c r="D329" s="16" t="n">
        <v>21167</v>
      </c>
      <c r="E329" s="16" t="n">
        <v>22708.5</v>
      </c>
      <c r="F329" s="16" t="n">
        <v>1541.5</v>
      </c>
      <c r="G329" s="16" t="n">
        <v>2469</v>
      </c>
      <c r="H329" s="15" t="inlineStr">
        <is>
          <t>Car#328</t>
        </is>
      </c>
      <c r="I329" s="16">
        <f>E329-E328</f>
        <v/>
      </c>
      <c r="J329" s="16">
        <f>I329-58</f>
        <v/>
      </c>
      <c r="K329" s="16">
        <f>MAX(0,J329)</f>
        <v/>
      </c>
      <c r="L329" s="16">
        <f>MAX(0,-J329)</f>
        <v/>
      </c>
      <c r="M329" s="16">
        <f>M328+I329</f>
        <v/>
      </c>
      <c r="N329" s="16">
        <f>D329+F329-E329</f>
        <v/>
      </c>
      <c r="O329" s="15" t="inlineStr">
        <is>
          <t>能力超目标：四轮定位上、下</t>
        </is>
      </c>
      <c r="P329" s="15" t="inlineStr">
        <is>
          <t>ST1 引取(开:21167.0s 加:56.0s 等前:2259.0s 等后:32.5s) | ST2 集约(开:21255.5s 加:111.0s 等前:0.0s 等后:9.5s) | ST3 空气悬挂+快充(开:21376.0s 加:108.5s 等前:0.0s 等后:29.0s) | ST4 四轮定位上、下(开:21513.5s 加:120.5s 等前:0.0s 等后:23.0s) | ST5 ADAS(开:21657.0s 加:107.0s 等前:0.0s 等后:7.5s) | ST6 ARHUD+慢充(开:21771.5s 加:51.5s 等前:0.0s 等后:64.5s) | ST7 转毂(开:21887.5s 加:114.5s 等前:0.0s 等后:0.0s) | ST8 制动(开:22002.0s 加:114.0s 等前:0.0s 等后:0.0s) | ST9 EG漏液/底盘漏液(开:22116.0s 加:112.5s 等前:0.0s 等后:0.0s) | ST10 全景/空调检查(开:22228.5s 加:0.0s 等前:0.0s 等后:0.0s) | ST11 气囊安装+绝缘(开:22228.5s 加:116.0s 等前:0.0s 等后:0.0s) | ST12 L2++(开:22344.5s 加:88.0s 等前:0.0s 等后:44.0s) | ST13 电检1(开:22476.5s 加:84.5s 等前:0.0s 等后:0.0s) | ST14 电检2(开:22561.0s 加:97.5s 等前:0.0s 等后:0.0s) | ST15 小跑道(开:22658.5s 加:50.0s 等前:0.0s 等后:0.0s)</t>
        </is>
      </c>
    </row>
    <row r="330">
      <c r="A330" s="13" t="n">
        <v>329</v>
      </c>
      <c r="B330" s="13" t="inlineStr">
        <is>
          <t>Car#330</t>
        </is>
      </c>
      <c r="C330" s="13" t="inlineStr">
        <is>
          <t>C</t>
        </is>
      </c>
      <c r="D330" s="14" t="n">
        <v>21376</v>
      </c>
      <c r="E330" s="14" t="n">
        <v>22799.5</v>
      </c>
      <c r="F330" s="14" t="n">
        <v>1423.5</v>
      </c>
      <c r="G330" s="14" t="n">
        <v>2294</v>
      </c>
      <c r="H330" s="13" t="inlineStr">
        <is>
          <t>Car#327</t>
        </is>
      </c>
      <c r="I330" s="14">
        <f>E330-E329</f>
        <v/>
      </c>
      <c r="J330" s="14">
        <f>I330-58</f>
        <v/>
      </c>
      <c r="K330" s="14">
        <f>MAX(0,J330)</f>
        <v/>
      </c>
      <c r="L330" s="14">
        <f>MAX(0,-J330)</f>
        <v/>
      </c>
      <c r="M330" s="14">
        <f>M329+I330</f>
        <v/>
      </c>
      <c r="N330" s="14">
        <f>D330+F330-E330</f>
        <v/>
      </c>
      <c r="O330" s="13" t="inlineStr">
        <is>
          <t>能力超目标：四轮定位上、下、ARHUD+慢充</t>
        </is>
      </c>
      <c r="P330" s="13" t="inlineStr">
        <is>
          <t>ST1 引取(开:21376.0s 加:56.0s 等前:2294.0s 等后:0.0s) | ST2 集约(开:21432.0s 加:111.0s 等前:0.0s 等后:0.0s) | ST3 空气悬挂+快充(开:21543.0s 加:108.5s 等前:0.0s 等后:0.0s) | ST4 四轮定位上、下(开:21651.5s 加:120.5s 等前:0.0s 等后:0.0s) | ST5 ADAS(开:21772.0s 加:107.0s 等前:0.0s 等后:0.0s) | ST6 ARHUD+慢充(开:21879.0s 加:143.5s 等前:0.0s 等后:0.0s) | ST7 转毂(开:22022.5s 加:114.5s 等前:0.0s 等后:0.0s) | ST8 制动(开:22137.0s 加:114.0s 等前:0.0s 等后:0.0s) | ST9 EG漏液/底盘漏液(开:22251.0s 加:112.5s 等前:0.0s 等后:0.0s) | ST10 全景/空调检查(开:22363.5s 加:0.0s 等前:0.0s 等后:0.0s) | ST11 气囊安装+绝缘(开:22363.5s 加:116.0s 等前:0.0s 等后:0.0s) | ST12 L2++(开:22479.5s 加:88.0s 等前:0.0s 等后:0.0s) | ST13 电检1(开:22567.5s 加:84.5s 等前:0.0s 等后:0.0s) | ST14 电检2(开:22652.0s 加:97.5s 等前:0.0s 等后:0.0s) | ST15 小跑道(开:22749.5s 加:50.0s 等前:0.0s 等后:0.0s)</t>
        </is>
      </c>
    </row>
    <row r="331">
      <c r="A331" s="15" t="n">
        <v>330</v>
      </c>
      <c r="B331" s="15" t="inlineStr">
        <is>
          <t>Car#329</t>
        </is>
      </c>
      <c r="C331" s="15" t="inlineStr">
        <is>
          <t>C</t>
        </is>
      </c>
      <c r="D331" s="16" t="n">
        <v>21311.5</v>
      </c>
      <c r="E331" s="16" t="n">
        <v>22849.5</v>
      </c>
      <c r="F331" s="16" t="n">
        <v>1538</v>
      </c>
      <c r="G331" s="16" t="n">
        <v>2402</v>
      </c>
      <c r="H331" s="15" t="inlineStr">
        <is>
          <t>Car#330</t>
        </is>
      </c>
      <c r="I331" s="16">
        <f>E331-E330</f>
        <v/>
      </c>
      <c r="J331" s="16">
        <f>I331-58</f>
        <v/>
      </c>
      <c r="K331" s="16">
        <f>MAX(0,J331)</f>
        <v/>
      </c>
      <c r="L331" s="16">
        <f>MAX(0,-J331)</f>
        <v/>
      </c>
      <c r="M331" s="16">
        <f>M330+I331</f>
        <v/>
      </c>
      <c r="N331" s="16">
        <f>D331+F331-E331</f>
        <v/>
      </c>
      <c r="O331" s="15" t="inlineStr">
        <is>
          <t>能力超目标：四轮定位上、下、ARHUD+慢充</t>
        </is>
      </c>
      <c r="P331" s="15" t="inlineStr">
        <is>
          <t>ST1 引取(开:21311.5s 加:56.0s 等前:2287.5s 等后:8.5s) | ST2 集约(开:21376.0s 加:111.0s 等前:0.0s 等后:26.5s) | ST3 空气悬挂+快充(开:21513.5s 加:108.5s 等前:0.0s 等后:35.0s) | ST4 四轮定位上、下(开:21657.0s 加:120.5s 等前:0.0s 等后:0.0s) | ST5 ADAS(开:21777.5s 加:107.0s 等前:0.0s 等后:3.0s) | ST6 ARHUD+慢充(开:21887.5s 加:143.5s 等前:0.0s 等后:0.0s) | ST7 转毂(开:22031.0s 加:114.5s 等前:0.0s 等后:0.0s) | ST8 制动(开:22145.5s 加:114.0s 等前:0.0s 等后:0.0s) | ST9 EG漏液/底盘漏液(开:22259.5s 加:112.5s 等前:0.0s 等后:0.0s) | ST10 全景/空调检查(开:22372.0s 加:0.0s 等前:0.0s 等后:0.0s) | ST11 气囊安装+绝缘(开:22372.0s 加:116.0s 等前:0.0s 等后:0.0s) | ST12 L2++(开:22488.0s 加:88.0s 等前:0.0s 等后:0.0s) | ST13 电检1(开:22576.0s 加:84.5s 等前:0.0s 等后:0.0s) | ST14 电检2(开:22660.5s 加:97.5s 等前:0.0s 等后:41.5s) | ST15 小跑道(开:22799.5s 加:50.0s 等前:0.0s 等后:0.0s)</t>
        </is>
      </c>
    </row>
    <row r="332">
      <c r="A332" s="13" t="n">
        <v>331</v>
      </c>
      <c r="B332" s="13" t="inlineStr">
        <is>
          <t>Car#332</t>
        </is>
      </c>
      <c r="C332" s="13" t="inlineStr">
        <is>
          <t>C</t>
        </is>
      </c>
      <c r="D332" s="14" t="n">
        <v>21513.5</v>
      </c>
      <c r="E332" s="14" t="n">
        <v>22943</v>
      </c>
      <c r="F332" s="14" t="n">
        <v>1429.5</v>
      </c>
      <c r="G332" s="14" t="n">
        <v>2321.5</v>
      </c>
      <c r="H332" s="13" t="inlineStr">
        <is>
          <t>Car#329</t>
        </is>
      </c>
      <c r="I332" s="14">
        <f>E332-E331</f>
        <v/>
      </c>
      <c r="J332" s="14">
        <f>I332-58</f>
        <v/>
      </c>
      <c r="K332" s="14">
        <f>MAX(0,J332)</f>
        <v/>
      </c>
      <c r="L332" s="14">
        <f>MAX(0,-J332)</f>
        <v/>
      </c>
      <c r="M332" s="14">
        <f>M331+I332</f>
        <v/>
      </c>
      <c r="N332" s="14">
        <f>D332+F332-E332</f>
        <v/>
      </c>
      <c r="O332" s="13" t="inlineStr">
        <is>
          <t>能力超目标：四轮定位上、下、ARHUD+慢充</t>
        </is>
      </c>
      <c r="P332" s="13" t="inlineStr">
        <is>
          <t>ST1 引取(开:21513.5s 加:56.0s 等前:2315.5s 等后:0.0s) | ST2 集约(开:21569.5s 加:111.0s 等前:0.0s 等后:0.0s) | ST3 空气悬挂+快充(开:21680.5s 加:108.5s 等前:0.0s 等后:0.0s) | ST4 四轮定位上、下(开:21789.0s 加:120.5s 等前:0.0s 等后:0.0s) | ST5 ADAS(开:21909.5s 加:107.0s 等前:0.0s 等后:6.0s) | ST6 ARHUD+慢充(开:22022.5s 加:143.5s 等前:0.0s 等后:0.0s) | ST7 转毂(开:22166.0s 加:114.5s 等前:0.0s 等后:0.0s) | ST8 制动(开:22280.5s 加:114.0s 等前:0.0s 等后:0.0s) | ST9 EG漏液/底盘漏液(开:22394.5s 加:112.5s 等前:0.0s 等后:0.0s) | ST10 全景/空调检查(开:22507.0s 加:0.0s 等前:0.0s 等后:0.0s) | ST11 气囊安装+绝缘(开:22507.0s 加:116.0s 等前:0.0s 等后:0.0s) | ST12 L2++(开:22623.0s 加:88.0s 等前:0.0s 等后:0.0s) | ST13 电检1(开:22711.0s 加:84.5s 等前:0.0s 等后:0.0s) | ST14 电检2(开:22795.5s 加:97.5s 等前:0.0s 等后:0.0s) | ST15 小跑道(开:22893.0s 加:50.0s 等前:0.0s 等后:0.0s)</t>
        </is>
      </c>
    </row>
    <row r="333">
      <c r="A333" s="15" t="n">
        <v>332</v>
      </c>
      <c r="B333" s="15" t="inlineStr">
        <is>
          <t>Car#331</t>
        </is>
      </c>
      <c r="C333" s="15" t="inlineStr">
        <is>
          <t>C</t>
        </is>
      </c>
      <c r="D333" s="16" t="n">
        <v>21432</v>
      </c>
      <c r="E333" s="16" t="n">
        <v>22993</v>
      </c>
      <c r="F333" s="16" t="n">
        <v>1561</v>
      </c>
      <c r="G333" s="16" t="n">
        <v>2429.5</v>
      </c>
      <c r="H333" s="15" t="inlineStr">
        <is>
          <t>Car#332</t>
        </is>
      </c>
      <c r="I333" s="16">
        <f>E333-E332</f>
        <v/>
      </c>
      <c r="J333" s="16">
        <f>I333-58</f>
        <v/>
      </c>
      <c r="K333" s="16">
        <f>MAX(0,J333)</f>
        <v/>
      </c>
      <c r="L333" s="16">
        <f>MAX(0,-J333)</f>
        <v/>
      </c>
      <c r="M333" s="16">
        <f>M332+I333</f>
        <v/>
      </c>
      <c r="N333" s="16">
        <f>D333+F333-E333</f>
        <v/>
      </c>
      <c r="O333" s="15" t="inlineStr">
        <is>
          <t>能力超目标：四轮定位上、下、ARHUD+慢充</t>
        </is>
      </c>
      <c r="P333" s="15" t="inlineStr">
        <is>
          <t>ST1 引取(开:21432.0s 加:56.0s 等前:2292.0s 等后:25.5s) | ST2 集约(开:21513.5s 加:111.0s 等前:0.0s 等后:32.5s) | ST3 空气悬挂+快充(开:21657.0s 加:108.5s 等前:0.0s 等后:12.0s) | ST4 四轮定位上、下(开:21777.5s 加:120.5s 等前:0.0s 等后:0.0s) | ST5 ADAS(开:21898.0s 加:107.0s 等前:0.0s 等后:26.0s) | ST6 ARHUD+慢充(开:22031.0s 加:143.5s 等前:0.0s 等后:0.0s) | ST7 转毂(开:22174.5s 加:114.5s 等前:0.0s 等后:0.0s) | ST8 制动(开:22289.0s 加:114.0s 等前:0.0s 等后:0.0s) | ST9 EG漏液/底盘漏液(开:22403.0s 加:112.5s 等前:0.0s 等后:0.0s) | ST10 全景/空调检查(开:22515.5s 加:0.0s 等前:0.0s 等后:0.0s) | ST11 气囊安装+绝缘(开:22515.5s 加:116.0s 等前:0.0s 等后:0.0s) | ST12 L2++(开:22631.5s 加:88.0s 等前:0.0s 等后:0.0s) | ST13 电检1(开:22719.5s 加:84.5s 等前:0.0s 等后:0.0s) | ST14 电检2(开:22804.0s 加:97.5s 等前:0.0s 等后:41.5s) | ST15 小跑道(开:22943.0s 加:50.0s 等前:0.0s 等后:0.0s)</t>
        </is>
      </c>
    </row>
    <row r="334">
      <c r="A334" s="13" t="n">
        <v>333</v>
      </c>
      <c r="B334" s="13" t="inlineStr">
        <is>
          <t>Car#333</t>
        </is>
      </c>
      <c r="C334" s="13" t="inlineStr">
        <is>
          <t>A</t>
        </is>
      </c>
      <c r="D334" s="14" t="n">
        <v>21569.5</v>
      </c>
      <c r="E334" s="14" t="n">
        <v>23044</v>
      </c>
      <c r="F334" s="14" t="n">
        <v>1474.5</v>
      </c>
      <c r="G334" s="14" t="n">
        <v>2927</v>
      </c>
      <c r="H334" s="13" t="inlineStr">
        <is>
          <t>Car#331</t>
        </is>
      </c>
      <c r="I334" s="14">
        <f>E334-E333</f>
        <v/>
      </c>
      <c r="J334" s="14">
        <f>I334-58</f>
        <v/>
      </c>
      <c r="K334" s="14">
        <f>MAX(0,J334)</f>
        <v/>
      </c>
      <c r="L334" s="14">
        <f>MAX(0,-J334)</f>
        <v/>
      </c>
      <c r="M334" s="14">
        <f>M333+I334</f>
        <v/>
      </c>
      <c r="N334" s="14">
        <f>D334+F334-E334</f>
        <v/>
      </c>
      <c r="O334" s="13" t="inlineStr">
        <is>
          <t>能力满足</t>
        </is>
      </c>
      <c r="P334" s="13" t="inlineStr">
        <is>
          <t>ST1 引取(开:21569.5s 加:55.0s 等前:2313.5s 等后:32.5s) | ST2 集约(开:21657.0s 加:106.0s 等前:0.0s 等后:14.5s) | ST3 空气悬挂+快充(开:21777.5s 加:0.0s 等前:0.0s 等后:120.5s) | ST4 四轮定位上、下(开:21898.0s 加:115.0s 等前:0.0s 等后:18.0s) | ST5 ADAS(开:22031.0s 加:97.0s 等前:0.0s 等后:46.5s) | ST6 ARHUD+慢充(开:22174.5s 加:0.0s 等前:0.0s 等后:114.5s) | ST7 转毂(开:22289.0s 加:116.0s 等前:0.0s 等后:0.0s) | ST8 制动(开:22405.0s 加:108.0s 等前:0.0s 等后:2.5s) | ST9 EG漏液/底盘漏液(开:22515.5s 加:115.0s 等前:0.0s 等后:0.0s) | ST10 全景/空调检查(开:22630.5s 加:98.0s 等前:0.0s 等后:0.0s) | ST11 气囊安装+绝缘(开:22728.5s 加:0.0s 等前:0.0s 等后:0.0s) | ST12 L2++(开:22728.5s 加:0.0s 等前:0.0s 等后:75.5s) | ST13 电检1(开:22804.0s 加:0.0s 等前:0.0s 等后:139.0s) | ST14 电检2(开:22943.0s 加:0.0s 等前:0.0s 等后:50.0s) | ST15 小跑道(开:22993.0s 加:51.0s 等前:0.0s 等后:0.0s)</t>
        </is>
      </c>
    </row>
    <row r="335">
      <c r="A335" s="15" t="n">
        <v>334</v>
      </c>
      <c r="B335" s="15" t="inlineStr">
        <is>
          <t>Car#334</t>
        </is>
      </c>
      <c r="C335" s="15" t="inlineStr">
        <is>
          <t>B</t>
        </is>
      </c>
      <c r="D335" s="16" t="n">
        <v>21657</v>
      </c>
      <c r="E335" s="16" t="n">
        <v>23094</v>
      </c>
      <c r="F335" s="16" t="n">
        <v>1437</v>
      </c>
      <c r="G335" s="16" t="n">
        <v>2448.5</v>
      </c>
      <c r="H335" s="15" t="inlineStr">
        <is>
          <t>Car#333</t>
        </is>
      </c>
      <c r="I335" s="16">
        <f>E335-E334</f>
        <v/>
      </c>
      <c r="J335" s="16">
        <f>I335-58</f>
        <v/>
      </c>
      <c r="K335" s="16">
        <f>MAX(0,J335)</f>
        <v/>
      </c>
      <c r="L335" s="16">
        <f>MAX(0,-J335)</f>
        <v/>
      </c>
      <c r="M335" s="16">
        <f>M334+I335</f>
        <v/>
      </c>
      <c r="N335" s="16">
        <f>D335+F335-E335</f>
        <v/>
      </c>
      <c r="O335" s="15" t="inlineStr">
        <is>
          <t>能力超目标：四轮定位上、下</t>
        </is>
      </c>
      <c r="P335" s="15" t="inlineStr">
        <is>
          <t>ST1 引取(开:21657.0s 加:56.0s 等前:2343.0s 等后:0.0s) | ST2 集约(开:21713.0s 加:111.0s 等前:0.0s 等后:0.0s) | ST3 空气悬挂+快充(开:21824.0s 加:108.5s 等前:0.0s 等后:0.0s) | ST4 四轮定位上、下(开:21932.5s 加:120.5s 等前:0.0s 等后:0.0s) | ST5 ADAS(开:22053.0s 加:107.0s 等前:0.0s 等后:6.0s) | ST6 ARHUD+慢充(开:22166.0s 加:51.5s 等前:0.0s 等后:63.0s) | ST7 转毂(开:22280.5s 加:114.5s 等前:0.0s 等后:0.0s) | ST8 制动(开:22395.0s 加:114.0s 等前:0.0s 等后:0.0s) | ST9 EG漏液/底盘漏液(开:22509.0s 加:112.5s 等前:0.0s 等后:0.0s) | ST10 全景/空调检查(开:22621.5s 加:0.0s 等前:0.0s 等后:1.5s) | ST11 气囊安装+绝缘(开:22623.0s 加:116.0s 等前:0.0s 等后:0.0s) | ST12 L2++(开:22739.0s 加:88.0s 等前:0.0s 等后:0.0s) | ST13 电检1(开:22827.0s 加:84.5s 等前:0.0s 等后:0.0s) | ST14 电检2(开:22911.5s 加:97.5s 等前:0.0s 等后:35.0s) | ST15 小跑道(开:23044.0s 加:50.0s 等前:0.0s 等后:0.0s)</t>
        </is>
      </c>
    </row>
    <row r="336">
      <c r="A336" s="13" t="n">
        <v>335</v>
      </c>
      <c r="B336" s="13" t="inlineStr">
        <is>
          <t>Car#335</t>
        </is>
      </c>
      <c r="C336" s="13" t="inlineStr">
        <is>
          <t>B</t>
        </is>
      </c>
      <c r="D336" s="14" t="n">
        <v>21713</v>
      </c>
      <c r="E336" s="14" t="n">
        <v>23182</v>
      </c>
      <c r="F336" s="14" t="n">
        <v>1469</v>
      </c>
      <c r="G336" s="14" t="n">
        <v>2478.5</v>
      </c>
      <c r="H336" s="13" t="inlineStr">
        <is>
          <t>Car#334</t>
        </is>
      </c>
      <c r="I336" s="14">
        <f>E336-E335</f>
        <v/>
      </c>
      <c r="J336" s="14">
        <f>I336-58</f>
        <v/>
      </c>
      <c r="K336" s="14">
        <f>MAX(0,J336)</f>
        <v/>
      </c>
      <c r="L336" s="14">
        <f>MAX(0,-J336)</f>
        <v/>
      </c>
      <c r="M336" s="14">
        <f>M335+I336</f>
        <v/>
      </c>
      <c r="N336" s="14">
        <f>D336+F336-E336</f>
        <v/>
      </c>
      <c r="O336" s="13" t="inlineStr">
        <is>
          <t>能力超目标：四轮定位上、下</t>
        </is>
      </c>
      <c r="P336" s="13" t="inlineStr">
        <is>
          <t>ST1 引取(开:21713.0s 加:56.0s 等前:2341.0s 等后:8.5s) | ST2 集约(开:21777.5s 加:111.0s 等前:0.0s 等后:9.5s) | ST3 空气悬挂+快充(开:21898.0s 加:108.5s 等前:0.0s 等后:24.5s) | ST4 四轮定位上、下(开:22031.0s 加:120.5s 等前:0.0s 等后:23.0s) | ST5 ADAS(开:22174.5s 加:107.0s 等前:0.0s 等后:7.5s) | ST6 ARHUD+慢充(开:22289.0s 加:51.5s 等前:0.0s 等后:64.5s) | ST7 转毂(开:22405.0s 加:114.5s 等前:0.0s 等后:0.0s) | ST8 制动(开:22519.5s 加:114.0s 等前:0.0s 等后:0.0s) | ST9 EG漏液/底盘漏液(开:22633.5s 加:112.5s 等前:0.0s 等后:0.0s) | ST10 全景/空调检查(开:22746.0s 加:0.0s 等前:0.0s 等后:0.0s) | ST11 气囊安装+绝缘(开:22746.0s 加:116.0s 等前:0.0s 等后:0.0s) | ST12 L2++(开:22862.0s 加:88.0s 等前:0.0s 等后:0.0s) | ST13 电检1(开:22950.0s 加:84.5s 等前:0.0s 等后:0.0s) | ST14 电检2(开:23034.5s 加:97.5s 等前:0.0s 等后:0.0s) | ST15 小跑道(开:23132.0s 加:50.0s 等前:0.0s 等后:0.0s)</t>
        </is>
      </c>
    </row>
    <row r="337">
      <c r="A337" s="15" t="n">
        <v>336</v>
      </c>
      <c r="B337" s="15" t="inlineStr">
        <is>
          <t>Car#336</t>
        </is>
      </c>
      <c r="C337" s="15" t="inlineStr">
        <is>
          <t>B</t>
        </is>
      </c>
      <c r="D337" s="16" t="n">
        <v>21777.5</v>
      </c>
      <c r="E337" s="16" t="n">
        <v>23232</v>
      </c>
      <c r="F337" s="16" t="n">
        <v>1454.5</v>
      </c>
      <c r="G337" s="16" t="n">
        <v>2470.5</v>
      </c>
      <c r="H337" s="15" t="inlineStr">
        <is>
          <t>Car#335</t>
        </is>
      </c>
      <c r="I337" s="16">
        <f>E337-E336</f>
        <v/>
      </c>
      <c r="J337" s="16">
        <f>I337-58</f>
        <v/>
      </c>
      <c r="K337" s="16">
        <f>MAX(0,J337)</f>
        <v/>
      </c>
      <c r="L337" s="16">
        <f>MAX(0,-J337)</f>
        <v/>
      </c>
      <c r="M337" s="16">
        <f>M336+I337</f>
        <v/>
      </c>
      <c r="N337" s="16">
        <f>D337+F337-E337</f>
        <v/>
      </c>
      <c r="O337" s="15" t="inlineStr">
        <is>
          <t>能力超目标：四轮定位上、下</t>
        </is>
      </c>
      <c r="P337" s="15" t="inlineStr">
        <is>
          <t>ST1 引取(开:21777.5s 加:56.0s 等前:2347.5s 等后:0.0s) | ST2 集约(开:21833.5s 加:111.0s 等前:0.0s 等后:0.0s) | ST3 空气悬挂+快充(开:21944.5s 加:108.5s 等前:0.0s 等后:0.0s) | ST4 四轮定位上、下(开:22053.0s 加:120.5s 等前:0.0s 等后:0.0s) | ST5 ADAS(开:22173.5s 加:107.0s 等前:0.0s 等后:0.0s) | ST6 ARHUD+慢充(开:22280.5s 加:51.5s 等前:0.0s 等后:63.0s) | ST7 转毂(开:22395.0s 加:114.5s 等前:0.0s 等后:0.0s) | ST8 制动(开:22509.5s 加:114.0s 等前:0.0s 等后:0.0s) | ST9 EG漏液/底盘漏液(开:22623.5s 加:112.5s 等前:0.0s 等后:0.0s) | ST10 全景/空调检查(开:22736.0s 加:0.0s 等前:0.0s 等后:3.0s) | ST11 气囊安装+绝缘(开:22739.0s 加:116.0s 等前:0.0s 等后:0.0s) | ST12 L2++(开:22855.0s 加:88.0s 等前:0.0s 等后:0.0s) | ST13 电检1(开:22943.0s 加:84.5s 等前:0.0s 等后:16.5s) | ST14 电检2(开:23044.0s 加:97.5s 等前:0.0s 等后:40.5s) | ST15 小跑道(开:23182.0s 加:50.0s 等前:0.0s 等后:0.0s)</t>
        </is>
      </c>
    </row>
    <row r="338">
      <c r="A338" s="13" t="n">
        <v>337</v>
      </c>
      <c r="B338" s="13" t="inlineStr">
        <is>
          <t>Car#338</t>
        </is>
      </c>
      <c r="C338" s="13" t="inlineStr">
        <is>
          <t>A</t>
        </is>
      </c>
      <c r="D338" s="14" t="n">
        <v>21898</v>
      </c>
      <c r="E338" s="14" t="n">
        <v>23283</v>
      </c>
      <c r="F338" s="14" t="n">
        <v>1385</v>
      </c>
      <c r="G338" s="14" t="n">
        <v>2876</v>
      </c>
      <c r="H338" s="13" t="inlineStr">
        <is>
          <t>Car#336</t>
        </is>
      </c>
      <c r="I338" s="14">
        <f>E338-E337</f>
        <v/>
      </c>
      <c r="J338" s="14">
        <f>I338-58</f>
        <v/>
      </c>
      <c r="K338" s="14">
        <f>MAX(0,J338)</f>
        <v/>
      </c>
      <c r="L338" s="14">
        <f>MAX(0,-J338)</f>
        <v/>
      </c>
      <c r="M338" s="14">
        <f>M337+I338</f>
        <v/>
      </c>
      <c r="N338" s="14">
        <f>D338+F338-E338</f>
        <v/>
      </c>
      <c r="O338" s="13" t="inlineStr">
        <is>
          <t>能力满足</t>
        </is>
      </c>
      <c r="P338" s="13" t="inlineStr">
        <is>
          <t>ST1 引取(开:21898.0s 加:55.0s 等前:2352.0s 等后:0.0s) | ST2 集约(开:21953.0s 加:106.0s 等前:0.0s 等后:0.0s) | ST3 空气悬挂+快充(开:22059.0s 加:0.0s 等前:0.0s 等后:114.5s) | ST4 四轮定位上、下(开:22173.5s 加:115.0s 等前:0.0s 等后:0.0s) | ST5 ADAS(开:22288.5s 加:97.0s 等前:0.0s 等后:9.5s) | ST6 ARHUD+慢充(开:22395.0s 加:0.0s 等前:0.0s 等后:114.5s) | ST7 转毂(开:22509.5s 加:116.0s 等前:0.0s 等后:0.0s) | ST8 制动(开:22625.5s 加:108.0s 等前:0.0s 等后:2.5s) | ST9 EG漏液/底盘漏液(开:22736.0s 加:115.0s 等前:0.0s 等后:0.0s) | ST10 全景/空调检查(开:22851.0s 加:98.0s 等前:0.0s 等后:0.0s) | ST11 气囊安装+绝缘(开:22949.0s 加:0.0s 等前:0.0s 等后:0.0s) | ST12 L2++(开:22949.0s 加:0.0s 等前:0.0s 等后:95.0s) | ST13 电检1(开:23044.0s 加:0.0s 等前:0.0s 等后:138.0s) | ST14 电检2(开:23182.0s 加:0.0s 等前:0.0s 等后:50.0s) | ST15 小跑道(开:23232.0s 加:51.0s 等前:0.0s 等后:0.0s)</t>
        </is>
      </c>
    </row>
    <row r="339">
      <c r="A339" s="15" t="n">
        <v>338</v>
      </c>
      <c r="B339" s="15" t="inlineStr">
        <is>
          <t>Car#337</t>
        </is>
      </c>
      <c r="C339" s="15" t="inlineStr">
        <is>
          <t>C</t>
        </is>
      </c>
      <c r="D339" s="16" t="n">
        <v>21833.5</v>
      </c>
      <c r="E339" s="16" t="n">
        <v>23333</v>
      </c>
      <c r="F339" s="16" t="n">
        <v>1499.5</v>
      </c>
      <c r="G339" s="16" t="n">
        <v>2421.5</v>
      </c>
      <c r="H339" s="15" t="inlineStr">
        <is>
          <t>Car#338</t>
        </is>
      </c>
      <c r="I339" s="16">
        <f>E339-E338</f>
        <v/>
      </c>
      <c r="J339" s="16">
        <f>I339-58</f>
        <v/>
      </c>
      <c r="K339" s="16">
        <f>MAX(0,J339)</f>
        <v/>
      </c>
      <c r="L339" s="16">
        <f>MAX(0,-J339)</f>
        <v/>
      </c>
      <c r="M339" s="16">
        <f>M338+I339</f>
        <v/>
      </c>
      <c r="N339" s="16">
        <f>D339+F339-E339</f>
        <v/>
      </c>
      <c r="O339" s="15" t="inlineStr">
        <is>
          <t>能力超目标：四轮定位上、下、ARHUD+慢充</t>
        </is>
      </c>
      <c r="P339" s="15" t="inlineStr">
        <is>
          <t>ST1 引取(开:21833.5s 加:56.0s 等前:2345.5s 等后:8.5s) | ST2 集约(开:21898.0s 加:111.0s 等前:0.0s 等后:22.0s) | ST3 空气悬挂+快充(开:22031.0s 加:108.5s 等前:0.0s 等后:35.0s) | ST4 四轮定位上、下(开:22174.5s 加:120.5s 等前:0.0s 等后:0.0s) | ST5 ADAS(开:22295.0s 加:107.0s 等前:0.0s 等后:3.0s) | ST6 ARHUD+慢充(开:22405.0s 加:143.5s 等前:0.0s 等后:0.0s) | ST7 转毂(开:22548.5s 加:114.5s 等前:0.0s 等后:0.0s) | ST8 制动(开:22663.0s 加:114.0s 等前:0.0s 等后:0.0s) | ST9 EG漏液/底盘漏液(开:22777.0s 加:112.5s 等前:0.0s 等后:0.0s) | ST10 全景/空调检查(开:22889.5s 加:0.0s 等前:0.0s 等后:0.0s) | ST11 气囊安装+绝缘(开:22889.5s 加:116.0s 等前:0.0s 等后:0.0s) | ST12 L2++(开:23005.5s 加:88.0s 等前:0.0s 等后:0.0s) | ST13 电检1(开:23093.5s 加:84.5s 等前:0.0s 等后:0.0s) | ST14 电检2(开:23178.0s 加:97.5s 等前:0.0s 等后:7.5s) | ST15 小跑道(开:23283.0s 加:50.0s 等前:0.0s 等后:0.0s)</t>
        </is>
      </c>
    </row>
    <row r="340">
      <c r="A340" s="13" t="n">
        <v>339</v>
      </c>
      <c r="B340" s="13" t="inlineStr">
        <is>
          <t>Car#340</t>
        </is>
      </c>
      <c r="C340" s="13" t="inlineStr">
        <is>
          <t>C</t>
        </is>
      </c>
      <c r="D340" s="14" t="n">
        <v>22031</v>
      </c>
      <c r="E340" s="14" t="n">
        <v>23454.5</v>
      </c>
      <c r="F340" s="14" t="n">
        <v>1423.5</v>
      </c>
      <c r="G340" s="14" t="n">
        <v>2369</v>
      </c>
      <c r="H340" s="13" t="inlineStr">
        <is>
          <t>Car#337</t>
        </is>
      </c>
      <c r="I340" s="14">
        <f>E340-E339</f>
        <v/>
      </c>
      <c r="J340" s="14">
        <f>I340-58</f>
        <v/>
      </c>
      <c r="K340" s="14">
        <f>MAX(0,J340)</f>
        <v/>
      </c>
      <c r="L340" s="14">
        <f>MAX(0,-J340)</f>
        <v/>
      </c>
      <c r="M340" s="14">
        <f>M339+I340</f>
        <v/>
      </c>
      <c r="N340" s="14">
        <f>D340+F340-E340</f>
        <v/>
      </c>
      <c r="O340" s="13" t="inlineStr">
        <is>
          <t>能力超目标：四轮定位上、下、ARHUD+慢充</t>
        </is>
      </c>
      <c r="P340" s="13" t="inlineStr">
        <is>
          <t>ST1 引取(开:22031.0s 加:56.0s 等前:2369.0s 等后:0.0s) | ST2 集约(开:22087.0s 加:111.0s 等前:0.0s 等后:0.0s) | ST3 空气悬挂+快充(开:22198.0s 加:108.5s 等前:0.0s 等后:0.0s) | ST4 四轮定位上、下(开:22306.5s 加:120.5s 等前:0.0s 等后:0.0s) | ST5 ADAS(开:22427.0s 加:107.0s 等前:0.0s 等后:0.0s) | ST6 ARHUD+慢充(开:22534.0s 加:143.5s 等前:0.0s 等后:0.0s) | ST7 转毂(开:22677.5s 加:114.5s 等前:0.0s 等后:0.0s) | ST8 制动(开:22792.0s 加:114.0s 等前:0.0s 等后:0.0s) | ST9 EG漏液/底盘漏液(开:22906.0s 加:112.5s 等前:0.0s 等后:0.0s) | ST10 全景/空调检查(开:23018.5s 加:0.0s 等前:0.0s 等后:0.0s) | ST11 气囊安装+绝缘(开:23018.5s 加:116.0s 等前:0.0s 等后:0.0s) | ST12 L2++(开:23134.5s 加:88.0s 等前:0.0s 等后:0.0s) | ST13 电检1(开:23222.5s 加:84.5s 等前:0.0s 等后:0.0s) | ST14 电检2(开:23307.0s 加:97.5s 等前:0.0s 等后:0.0s) | ST15 小跑道(开:23404.5s 加:50.0s 等前:0.0s 等后:0.0s)</t>
        </is>
      </c>
    </row>
    <row r="341">
      <c r="A341" s="15" t="n">
        <v>340</v>
      </c>
      <c r="B341" s="15" t="inlineStr">
        <is>
          <t>Car#342</t>
        </is>
      </c>
      <c r="C341" s="15" t="inlineStr">
        <is>
          <t>A</t>
        </is>
      </c>
      <c r="D341" s="16" t="n">
        <v>22174.5</v>
      </c>
      <c r="E341" s="16" t="n">
        <v>23505.5</v>
      </c>
      <c r="F341" s="16" t="n">
        <v>1331</v>
      </c>
      <c r="G341" s="16" t="n">
        <v>2866.5</v>
      </c>
      <c r="H341" s="15" t="inlineStr">
        <is>
          <t>Car#340</t>
        </is>
      </c>
      <c r="I341" s="16">
        <f>E341-E340</f>
        <v/>
      </c>
      <c r="J341" s="16">
        <f>I341-58</f>
        <v/>
      </c>
      <c r="K341" s="16">
        <f>MAX(0,J341)</f>
        <v/>
      </c>
      <c r="L341" s="16">
        <f>MAX(0,-J341)</f>
        <v/>
      </c>
      <c r="M341" s="16">
        <f>M340+I341</f>
        <v/>
      </c>
      <c r="N341" s="16">
        <f>D341+F341-E341</f>
        <v/>
      </c>
      <c r="O341" s="15" t="inlineStr">
        <is>
          <t>能力满足</t>
        </is>
      </c>
      <c r="P341" s="15" t="inlineStr">
        <is>
          <t>ST1 引取(开:22174.5s 加:55.0s 等前:2396.5s 等后:0.0s) | ST2 集约(开:22229.5s 加:106.0s 等前:0.0s 等后:0.0s) | ST3 空气悬挂+快充(开:22335.5s 加:0.0s 等前:0.0s 等后:91.5s) | ST4 四轮定位上、下(开:22427.0s 加:115.0s 等前:0.0s 等后:0.0s) | ST5 ADAS(开:22542.0s 加:97.0s 等前:0.0s 等后:38.5s) | ST6 ARHUD+慢充(开:22677.5s 加:0.0s 等前:0.0s 等后:114.5s) | ST7 转毂(开:22792.0s 加:116.0s 等前:0.0s 等后:0.0s) | ST8 制动(开:22908.0s 加:108.0s 等前:0.0s 等后:2.5s) | ST9 EG漏液/底盘漏液(开:23018.5s 加:115.0s 等前:0.0s 等后:0.0s) | ST10 全景/空调检查(开:23133.5s 加:98.0s 等前:0.0s 等后:0.0s) | ST11 气囊安装+绝缘(开:23231.5s 加:0.0s 等前:0.0s 等后:0.0s) | ST12 L2++(开:23231.5s 加:0.0s 等前:0.0s 等后:75.5s) | ST13 电检1(开:23307.0s 加:0.0s 等前:0.0s 等后:97.5s) | ST14 电检2(开:23404.5s 加:0.0s 等前:0.0s 等后:50.0s) | ST15 小跑道(开:23454.5s 加:51.0s 等前:0.0s 等后:0.0s)</t>
        </is>
      </c>
    </row>
    <row r="342">
      <c r="A342" s="13" t="n">
        <v>341</v>
      </c>
      <c r="B342" s="13" t="inlineStr">
        <is>
          <t>Car#339</t>
        </is>
      </c>
      <c r="C342" s="13" t="inlineStr">
        <is>
          <t>C</t>
        </is>
      </c>
      <c r="D342" s="14" t="n">
        <v>21953</v>
      </c>
      <c r="E342" s="14" t="n">
        <v>23555.5</v>
      </c>
      <c r="F342" s="14" t="n">
        <v>1602.5</v>
      </c>
      <c r="G342" s="14" t="n">
        <v>2528</v>
      </c>
      <c r="H342" s="13" t="inlineStr">
        <is>
          <t>Car#342</t>
        </is>
      </c>
      <c r="I342" s="14">
        <f>E342-E341</f>
        <v/>
      </c>
      <c r="J342" s="14">
        <f>I342-58</f>
        <v/>
      </c>
      <c r="K342" s="14">
        <f>MAX(0,J342)</f>
        <v/>
      </c>
      <c r="L342" s="14">
        <f>MAX(0,-J342)</f>
        <v/>
      </c>
      <c r="M342" s="14">
        <f>M341+I342</f>
        <v/>
      </c>
      <c r="N342" s="14">
        <f>D342+F342-E342</f>
        <v/>
      </c>
      <c r="O342" s="13" t="inlineStr">
        <is>
          <t>能力超目标：四轮定位上、下、ARHUD+慢充</t>
        </is>
      </c>
      <c r="P342" s="13" t="inlineStr">
        <is>
          <t>ST1 引取(开:21953.0s 加:56.0s 等前:2349.0s 等后:22.0s) | ST2 集约(开:22031.0s 加:111.0s 等前:0.0s 等后:32.5s) | ST3 空气悬挂+快充(开:22174.5s 加:108.5s 等前:0.0s 等后:12.0s) | ST4 四轮定位上、下(开:22295.0s 加:120.5s 等前:0.0s 等后:0.0s) | ST5 ADAS(开:22415.5s 加:107.0s 等前:0.0s 等后:26.0s) | ST6 ARHUD+慢充(开:22548.5s 加:143.5s 等前:0.0s 等后:0.0s) | ST7 转毂(开:22692.0s 加:114.5s 等前:0.0s 等后:0.0s) | ST8 制动(开:22806.5s 加:114.0s 等前:0.0s 等后:0.0s) | ST9 EG漏液/底盘漏液(开:22920.5s 加:112.5s 等前:0.0s 等后:0.0s) | ST10 全景/空调检查(开:23033.0s 加:0.0s 等前:0.0s 等后:0.0s) | ST11 气囊安装+绝缘(开:23033.0s 加:116.0s 等前:0.0s 等后:0.0s) | ST12 L2++(开:23149.0s 加:88.0s 等前:0.0s 等后:0.0s) | ST13 电检1(开:23237.0s 加:84.5s 等前:0.0s 等后:0.0s) | ST14 电检2(开:23321.5s 加:97.5s 等前:0.0s 等后:86.5s) | ST15 小跑道(开:23505.5s 加:50.0s 等前:0.0s 等后:0.0s)</t>
        </is>
      </c>
    </row>
    <row r="343">
      <c r="A343" s="15" t="n">
        <v>342</v>
      </c>
      <c r="B343" s="15" t="inlineStr">
        <is>
          <t>Car#344</t>
        </is>
      </c>
      <c r="C343" s="15" t="inlineStr">
        <is>
          <t>A</t>
        </is>
      </c>
      <c r="D343" s="16" t="n">
        <v>22295</v>
      </c>
      <c r="E343" s="16" t="n">
        <v>23606.5</v>
      </c>
      <c r="F343" s="16" t="n">
        <v>1311.5</v>
      </c>
      <c r="G343" s="16" t="n">
        <v>2851.5</v>
      </c>
      <c r="H343" s="15" t="inlineStr">
        <is>
          <t>Car#339</t>
        </is>
      </c>
      <c r="I343" s="16">
        <f>E343-E342</f>
        <v/>
      </c>
      <c r="J343" s="16">
        <f>I343-58</f>
        <v/>
      </c>
      <c r="K343" s="16">
        <f>MAX(0,J343)</f>
        <v/>
      </c>
      <c r="L343" s="16">
        <f>MAX(0,-J343)</f>
        <v/>
      </c>
      <c r="M343" s="16">
        <f>M342+I343</f>
        <v/>
      </c>
      <c r="N343" s="16">
        <f>D343+F343-E343</f>
        <v/>
      </c>
      <c r="O343" s="15" t="inlineStr">
        <is>
          <t>能力满足</t>
        </is>
      </c>
      <c r="P343" s="15" t="inlineStr">
        <is>
          <t>ST1 引取(开:22295.0s 加:55.0s 等前:2401.0s 等后:0.0s) | ST2 集约(开:22350.0s 加:106.0s 等前:0.0s 等后:0.0s) | ST3 空气悬挂+快充(开:22456.0s 加:0.0s 等前:0.0s 等后:86.0s) | ST4 四轮定位上、下(开:22542.0s 加:115.0s 等前:0.0s 等后:20.5s) | ST5 ADAS(开:22677.5s 加:97.0s 等前:0.0s 等后:17.5s) | ST6 ARHUD+慢充(开:22792.0s 加:0.0s 等前:0.0s 等后:116.0s) | ST7 转毂(开:22908.0s 加:116.0s 等前:0.0s 等后:0.0s) | ST8 制动(开:23024.0s 加:108.0s 等前:0.0s 等后:1.5s) | ST9 EG漏液/底盘漏液(开:23133.5s 加:115.0s 等前:0.0s 等后:0.0s) | ST10 全景/空调检查(开:23248.5s 加:98.0s 等前:0.0s 等后:0.0s) | ST11 气囊安装+绝缘(开:23346.5s 加:0.0s 等前:0.0s 等后:0.0s) | ST12 L2++(开:23346.5s 加:0.0s 等前:0.0s 等后:58.0s) | ST13 电检1(开:23404.5s 加:0.0s 等前:0.0s 等后:50.0s) | ST14 电检2(开:23454.5s 加:0.0s 等前:0.0s 等后:101.0s) | ST15 小跑道(开:23555.5s 加:51.0s 等前:0.0s 等后:0.0s)</t>
        </is>
      </c>
    </row>
    <row r="344">
      <c r="A344" s="13" t="n">
        <v>343</v>
      </c>
      <c r="B344" s="13" t="inlineStr">
        <is>
          <t>Car#341</t>
        </is>
      </c>
      <c r="C344" s="13" t="inlineStr">
        <is>
          <t>C</t>
        </is>
      </c>
      <c r="D344" s="14" t="n">
        <v>22087</v>
      </c>
      <c r="E344" s="14" t="n">
        <v>23656.5</v>
      </c>
      <c r="F344" s="14" t="n">
        <v>1569.5</v>
      </c>
      <c r="G344" s="14" t="n">
        <v>2513</v>
      </c>
      <c r="H344" s="13" t="inlineStr">
        <is>
          <t>Car#344</t>
        </is>
      </c>
      <c r="I344" s="14">
        <f>E344-E343</f>
        <v/>
      </c>
      <c r="J344" s="14">
        <f>I344-58</f>
        <v/>
      </c>
      <c r="K344" s="14">
        <f>MAX(0,J344)</f>
        <v/>
      </c>
      <c r="L344" s="14">
        <f>MAX(0,-J344)</f>
        <v/>
      </c>
      <c r="M344" s="14">
        <f>M343+I344</f>
        <v/>
      </c>
      <c r="N344" s="14">
        <f>D344+F344-E344</f>
        <v/>
      </c>
      <c r="O344" s="13" t="inlineStr">
        <is>
          <t>能力超目标：四轮定位上、下、ARHUD+慢充</t>
        </is>
      </c>
      <c r="P344" s="13" t="inlineStr">
        <is>
          <t>ST1 引取(开:22087.0s 加:56.0s 等前:2367.0s 等后:31.5s) | ST2 集约(开:22174.5s 加:111.0s 等前:0.0s 等后:9.5s) | ST3 空气悬挂+快充(开:22295.0s 加:108.5s 等前:0.0s 等后:12.0s) | ST4 四轮定位上、下(开:22415.5s 加:120.5s 等前:0.0s 等后:12.5s) | ST5 ADAS(开:22548.5s 加:107.0s 等前:0.0s 等后:36.5s) | ST6 ARHUD+慢充(开:22692.0s 加:143.5s 等前:0.0s 等后:0.0s) | ST7 转毂(开:22835.5s 加:114.5s 等前:0.0s 等后:0.0s) | ST8 制动(开:22950.0s 加:114.0s 等前:0.0s 等后:0.0s) | ST9 EG漏液/底盘漏液(开:23064.0s 加:112.5s 等前:0.0s 等后:0.0s) | ST10 全景/空调检查(开:23176.5s 加:0.0s 等前:0.0s 等后:0.0s) | ST11 气囊安装+绝缘(开:23176.5s 加:116.0s 等前:0.0s 等后:0.0s) | ST12 L2++(开:23292.5s 加:88.0s 等前:0.0s 等后:0.0s) | ST13 电检1(开:23380.5s 加:84.5s 等前:0.0s 等后:40.5s) | ST14 电检2(开:23505.5s 加:97.5s 等前:0.0s 等后:3.5s) | ST15 小跑道(开:23606.5s 加:50.0s 等前:0.0s 等后:0.0s)</t>
        </is>
      </c>
    </row>
    <row r="345">
      <c r="A345" s="15" t="n">
        <v>344</v>
      </c>
      <c r="B345" s="15" t="inlineStr">
        <is>
          <t>Car#343</t>
        </is>
      </c>
      <c r="C345" s="15" t="inlineStr">
        <is>
          <t>A</t>
        </is>
      </c>
      <c r="D345" s="16" t="n">
        <v>22229.5</v>
      </c>
      <c r="E345" s="16" t="n">
        <v>23707.5</v>
      </c>
      <c r="F345" s="16" t="n">
        <v>1478</v>
      </c>
      <c r="G345" s="16" t="n">
        <v>3010.5</v>
      </c>
      <c r="H345" s="15" t="inlineStr">
        <is>
          <t>Car#341</t>
        </is>
      </c>
      <c r="I345" s="16">
        <f>E345-E344</f>
        <v/>
      </c>
      <c r="J345" s="16">
        <f>I345-58</f>
        <v/>
      </c>
      <c r="K345" s="16">
        <f>MAX(0,J345)</f>
        <v/>
      </c>
      <c r="L345" s="16">
        <f>MAX(0,-J345)</f>
        <v/>
      </c>
      <c r="M345" s="16">
        <f>M344+I345</f>
        <v/>
      </c>
      <c r="N345" s="16">
        <f>D345+F345-E345</f>
        <v/>
      </c>
      <c r="O345" s="15" t="inlineStr">
        <is>
          <t>能力满足</t>
        </is>
      </c>
      <c r="P345" s="15" t="inlineStr">
        <is>
          <t>ST1 引取(开:22229.5s 加:55.0s 等前:2393.5s 等后:10.5s) | ST2 集约(开:22295.0s 加:106.0s 等前:0.0s 等后:14.5s) | ST3 空气悬挂+快充(开:22415.5s 加:0.0s 等前:0.0s 等后:133.0s) | ST4 四轮定位上、下(开:22548.5s 加:115.0s 等前:0.0s 等后:28.5s) | ST5 ADAS(开:22692.0s 加:97.0s 等前:0.0s 等后:46.5s) | ST6 ARHUD+慢充(开:22835.5s 加:0.0s 等前:0.0s 等后:114.5s) | ST7 转毂(开:22950.0s 加:116.0s 等前:0.0s 等后:0.0s) | ST8 制动(开:23066.0s 加:108.0s 等前:0.0s 等后:2.5s) | ST9 EG漏液/底盘漏液(开:23176.5s 加:115.0s 等前:0.0s 等后:0.0s) | ST10 全景/空调检查(开:23291.5s 加:98.0s 等前:0.0s 等后:0.0s) | ST11 气囊安装+绝缘(开:23389.5s 加:0.0s 等前:0.0s 等后:0.0s) | ST12 L2++(开:23389.5s 加:0.0s 等前:0.0s 等后:116.0s) | ST13 电检1(开:23505.5s 加:0.0s 等前:0.0s 等后:101.0s) | ST14 电检2(开:23606.5s 加:0.0s 等前:0.0s 等后:50.0s) | ST15 小跑道(开:23656.5s 加:51.0s 等前:0.0s 等后:0.0s)</t>
        </is>
      </c>
    </row>
    <row r="346">
      <c r="A346" s="13" t="n">
        <v>345</v>
      </c>
      <c r="B346" s="13" t="inlineStr">
        <is>
          <t>Car#346</t>
        </is>
      </c>
      <c r="C346" s="13" t="inlineStr">
        <is>
          <t>B</t>
        </is>
      </c>
      <c r="D346" s="14" t="n">
        <v>22415.5</v>
      </c>
      <c r="E346" s="14" t="n">
        <v>23801</v>
      </c>
      <c r="F346" s="14" t="n">
        <v>1385.5</v>
      </c>
      <c r="G346" s="14" t="n">
        <v>2459.5</v>
      </c>
      <c r="H346" s="13" t="inlineStr">
        <is>
          <t>Car#343</t>
        </is>
      </c>
      <c r="I346" s="14">
        <f>E346-E345</f>
        <v/>
      </c>
      <c r="J346" s="14">
        <f>I346-58</f>
        <v/>
      </c>
      <c r="K346" s="14">
        <f>MAX(0,J346)</f>
        <v/>
      </c>
      <c r="L346" s="14">
        <f>MAX(0,-J346)</f>
        <v/>
      </c>
      <c r="M346" s="14">
        <f>M345+I346</f>
        <v/>
      </c>
      <c r="N346" s="14">
        <f>D346+F346-E346</f>
        <v/>
      </c>
      <c r="O346" s="13" t="inlineStr">
        <is>
          <t>能力超目标：四轮定位上、下</t>
        </is>
      </c>
      <c r="P346" s="13" t="inlineStr">
        <is>
          <t>ST1 引取(开:22415.5s 加:56.0s 等前:2405.5s 等后:0.0s) | ST2 集约(开:22471.5s 加:111.0s 等前:0.0s 等后:0.0s) | ST3 空气悬挂+快充(开:22582.5s 加:108.5s 等前:0.0s 等后:0.0s) | ST4 四轮定位上、下(开:22691.0s 加:120.5s 等前:0.0s 等后:0.0s) | ST5 ADAS(开:22811.5s 加:107.0s 等前:0.0s 等后:0.0s) | ST6 ARHUD+慢充(开:22918.5s 加:51.5s 等前:0.0s 等后:54.0s) | ST7 转毂(开:23024.0s 加:114.5s 等前:0.0s 等后:0.0s) | ST8 制动(开:23138.5s 加:114.0s 等前:0.0s 等后:0.0s) | ST9 EG漏液/底盘漏液(开:23252.5s 加:112.5s 等前:0.0s 等后:0.0s) | ST10 全景/空调检查(开:23365.0s 加:0.0s 等前:0.0s 等后:0.0s) | ST11 气囊安装+绝缘(开:23365.0s 加:116.0s 等前:0.0s 等后:0.0s) | ST12 L2++(开:23481.0s 加:88.0s 等前:0.0s 等后:0.0s) | ST13 电检1(开:23569.0s 加:84.5s 等前:0.0s 等后:0.0s) | ST14 电检2(开:23653.5s 加:97.5s 等前:0.0s 等后:0.0s) | ST15 小跑道(开:23751.0s 加:50.0s 等前:0.0s 等后:0.0s)</t>
        </is>
      </c>
    </row>
    <row r="347">
      <c r="A347" s="15" t="n">
        <v>346</v>
      </c>
      <c r="B347" s="15" t="inlineStr">
        <is>
          <t>Car#345</t>
        </is>
      </c>
      <c r="C347" s="15" t="inlineStr">
        <is>
          <t>C</t>
        </is>
      </c>
      <c r="D347" s="16" t="n">
        <v>22350</v>
      </c>
      <c r="E347" s="16" t="n">
        <v>23870.5</v>
      </c>
      <c r="F347" s="16" t="n">
        <v>1520.5</v>
      </c>
      <c r="G347" s="16" t="n">
        <v>2495</v>
      </c>
      <c r="H347" s="15" t="inlineStr">
        <is>
          <t>Car#346</t>
        </is>
      </c>
      <c r="I347" s="16">
        <f>E347-E346</f>
        <v/>
      </c>
      <c r="J347" s="16">
        <f>I347-58</f>
        <v/>
      </c>
      <c r="K347" s="16">
        <f>MAX(0,J347)</f>
        <v/>
      </c>
      <c r="L347" s="16">
        <f>MAX(0,-J347)</f>
        <v/>
      </c>
      <c r="M347" s="16">
        <f>M346+I347</f>
        <v/>
      </c>
      <c r="N347" s="16">
        <f>D347+F347-E347</f>
        <v/>
      </c>
      <c r="O347" s="15" t="inlineStr">
        <is>
          <t>能力超目标：四轮定位上、下、ARHUD+慢充</t>
        </is>
      </c>
      <c r="P347" s="15" t="inlineStr">
        <is>
          <t>ST1 引取(开:22350.0s 加:56.0s 等前:2398.0s 等后:9.5s) | ST2 集约(开:22415.5s 加:111.0s 等前:0.0s 等后:22.0s) | ST3 空气悬挂+快充(开:22548.5s 加:108.5s 等前:0.0s 等后:35.0s) | ST4 四轮定位上、下(开:22692.0s 加:120.5s 等前:0.0s 等后:23.0s) | ST5 ADAS(开:22835.5s 加:107.0s 等前:0.0s 等后:7.5s) | ST6 ARHUD+慢充(开:22950.0s 加:143.5s 等前:0.0s 等后:0.0s) | ST7 转毂(开:23093.5s 加:114.5s 等前:0.0s 等后:0.0s) | ST8 制动(开:23208.0s 加:114.0s 等前:0.0s 等后:0.0s) | ST9 EG漏液/底盘漏液(开:23322.0s 加:112.5s 等前:0.0s 等后:0.0s) | ST10 全景/空调检查(开:23434.5s 加:0.0s 等前:0.0s 等后:0.0s) | ST11 气囊安装+绝缘(开:23434.5s 加:116.0s 等前:0.0s 等后:0.0s) | ST12 L2++(开:23550.5s 加:88.0s 等前:0.0s 等后:0.0s) | ST13 电检1(开:23638.5s 加:84.5s 等前:0.0s 等后:0.0s) | ST14 电检2(开:23723.0s 加:97.5s 等前:0.0s 等后:0.0s) | ST15 小跑道(开:23820.5s 加:50.0s 等前:0.0s 等后:0.0s)</t>
        </is>
      </c>
    </row>
    <row r="348">
      <c r="A348" s="13" t="n">
        <v>347</v>
      </c>
      <c r="B348" s="13" t="inlineStr">
        <is>
          <t>Car#348</t>
        </is>
      </c>
      <c r="C348" s="13" t="inlineStr">
        <is>
          <t>C</t>
        </is>
      </c>
      <c r="D348" s="14" t="n">
        <v>22548.5</v>
      </c>
      <c r="E348" s="14" t="n">
        <v>23972</v>
      </c>
      <c r="F348" s="14" t="n">
        <v>1423.5</v>
      </c>
      <c r="G348" s="14" t="n">
        <v>2422.5</v>
      </c>
      <c r="H348" s="13" t="inlineStr">
        <is>
          <t>Car#345</t>
        </is>
      </c>
      <c r="I348" s="14">
        <f>E348-E347</f>
        <v/>
      </c>
      <c r="J348" s="14">
        <f>I348-58</f>
        <v/>
      </c>
      <c r="K348" s="14">
        <f>MAX(0,J348)</f>
        <v/>
      </c>
      <c r="L348" s="14">
        <f>MAX(0,-J348)</f>
        <v/>
      </c>
      <c r="M348" s="14">
        <f>M347+I348</f>
        <v/>
      </c>
      <c r="N348" s="14">
        <f>D348+F348-E348</f>
        <v/>
      </c>
      <c r="O348" s="13" t="inlineStr">
        <is>
          <t>能力超目标：四轮定位上、下、ARHUD+慢充</t>
        </is>
      </c>
      <c r="P348" s="13" t="inlineStr">
        <is>
          <t>ST1 引取(开:22548.5s 加:56.0s 等前:2422.5s 等后:0.0s) | ST2 集约(开:22604.5s 加:111.0s 等前:0.0s 等后:0.0s) | ST3 空气悬挂+快充(开:22715.5s 加:108.5s 等前:0.0s 等后:0.0s) | ST4 四轮定位上、下(开:22824.0s 加:120.5s 等前:0.0s 等后:0.0s) | ST5 ADAS(开:22944.5s 加:107.0s 等前:0.0s 等后:0.0s) | ST6 ARHUD+慢充(开:23051.5s 加:143.5s 等前:0.0s 等后:0.0s) | ST7 转毂(开:23195.0s 加:114.5s 等前:0.0s 等后:0.0s) | ST8 制动(开:23309.5s 加:114.0s 等前:0.0s 等后:0.0s) | ST9 EG漏液/底盘漏液(开:23423.5s 加:112.5s 等前:0.0s 等后:0.0s) | ST10 全景/空调检查(开:23536.0s 加:0.0s 等前:0.0s 等后:0.0s) | ST11 气囊安装+绝缘(开:23536.0s 加:116.0s 等前:0.0s 等后:0.0s) | ST12 L2++(开:23652.0s 加:88.0s 等前:0.0s 等后:0.0s) | ST13 电检1(开:23740.0s 加:84.5s 等前:0.0s 等后:0.0s) | ST14 电检2(开:23824.5s 加:97.5s 等前:0.0s 等后:0.0s) | ST15 小跑道(开:23922.0s 加:50.0s 等前:0.0s 等后:0.0s)</t>
        </is>
      </c>
    </row>
    <row r="349">
      <c r="A349" s="15" t="n">
        <v>348</v>
      </c>
      <c r="B349" s="15" t="inlineStr">
        <is>
          <t>Car#347</t>
        </is>
      </c>
      <c r="C349" s="15" t="inlineStr">
        <is>
          <t>C</t>
        </is>
      </c>
      <c r="D349" s="16" t="n">
        <v>22471.5</v>
      </c>
      <c r="E349" s="16" t="n">
        <v>24022</v>
      </c>
      <c r="F349" s="16" t="n">
        <v>1550.5</v>
      </c>
      <c r="G349" s="16" t="n">
        <v>2530.5</v>
      </c>
      <c r="H349" s="15" t="inlineStr">
        <is>
          <t>Car#348</t>
        </is>
      </c>
      <c r="I349" s="16">
        <f>E349-E348</f>
        <v/>
      </c>
      <c r="J349" s="16">
        <f>I349-58</f>
        <v/>
      </c>
      <c r="K349" s="16">
        <f>MAX(0,J349)</f>
        <v/>
      </c>
      <c r="L349" s="16">
        <f>MAX(0,-J349)</f>
        <v/>
      </c>
      <c r="M349" s="16">
        <f>M348+I349</f>
        <v/>
      </c>
      <c r="N349" s="16">
        <f>D349+F349-E349</f>
        <v/>
      </c>
      <c r="O349" s="15" t="inlineStr">
        <is>
          <t>能力超目标：四轮定位上、下、ARHUD+慢充</t>
        </is>
      </c>
      <c r="P349" s="15" t="inlineStr">
        <is>
          <t>ST1 引取(开:22471.5s 加:56.0s 等前:2403.5s 等后:21.0s) | ST2 集约(开:22548.5s 加:111.0s 等前:0.0s 等后:32.5s) | ST3 空气悬挂+快充(开:22692.0s 加:108.5s 等前:0.0s 等后:35.0s) | ST4 四轮定位上、下(开:22835.5s 加:120.5s 等前:0.0s 等后:0.0s) | ST5 ADAS(开:22956.0s 加:107.0s 等前:0.0s 等后:30.5s) | ST6 ARHUD+慢充(开:23093.5s 加:143.5s 等前:0.0s 等后:0.0s) | ST7 转毂(开:23237.0s 加:114.5s 等前:0.0s 等后:0.0s) | ST8 制动(开:23351.5s 加:114.0s 等前:0.0s 等后:0.0s) | ST9 EG漏液/底盘漏液(开:23465.5s 加:112.5s 等前:0.0s 等后:0.0s) | ST10 全景/空调检查(开:23578.0s 加:0.0s 等前:0.0s 等后:0.0s) | ST11 气囊安装+绝缘(开:23578.0s 加:116.0s 等前:0.0s 等后:0.0s) | ST12 L2++(开:23694.0s 加:88.0s 等前:0.0s 等后:0.0s) | ST13 电检1(开:23782.0s 加:84.5s 等前:0.0s 等后:0.0s) | ST14 电检2(开:23866.5s 加:97.5s 等前:0.0s 等后:8.0s) | ST15 小跑道(开:23972.0s 加:50.0s 等前:0.0s 等后:0.0s)</t>
        </is>
      </c>
    </row>
    <row r="350">
      <c r="A350" s="13" t="n">
        <v>349</v>
      </c>
      <c r="B350" s="13" t="inlineStr">
        <is>
          <t>Car#350</t>
        </is>
      </c>
      <c r="C350" s="13" t="inlineStr">
        <is>
          <t>B</t>
        </is>
      </c>
      <c r="D350" s="14" t="n">
        <v>22692</v>
      </c>
      <c r="E350" s="14" t="n">
        <v>24088</v>
      </c>
      <c r="F350" s="14" t="n">
        <v>1396</v>
      </c>
      <c r="G350" s="14" t="n">
        <v>2514.5</v>
      </c>
      <c r="H350" s="13" t="inlineStr">
        <is>
          <t>Car#347</t>
        </is>
      </c>
      <c r="I350" s="14">
        <f>E350-E349</f>
        <v/>
      </c>
      <c r="J350" s="14">
        <f>I350-58</f>
        <v/>
      </c>
      <c r="K350" s="14">
        <f>MAX(0,J350)</f>
        <v/>
      </c>
      <c r="L350" s="14">
        <f>MAX(0,-J350)</f>
        <v/>
      </c>
      <c r="M350" s="14">
        <f>M349+I350</f>
        <v/>
      </c>
      <c r="N350" s="14">
        <f>D350+F350-E350</f>
        <v/>
      </c>
      <c r="O350" s="13" t="inlineStr">
        <is>
          <t>能力超目标：四轮定位上、下</t>
        </is>
      </c>
      <c r="P350" s="13" t="inlineStr">
        <is>
          <t>ST1 引取(开:22692.0s 加:56.0s 等前:2450.0s 等后:0.0s) | ST2 集约(开:22748.0s 加:111.0s 等前:0.0s 等后:0.0s) | ST3 空气悬挂+快充(开:22859.0s 加:108.5s 等前:0.0s 等后:0.0s) | ST4 四轮定位上、下(开:22967.5s 加:120.5s 等前:0.0s 等后:0.0s) | ST5 ADAS(开:23088.0s 加:107.0s 等前:0.0s 等后:0.0s) | ST6 ARHUD+慢充(开:23195.0s 加:51.5s 等前:0.0s 等后:63.0s) | ST7 转毂(开:23309.5s 加:114.5s 等前:0.0s 等后:0.0s) | ST8 制动(开:23424.0s 加:114.0s 等前:0.0s 等后:0.0s) | ST9 EG漏液/底盘漏液(开:23538.0s 加:112.5s 等前:0.0s 等后:0.0s) | ST10 全景/空调检查(开:23650.5s 加:0.0s 等前:0.0s 等后:1.5s) | ST11 气囊安装+绝缘(开:23652.0s 加:116.0s 等前:0.0s 等后:0.0s) | ST12 L2++(开:23768.0s 加:88.0s 等前:0.0s 等后:0.0s) | ST13 电检1(开:23856.0s 加:84.5s 等前:0.0s 等后:0.0s) | ST14 电检2(开:23940.5s 加:97.5s 等前:0.0s 等后:0.0s) | ST15 小跑道(开:24038.0s 加:50.0s 等前:0.0s 等后:0.0s)</t>
        </is>
      </c>
    </row>
    <row r="351">
      <c r="A351" s="15" t="n">
        <v>350</v>
      </c>
      <c r="B351" s="15" t="inlineStr">
        <is>
          <t>Car#349</t>
        </is>
      </c>
      <c r="C351" s="15" t="inlineStr">
        <is>
          <t>B</t>
        </is>
      </c>
      <c r="D351" s="16" t="n">
        <v>22604.5</v>
      </c>
      <c r="E351" s="16" t="n">
        <v>24138</v>
      </c>
      <c r="F351" s="16" t="n">
        <v>1533.5</v>
      </c>
      <c r="G351" s="16" t="n">
        <v>2622.5</v>
      </c>
      <c r="H351" s="15" t="inlineStr">
        <is>
          <t>Car#350</t>
        </is>
      </c>
      <c r="I351" s="16">
        <f>E351-E350</f>
        <v/>
      </c>
      <c r="J351" s="16">
        <f>I351-58</f>
        <v/>
      </c>
      <c r="K351" s="16">
        <f>MAX(0,J351)</f>
        <v/>
      </c>
      <c r="L351" s="16">
        <f>MAX(0,-J351)</f>
        <v/>
      </c>
      <c r="M351" s="16">
        <f>M350+I351</f>
        <v/>
      </c>
      <c r="N351" s="16">
        <f>D351+F351-E351</f>
        <v/>
      </c>
      <c r="O351" s="15" t="inlineStr">
        <is>
          <t>能力超目标：四轮定位上、下</t>
        </is>
      </c>
      <c r="P351" s="15" t="inlineStr">
        <is>
          <t>ST1 引取(开:22604.5s 加:56.0s 等前:2420.5s 等后:31.5s) | ST2 集约(开:22692.0s 加:111.0s 等前:0.0s 等后:32.5s) | ST3 空气悬挂+快充(开:22835.5s 加:108.5s 等前:0.0s 等后:12.0s) | ST4 四轮定位上、下(开:22956.0s 加:120.5s 等前:0.0s 等后:17.0s) | ST5 ADAS(开:23093.5s 加:107.0s 等前:0.0s 等后:36.5s) | ST6 ARHUD+慢充(开:23237.0s 加:51.5s 等前:0.0s 等后:63.0s) | ST7 转毂(开:23351.5s 加:114.5s 等前:0.0s 等后:0.0s) | ST8 制动(开:23466.0s 加:114.0s 等前:0.0s 等后:0.0s) | ST9 EG漏液/底盘漏液(开:23580.0s 加:112.5s 等前:0.0s 等后:0.0s) | ST10 全景/空调检查(开:23692.5s 加:0.0s 等前:0.0s 等后:1.5s) | ST11 气囊安装+绝缘(开:23694.0s 加:116.0s 等前:0.0s 等后:0.0s) | ST12 L2++(开:23810.0s 加:88.0s 等前:0.0s 等后:0.0s) | ST13 电检1(开:23898.0s 加:84.5s 等前:0.0s 等后:0.0s) | ST14 电检2(开:23982.5s 加:97.5s 等前:0.0s 等后:8.0s) | ST15 小跑道(开:24088.0s 加:50.0s 等前:0.0s 等后:0.0s)</t>
        </is>
      </c>
    </row>
    <row r="352">
      <c r="A352" s="13" t="n">
        <v>351</v>
      </c>
      <c r="B352" s="13" t="inlineStr">
        <is>
          <t>Car#352</t>
        </is>
      </c>
      <c r="C352" s="13" t="inlineStr">
        <is>
          <t>C</t>
        </is>
      </c>
      <c r="D352" s="14" t="n">
        <v>22835.5</v>
      </c>
      <c r="E352" s="14" t="n">
        <v>24259</v>
      </c>
      <c r="F352" s="14" t="n">
        <v>1423.5</v>
      </c>
      <c r="G352" s="14" t="n">
        <v>2477.5</v>
      </c>
      <c r="H352" s="13" t="inlineStr">
        <is>
          <t>Car#349</t>
        </is>
      </c>
      <c r="I352" s="14">
        <f>E352-E351</f>
        <v/>
      </c>
      <c r="J352" s="14">
        <f>I352-58</f>
        <v/>
      </c>
      <c r="K352" s="14">
        <f>MAX(0,J352)</f>
        <v/>
      </c>
      <c r="L352" s="14">
        <f>MAX(0,-J352)</f>
        <v/>
      </c>
      <c r="M352" s="14">
        <f>M351+I352</f>
        <v/>
      </c>
      <c r="N352" s="14">
        <f>D352+F352-E352</f>
        <v/>
      </c>
      <c r="O352" s="13" t="inlineStr">
        <is>
          <t>能力超目标：四轮定位上、下、ARHUD+慢充</t>
        </is>
      </c>
      <c r="P352" s="13" t="inlineStr">
        <is>
          <t>ST1 引取(开:22835.5s 加:56.0s 等前:2477.5s 等后:0.0s) | ST2 集约(开:22891.5s 加:111.0s 等前:0.0s 等后:0.0s) | ST3 空气悬挂+快充(开:23002.5s 加:108.5s 等前:0.0s 等后:0.0s) | ST4 四轮定位上、下(开:23111.0s 加:120.5s 等前:0.0s 等后:0.0s) | ST5 ADAS(开:23231.5s 加:107.0s 等前:0.0s 等后:0.0s) | ST6 ARHUD+慢充(开:23338.5s 加:143.5s 等前:0.0s 等后:0.0s) | ST7 转毂(开:23482.0s 加:114.5s 等前:0.0s 等后:0.0s) | ST8 制动(开:23596.5s 加:114.0s 等前:0.0s 等后:0.0s) | ST9 EG漏液/底盘漏液(开:23710.5s 加:112.5s 等前:0.0s 等后:0.0s) | ST10 全景/空调检查(开:23823.0s 加:0.0s 等前:0.0s 等后:0.0s) | ST11 气囊安装+绝缘(开:23823.0s 加:116.0s 等前:0.0s 等后:0.0s) | ST12 L2++(开:23939.0s 加:88.0s 等前:0.0s 等后:0.0s) | ST13 电检1(开:24027.0s 加:84.5s 等前:0.0s 等后:0.0s) | ST14 电检2(开:24111.5s 加:97.5s 等前:0.0s 等后:0.0s) | ST15 小跑道(开:24209.0s 加:50.0s 等前:0.0s 等后:0.0s)</t>
        </is>
      </c>
    </row>
    <row r="353">
      <c r="A353" s="15" t="n">
        <v>352</v>
      </c>
      <c r="B353" s="15" t="inlineStr">
        <is>
          <t>Car#354</t>
        </is>
      </c>
      <c r="C353" s="15" t="inlineStr">
        <is>
          <t>A</t>
        </is>
      </c>
      <c r="D353" s="16" t="n">
        <v>22956</v>
      </c>
      <c r="E353" s="16" t="n">
        <v>24310</v>
      </c>
      <c r="F353" s="16" t="n">
        <v>1354</v>
      </c>
      <c r="G353" s="16" t="n">
        <v>2975</v>
      </c>
      <c r="H353" s="15" t="inlineStr">
        <is>
          <t>Car#352</t>
        </is>
      </c>
      <c r="I353" s="16">
        <f>E353-E352</f>
        <v/>
      </c>
      <c r="J353" s="16">
        <f>I353-58</f>
        <v/>
      </c>
      <c r="K353" s="16">
        <f>MAX(0,J353)</f>
        <v/>
      </c>
      <c r="L353" s="16">
        <f>MAX(0,-J353)</f>
        <v/>
      </c>
      <c r="M353" s="16">
        <f>M352+I353</f>
        <v/>
      </c>
      <c r="N353" s="16">
        <f>D353+F353-E353</f>
        <v/>
      </c>
      <c r="O353" s="15" t="inlineStr">
        <is>
          <t>能力满足</t>
        </is>
      </c>
      <c r="P353" s="15" t="inlineStr">
        <is>
          <t>ST1 引取(开:22956.0s 加:55.0s 等前:2482.0s 等后:0.0s) | ST2 集约(开:23011.0s 加:106.0s 等前:0.0s 等后:0.0s) | ST3 空气悬挂+快充(开:23117.0s 加:0.0s 等前:0.0s 等后:114.5s) | ST4 四轮定位上、下(开:23231.5s 加:115.0s 等前:0.0s 等后:0.0s) | ST5 ADAS(开:23346.5s 加:97.0s 等前:0.0s 等后:38.5s) | ST6 ARHUD+慢充(开:23482.0s 加:0.0s 等前:0.0s 等后:114.5s) | ST7 转毂(开:23596.5s 加:116.0s 等前:0.0s 等后:0.0s) | ST8 制动(开:23712.5s 加:108.0s 等前:0.0s 等后:2.5s) | ST9 EG漏液/底盘漏液(开:23823.0s 加:115.0s 等前:0.0s 等后:0.0s) | ST10 全景/空调检查(开:23938.0s 加:98.0s 等前:0.0s 等后:0.0s) | ST11 气囊安装+绝缘(开:24036.0s 加:0.0s 等前:0.0s 等后:0.0s) | ST12 L2++(开:24036.0s 加:0.0s 等前:0.0s 等后:75.5s) | ST13 电检1(开:24111.5s 加:0.0s 等前:0.0s 等后:97.5s) | ST14 电检2(开:24209.0s 加:0.0s 等前:0.0s 等后:50.0s) | ST15 小跑道(开:24259.0s 加:51.0s 等前:0.0s 等后:0.0s)</t>
        </is>
      </c>
    </row>
    <row r="354">
      <c r="A354" s="13" t="n">
        <v>353</v>
      </c>
      <c r="B354" s="13" t="inlineStr">
        <is>
          <t>Car#351</t>
        </is>
      </c>
      <c r="C354" s="13" t="inlineStr">
        <is>
          <t>C</t>
        </is>
      </c>
      <c r="D354" s="14" t="n">
        <v>22748</v>
      </c>
      <c r="E354" s="14" t="n">
        <v>24360</v>
      </c>
      <c r="F354" s="14" t="n">
        <v>1612</v>
      </c>
      <c r="G354" s="14" t="n">
        <v>2636.5</v>
      </c>
      <c r="H354" s="13" t="inlineStr">
        <is>
          <t>Car#354</t>
        </is>
      </c>
      <c r="I354" s="14">
        <f>E354-E353</f>
        <v/>
      </c>
      <c r="J354" s="14">
        <f>I354-58</f>
        <v/>
      </c>
      <c r="K354" s="14">
        <f>MAX(0,J354)</f>
        <v/>
      </c>
      <c r="L354" s="14">
        <f>MAX(0,-J354)</f>
        <v/>
      </c>
      <c r="M354" s="14">
        <f>M353+I354</f>
        <v/>
      </c>
      <c r="N354" s="14">
        <f>D354+F354-E354</f>
        <v/>
      </c>
      <c r="O354" s="13" t="inlineStr">
        <is>
          <t>能力超目标：四轮定位上、下、ARHUD+慢充</t>
        </is>
      </c>
      <c r="P354" s="13" t="inlineStr">
        <is>
          <t>ST1 引取(开:22748.0s 加:56.0s 等前:2448.0s 等后:31.5s) | ST2 集约(开:22835.5s 加:111.0s 等前:0.0s 等后:9.5s) | ST3 空气悬挂+快充(开:22956.0s 加:108.5s 等前:0.0s 等后:29.0s) | ST4 四轮定位上、下(开:23093.5s 加:120.5s 等前:0.0s 等后:23.0s) | ST5 ADAS(开:23237.0s 加:107.0s 等前:0.0s 等后:7.5s) | ST6 ARHUD+慢充(开:23351.5s 加:143.5s 等前:0.0s 等后:0.0s) | ST7 转毂(开:23495.0s 加:114.5s 等前:0.0s 等后:0.0s) | ST8 制动(开:23609.5s 加:114.0s 等前:0.0s 等后:0.0s) | ST9 EG漏液/底盘漏液(开:23723.5s 加:112.5s 等前:0.0s 等后:0.0s) | ST10 全景/空调检查(开:23836.0s 加:0.0s 等前:0.0s 等后:0.0s) | ST11 气囊安装+绝缘(开:23836.0s 加:116.0s 等前:0.0s 等后:0.0s) | ST12 L2++(开:23952.0s 加:88.0s 等前:0.0s 等后:0.0s) | ST13 电检1(开:24040.0s 加:84.5s 等前:0.0s 等后:0.0s) | ST14 电检2(开:24124.5s 加:97.5s 等前:0.0s 等后:88.0s) | ST15 小跑道(开:24310.0s 加:50.0s 等前:0.0s 等后:0.0s)</t>
        </is>
      </c>
    </row>
    <row r="355">
      <c r="A355" s="15" t="n">
        <v>354</v>
      </c>
      <c r="B355" s="15" t="inlineStr">
        <is>
          <t>Car#356</t>
        </is>
      </c>
      <c r="C355" s="15" t="inlineStr">
        <is>
          <t>A</t>
        </is>
      </c>
      <c r="D355" s="16" t="n">
        <v>23093.5</v>
      </c>
      <c r="E355" s="16" t="n">
        <v>24411</v>
      </c>
      <c r="F355" s="16" t="n">
        <v>1317.5</v>
      </c>
      <c r="G355" s="16" t="n">
        <v>2960</v>
      </c>
      <c r="H355" s="15" t="inlineStr">
        <is>
          <t>Car#351</t>
        </is>
      </c>
      <c r="I355" s="16">
        <f>E355-E354</f>
        <v/>
      </c>
      <c r="J355" s="16">
        <f>I355-58</f>
        <v/>
      </c>
      <c r="K355" s="16">
        <f>MAX(0,J355)</f>
        <v/>
      </c>
      <c r="L355" s="16">
        <f>MAX(0,-J355)</f>
        <v/>
      </c>
      <c r="M355" s="16">
        <f>M354+I355</f>
        <v/>
      </c>
      <c r="N355" s="16">
        <f>D355+F355-E355</f>
        <v/>
      </c>
      <c r="O355" s="15" t="inlineStr">
        <is>
          <t>能力满足</t>
        </is>
      </c>
      <c r="P355" s="15" t="inlineStr">
        <is>
          <t>ST1 引取(开:23093.5s 加:55.0s 等前:2503.5s 等后:0.0s) | ST2 集约(开:23148.5s 加:106.0s 等前:0.0s 等后:0.0s) | ST3 空气悬挂+快充(开:23254.5s 加:0.0s 等前:0.0s 等后:92.0s) | ST4 四轮定位上、下(开:23346.5s 加:115.0s 等前:0.0s 等后:20.5s) | ST5 ADAS(开:23482.0s 加:97.0s 等前:0.0s 等后:17.5s) | ST6 ARHUD+慢充(开:23596.5s 加:0.0s 等前:0.0s 等后:116.0s) | ST7 转毂(开:23712.5s 加:116.0s 等前:0.0s 等后:0.0s) | ST8 制动(开:23828.5s 加:108.0s 等前:0.0s 等后:1.5s) | ST9 EG漏液/底盘漏液(开:23938.0s 加:115.0s 等前:0.0s 等后:0.0s) | ST10 全景/空调检查(开:24053.0s 加:98.0s 等前:0.0s 等后:0.0s) | ST11 气囊安装+绝缘(开:24151.0s 加:0.0s 等前:0.0s 等后:0.0s) | ST12 L2++(开:24151.0s 加:0.0s 等前:0.0s 等后:58.0s) | ST13 电检1(开:24209.0s 加:0.0s 等前:0.0s 等后:50.0s) | ST14 电检2(开:24259.0s 加:0.0s 等前:0.0s 等后:101.0s) | ST15 小跑道(开:24360.0s 加:51.0s 等前:0.0s 等后:0.0s)</t>
        </is>
      </c>
    </row>
    <row r="356">
      <c r="A356" s="13" t="n">
        <v>355</v>
      </c>
      <c r="B356" s="13" t="inlineStr">
        <is>
          <t>Car#353</t>
        </is>
      </c>
      <c r="C356" s="13" t="inlineStr">
        <is>
          <t>C</t>
        </is>
      </c>
      <c r="D356" s="14" t="n">
        <v>22891.5</v>
      </c>
      <c r="E356" s="14" t="n">
        <v>24461</v>
      </c>
      <c r="F356" s="14" t="n">
        <v>1569.5</v>
      </c>
      <c r="G356" s="14" t="n">
        <v>2621.5</v>
      </c>
      <c r="H356" s="13" t="inlineStr">
        <is>
          <t>Car#356</t>
        </is>
      </c>
      <c r="I356" s="14">
        <f>E356-E355</f>
        <v/>
      </c>
      <c r="J356" s="14">
        <f>I356-58</f>
        <v/>
      </c>
      <c r="K356" s="14">
        <f>MAX(0,J356)</f>
        <v/>
      </c>
      <c r="L356" s="14">
        <f>MAX(0,-J356)</f>
        <v/>
      </c>
      <c r="M356" s="14">
        <f>M355+I356</f>
        <v/>
      </c>
      <c r="N356" s="14">
        <f>D356+F356-E356</f>
        <v/>
      </c>
      <c r="O356" s="13" t="inlineStr">
        <is>
          <t>能力超目标：四轮定位上、下、ARHUD+慢充</t>
        </is>
      </c>
      <c r="P356" s="13" t="inlineStr">
        <is>
          <t>ST1 引取(开:22891.5s 加:56.0s 等前:2475.5s 等后:8.5s) | ST2 集约(开:22956.0s 加:111.0s 等前:0.0s 等后:26.5s) | ST3 空气悬挂+快充(开:23093.5s 加:108.5s 等前:0.0s 等后:35.0s) | ST4 四轮定位上、下(开:23237.0s 加:120.5s 等前:0.0s 等后:0.0s) | ST5 ADAS(开:23357.5s 加:107.0s 等前:0.0s 等后:30.5s) | ST6 ARHUD+慢充(开:23495.0s 加:143.5s 等前:0.0s 等后:0.0s) | ST7 转毂(开:23638.5s 加:114.5s 等前:0.0s 等后:0.0s) | ST8 制动(开:23753.0s 加:114.0s 等前:0.0s 等后:0.0s) | ST9 EG漏液/底盘漏液(开:23867.0s 加:112.5s 等前:0.0s 等后:0.0s) | ST10 全景/空调检查(开:23979.5s 加:0.0s 等前:0.0s 等后:0.0s) | ST11 气囊安装+绝缘(开:23979.5s 加:116.0s 等前:0.0s 等后:0.0s) | ST12 L2++(开:24095.5s 加:88.0s 等前:0.0s 等后:0.0s) | ST13 电检1(开:24183.5s 加:84.5s 等前:0.0s 等后:42.0s) | ST14 电检2(开:24310.0s 加:97.5s 等前:0.0s 等后:3.5s) | ST15 小跑道(开:24411.0s 加:50.0s 等前:0.0s 等后:0.0s)</t>
        </is>
      </c>
    </row>
    <row r="357">
      <c r="A357" s="15" t="n">
        <v>356</v>
      </c>
      <c r="B357" s="15" t="inlineStr">
        <is>
          <t>Car#355</t>
        </is>
      </c>
      <c r="C357" s="15" t="inlineStr">
        <is>
          <t>A</t>
        </is>
      </c>
      <c r="D357" s="16" t="n">
        <v>23011</v>
      </c>
      <c r="E357" s="16" t="n">
        <v>24512</v>
      </c>
      <c r="F357" s="16" t="n">
        <v>1501</v>
      </c>
      <c r="G357" s="16" t="n">
        <v>3119</v>
      </c>
      <c r="H357" s="15" t="inlineStr">
        <is>
          <t>Car#353</t>
        </is>
      </c>
      <c r="I357" s="16">
        <f>E357-E356</f>
        <v/>
      </c>
      <c r="J357" s="16">
        <f>I357-58</f>
        <v/>
      </c>
      <c r="K357" s="16">
        <f>MAX(0,J357)</f>
        <v/>
      </c>
      <c r="L357" s="16">
        <f>MAX(0,-J357)</f>
        <v/>
      </c>
      <c r="M357" s="16">
        <f>M356+I357</f>
        <v/>
      </c>
      <c r="N357" s="16">
        <f>D357+F357-E357</f>
        <v/>
      </c>
      <c r="O357" s="15" t="inlineStr">
        <is>
          <t>能力满足</t>
        </is>
      </c>
      <c r="P357" s="15" t="inlineStr">
        <is>
          <t>ST1 引取(开:23011.0s 加:55.0s 等前:2479.0s 等后:27.5s) | ST2 集约(开:23093.5s 加:106.0s 等前:0.0s 等后:37.5s) | ST3 空气悬挂+快充(开:23237.0s 加:0.0s 等前:0.0s 等后:120.5s) | ST4 四轮定位上、下(开:23357.5s 加:115.0s 等前:0.0s 等后:22.5s) | ST5 ADAS(开:23495.0s 加:97.0s 等前:0.0s 等后:46.5s) | ST6 ARHUD+慢充(开:23638.5s 加:0.0s 等前:0.0s 等后:114.5s) | ST7 转毂(开:23753.0s 加:116.0s 等前:0.0s 等后:0.0s) | ST8 制动(开:23869.0s 加:108.0s 等前:0.0s 等后:2.5s) | ST9 EG漏液/底盘漏液(开:23979.5s 加:115.0s 等前:0.0s 等后:0.0s) | ST10 全景/空调检查(开:24094.5s 加:98.0s 等前:0.0s 等后:0.0s) | ST11 气囊安装+绝缘(开:24192.5s 加:0.0s 等前:0.0s 等后:0.0s) | ST12 L2++(开:24192.5s 加:0.0s 等前:0.0s 等后:117.5s) | ST13 电检1(开:24310.0s 加:0.0s 等前:0.0s 等后:101.0s) | ST14 电检2(开:24411.0s 加:0.0s 等前:0.0s 等后:50.0s) | ST15 小跑道(开:24461.0s 加:51.0s 等前:0.0s 等后:0.0s)</t>
        </is>
      </c>
    </row>
    <row r="358">
      <c r="A358" s="13" t="n">
        <v>357</v>
      </c>
      <c r="B358" s="13" t="inlineStr">
        <is>
          <t>Car#357</t>
        </is>
      </c>
      <c r="C358" s="13" t="inlineStr">
        <is>
          <t>B</t>
        </is>
      </c>
      <c r="D358" s="14" t="n">
        <v>23148.5</v>
      </c>
      <c r="E358" s="14" t="n">
        <v>24646</v>
      </c>
      <c r="F358" s="14" t="n">
        <v>1497.5</v>
      </c>
      <c r="G358" s="14" t="n">
        <v>2666.5</v>
      </c>
      <c r="H358" s="13" t="inlineStr">
        <is>
          <t>Car#355</t>
        </is>
      </c>
      <c r="I358" s="14">
        <f>E358-E357</f>
        <v/>
      </c>
      <c r="J358" s="14">
        <f>I358-58</f>
        <v/>
      </c>
      <c r="K358" s="14">
        <f>MAX(0,J358)</f>
        <v/>
      </c>
      <c r="L358" s="14">
        <f>MAX(0,-J358)</f>
        <v/>
      </c>
      <c r="M358" s="14">
        <f>M357+I358</f>
        <v/>
      </c>
      <c r="N358" s="14">
        <f>D358+F358-E358</f>
        <v/>
      </c>
      <c r="O358" s="13" t="inlineStr">
        <is>
          <t>能力超目标：四轮定位上、下</t>
        </is>
      </c>
      <c r="P358" s="13" t="inlineStr">
        <is>
          <t>ST1 引取(开:23148.5s 加:56.0s 等前:2500.5s 等后:32.5s) | ST2 集约(开:23237.0s 加:111.0s 等前:0.0s 等后:9.5s) | ST3 空气悬挂+快充(开:23357.5s 加:108.5s 等前:0.0s 等后:29.0s) | ST4 四轮定位上、下(开:23495.0s 加:120.5s 等前:0.0s 等后:23.0s) | ST5 ADAS(开:23638.5s 加:107.0s 等前:0.0s 等后:7.5s) | ST6 ARHUD+慢充(开:23753.0s 加:51.5s 等前:0.0s 等后:64.5s) | ST7 转毂(开:23869.0s 加:114.5s 等前:0.0s 等后:0.0s) | ST8 制动(开:23983.5s 加:114.0s 等前:0.0s 等后:0.0s) | ST9 EG漏液/底盘漏液(开:24097.5s 加:112.5s 等前:0.0s 等后:0.0s) | ST10 全景/空调检查(开:24210.0s 加:0.0s 等前:0.0s 等后:0.0s) | ST11 气囊安装+绝缘(开:24210.0s 加:116.0s 等前:0.0s 等后:0.0s) | ST12 L2++(开:24326.0s 加:88.0s 等前:0.0s 等后:0.0s) | ST13 电检1(开:24414.0s 加:84.5s 等前:0.0s 等后:0.0s) | ST14 电检2(开:24498.5s 加:97.5s 等前:0.0s 等后:0.0s) | ST15 小跑道(开:24596.0s 加:50.0s 等前:0.0s 等后:0.0s)</t>
        </is>
      </c>
    </row>
    <row r="359">
      <c r="A359" s="15" t="n">
        <v>358</v>
      </c>
      <c r="B359" s="15" t="inlineStr">
        <is>
          <t>Car#358</t>
        </is>
      </c>
      <c r="C359" s="15" t="inlineStr">
        <is>
          <t>C</t>
        </is>
      </c>
      <c r="D359" s="16" t="n">
        <v>23237</v>
      </c>
      <c r="E359" s="16" t="n">
        <v>24696</v>
      </c>
      <c r="F359" s="16" t="n">
        <v>1459</v>
      </c>
      <c r="G359" s="16" t="n">
        <v>2566.5</v>
      </c>
      <c r="H359" s="15" t="inlineStr">
        <is>
          <t>Car#357</t>
        </is>
      </c>
      <c r="I359" s="16">
        <f>E359-E358</f>
        <v/>
      </c>
      <c r="J359" s="16">
        <f>I359-58</f>
        <v/>
      </c>
      <c r="K359" s="16">
        <f>MAX(0,J359)</f>
        <v/>
      </c>
      <c r="L359" s="16">
        <f>MAX(0,-J359)</f>
        <v/>
      </c>
      <c r="M359" s="16">
        <f>M358+I359</f>
        <v/>
      </c>
      <c r="N359" s="16">
        <f>D359+F359-E359</f>
        <v/>
      </c>
      <c r="O359" s="15" t="inlineStr">
        <is>
          <t>能力超目标：四轮定位上、下、ARHUD+慢充</t>
        </is>
      </c>
      <c r="P359" s="15" t="inlineStr">
        <is>
          <t>ST1 引取(开:23237.0s 加:56.0s 等前:2531.0s 等后:0.0s) | ST2 集约(开:23293.0s 加:111.0s 等前:0.0s 等后:0.0s) | ST3 空气悬挂+快充(开:23404.0s 加:108.5s 等前:0.0s 等后:0.0s) | ST4 四轮定位上、下(开:23512.5s 加:120.5s 等前:0.0s 等后:0.0s) | ST5 ADAS(开:23633.0s 加:107.0s 等前:0.0s 等后:0.0s) | ST6 ARHUD+慢充(开:23740.0s 加:143.5s 等前:0.0s 等后:0.0s) | ST7 转毂(开:23883.5s 加:114.5s 等前:0.0s 等后:0.0s) | ST8 制动(开:23998.0s 加:114.0s 等前:0.0s 等后:0.0s) | ST9 EG漏液/底盘漏液(开:24112.0s 加:112.5s 等前:0.0s 等后:0.0s) | ST10 全景/空调检查(开:24224.5s 加:0.0s 等前:0.0s 等后:0.0s) | ST11 气囊安装+绝缘(开:24224.5s 加:116.0s 等前:0.0s 等后:0.0s) | ST12 L2++(开:24340.5s 加:88.0s 等前:0.0s 等后:0.0s) | ST13 电检1(开:24428.5s 加:84.5s 等前:0.0s 等后:0.0s) | ST14 电检2(开:24513.0s 加:97.5s 等前:0.0s 等后:35.5s) | ST15 小跑道(开:24646.0s 加:50.0s 等前:0.0s 等后:0.0s)</t>
        </is>
      </c>
    </row>
    <row r="360">
      <c r="A360" s="13" t="n">
        <v>359</v>
      </c>
      <c r="B360" s="13" t="inlineStr">
        <is>
          <t>Car#359</t>
        </is>
      </c>
      <c r="C360" s="13" t="inlineStr">
        <is>
          <t>C</t>
        </is>
      </c>
      <c r="D360" s="14" t="n">
        <v>23293</v>
      </c>
      <c r="E360" s="14" t="n">
        <v>24789.5</v>
      </c>
      <c r="F360" s="14" t="n">
        <v>1496.5</v>
      </c>
      <c r="G360" s="14" t="n">
        <v>2602</v>
      </c>
      <c r="H360" s="13" t="inlineStr">
        <is>
          <t>Car#358</t>
        </is>
      </c>
      <c r="I360" s="14">
        <f>E360-E359</f>
        <v/>
      </c>
      <c r="J360" s="14">
        <f>I360-58</f>
        <v/>
      </c>
      <c r="K360" s="14">
        <f>MAX(0,J360)</f>
        <v/>
      </c>
      <c r="L360" s="14">
        <f>MAX(0,-J360)</f>
        <v/>
      </c>
      <c r="M360" s="14">
        <f>M359+I360</f>
        <v/>
      </c>
      <c r="N360" s="14">
        <f>D360+F360-E360</f>
        <v/>
      </c>
      <c r="O360" s="13" t="inlineStr">
        <is>
          <t>能力超目标：四轮定位上、下、ARHUD+慢充</t>
        </is>
      </c>
      <c r="P360" s="13" t="inlineStr">
        <is>
          <t>ST1 引取(开:23293.0s 加:56.0s 等前:2529.0s 等后:8.5s) | ST2 集约(开:23357.5s 加:111.0s 等前:0.0s 等后:26.5s) | ST3 空气悬挂+快充(开:23495.0s 加:108.5s 等前:0.0s 等后:35.0s) | ST4 四轮定位上、下(开:23638.5s 加:120.5s 等前:0.0s 等后:0.0s) | ST5 ADAS(开:23759.0s 加:107.0s 等前:0.0s 等后:3.0s) | ST6 ARHUD+慢充(开:23869.0s 加:143.5s 等前:0.0s 等后:0.0s) | ST7 转毂(开:24012.5s 加:114.5s 等前:0.0s 等后:0.0s) | ST8 制动(开:24127.0s 加:114.0s 等前:0.0s 等后:0.0s) | ST9 EG漏液/底盘漏液(开:24241.0s 加:112.5s 等前:0.0s 等后:0.0s) | ST10 全景/空调检查(开:24353.5s 加:0.0s 等前:0.0s 等后:0.0s) | ST11 气囊安装+绝缘(开:24353.5s 加:116.0s 等前:0.0s 等后:0.0s) | ST12 L2++(开:24469.5s 加:88.0s 等前:0.0s 等后:0.0s) | ST13 电检1(开:24557.5s 加:84.5s 等前:0.0s 等后:0.0s) | ST14 电检2(开:24642.0s 加:97.5s 等前:0.0s 等后:0.0s) | ST15 小跑道(开:24739.5s 加:50.0s 等前:0.0s 等后:0.0s)</t>
        </is>
      </c>
    </row>
    <row r="361">
      <c r="A361" s="15" t="n">
        <v>360</v>
      </c>
      <c r="B361" s="15" t="inlineStr">
        <is>
          <t>Car#360</t>
        </is>
      </c>
      <c r="C361" s="15" t="inlineStr">
        <is>
          <t>C</t>
        </is>
      </c>
      <c r="D361" s="16" t="n">
        <v>23357.5</v>
      </c>
      <c r="E361" s="16" t="n">
        <v>24839.5</v>
      </c>
      <c r="F361" s="16" t="n">
        <v>1482</v>
      </c>
      <c r="G361" s="16" t="n">
        <v>2594</v>
      </c>
      <c r="H361" s="15" t="inlineStr">
        <is>
          <t>Car#359</t>
        </is>
      </c>
      <c r="I361" s="16">
        <f>E361-E360</f>
        <v/>
      </c>
      <c r="J361" s="16">
        <f>I361-58</f>
        <v/>
      </c>
      <c r="K361" s="16">
        <f>MAX(0,J361)</f>
        <v/>
      </c>
      <c r="L361" s="16">
        <f>MAX(0,-J361)</f>
        <v/>
      </c>
      <c r="M361" s="16">
        <f>M360+I361</f>
        <v/>
      </c>
      <c r="N361" s="16">
        <f>D361+F361-E361</f>
        <v/>
      </c>
      <c r="O361" s="15" t="inlineStr">
        <is>
          <t>能力超目标：四轮定位上、下、ARHUD+慢充</t>
        </is>
      </c>
      <c r="P361" s="15" t="inlineStr">
        <is>
          <t>ST1 引取(开:23357.5s 加:56.0s 等前:2535.5s 等后:0.0s) | ST2 集约(开:23413.5s 加:111.0s 等前:0.0s 等后:0.0s) | ST3 空气悬挂+快充(开:23524.5s 加:108.5s 等前:0.0s 等后:0.0s) | ST4 四轮定位上、下(开:23633.0s 加:120.5s 等前:0.0s 等后:0.0s) | ST5 ADAS(开:23753.5s 加:107.0s 等前:0.0s 等后:23.0s) | ST6 ARHUD+慢充(开:23883.5s 加:143.5s 等前:0.0s 等后:0.0s) | ST7 转毂(开:24027.0s 加:114.5s 等前:0.0s 等后:0.0s) | ST8 制动(开:24141.5s 加:114.0s 等前:0.0s 等后:0.0s) | ST9 EG漏液/底盘漏液(开:24255.5s 加:112.5s 等前:0.0s 等后:0.0s) | ST10 全景/空调检查(开:24368.0s 加:0.0s 等前:0.0s 等后:0.0s) | ST11 气囊安装+绝缘(开:24368.0s 加:116.0s 等前:0.0s 等后:0.0s) | ST12 L2++(开:24484.0s 加:88.0s 等前:0.0s 等后:0.0s) | ST13 电检1(开:24572.0s 加:84.5s 等前:0.0s 等后:0.0s) | ST14 电检2(开:24656.5s 加:97.5s 等前:0.0s 等后:35.5s) | ST15 小跑道(开:24789.5s 加:50.0s 等前:0.0s 等后:0.0s)</t>
        </is>
      </c>
    </row>
    <row r="362">
      <c r="A362" s="13" t="n">
        <v>361</v>
      </c>
      <c r="B362" s="13" t="inlineStr">
        <is>
          <t>Car#361</t>
        </is>
      </c>
      <c r="C362" s="13" t="inlineStr">
        <is>
          <t>B</t>
        </is>
      </c>
      <c r="D362" s="14" t="n">
        <v>23413.5</v>
      </c>
      <c r="E362" s="14" t="n">
        <v>24905.5</v>
      </c>
      <c r="F362" s="14" t="n">
        <v>1492</v>
      </c>
      <c r="G362" s="14" t="n">
        <v>2694</v>
      </c>
      <c r="H362" s="13" t="inlineStr">
        <is>
          <t>Car#360</t>
        </is>
      </c>
      <c r="I362" s="14">
        <f>E362-E361</f>
        <v/>
      </c>
      <c r="J362" s="14">
        <f>I362-58</f>
        <v/>
      </c>
      <c r="K362" s="14">
        <f>MAX(0,J362)</f>
        <v/>
      </c>
      <c r="L362" s="14">
        <f>MAX(0,-J362)</f>
        <v/>
      </c>
      <c r="M362" s="14">
        <f>M361+I362</f>
        <v/>
      </c>
      <c r="N362" s="14">
        <f>D362+F362-E362</f>
        <v/>
      </c>
      <c r="O362" s="13" t="inlineStr">
        <is>
          <t>能力超目标：四轮定位上、下</t>
        </is>
      </c>
      <c r="P362" s="13" t="inlineStr">
        <is>
          <t>ST1 引取(开:23413.5s 加:56.0s 等前:2533.5s 等后:25.5s) | ST2 集约(开:23495.0s 加:111.0s 等前:0.0s 等后:32.5s) | ST3 空气悬挂+快充(开:23638.5s 加:108.5s 等前:0.0s 等后:12.0s) | ST4 四轮定位上、下(开:23759.0s 加:120.5s 等前:0.0s 等后:0.0s) | ST5 ADAS(开:23879.5s 加:107.0s 等前:0.0s 等后:26.0s) | ST6 ARHUD+慢充(开:24012.5s 加:51.5s 等前:0.0s 等后:63.0s) | ST7 转毂(开:24127.0s 加:114.5s 等前:0.0s 等后:0.0s) | ST8 制动(开:24241.5s 加:114.0s 等前:0.0s 等后:0.0s) | ST9 EG漏液/底盘漏液(开:24355.5s 加:112.5s 等前:0.0s 等后:0.0s) | ST10 全景/空调检查(开:24468.0s 加:0.0s 等前:0.0s 等后:1.5s) | ST11 气囊安装+绝缘(开:24469.5s 加:116.0s 等前:0.0s 等后:0.0s) | ST12 L2++(开:24585.5s 加:88.0s 等前:0.0s 等后:0.0s) | ST13 电检1(开:24673.5s 加:84.5s 等前:0.0s 等后:0.0s) | ST14 电检2(开:24758.0s 加:97.5s 等前:0.0s 等后:0.0s) | ST15 小跑道(开:24855.5s 加:50.0s 等前:0.0s 等后:0.0s)</t>
        </is>
      </c>
    </row>
    <row r="363">
      <c r="A363" s="15" t="n">
        <v>362</v>
      </c>
      <c r="B363" s="15" t="inlineStr">
        <is>
          <t>Car#362</t>
        </is>
      </c>
      <c r="C363" s="15" t="inlineStr">
        <is>
          <t>B</t>
        </is>
      </c>
      <c r="D363" s="16" t="n">
        <v>23495</v>
      </c>
      <c r="E363" s="16" t="n">
        <v>24955.5</v>
      </c>
      <c r="F363" s="16" t="n">
        <v>1460.5</v>
      </c>
      <c r="G363" s="16" t="n">
        <v>2686</v>
      </c>
      <c r="H363" s="15" t="inlineStr">
        <is>
          <t>Car#361</t>
        </is>
      </c>
      <c r="I363" s="16">
        <f>E363-E362</f>
        <v/>
      </c>
      <c r="J363" s="16">
        <f>I363-58</f>
        <v/>
      </c>
      <c r="K363" s="16">
        <f>MAX(0,J363)</f>
        <v/>
      </c>
      <c r="L363" s="16">
        <f>MAX(0,-J363)</f>
        <v/>
      </c>
      <c r="M363" s="16">
        <f>M362+I363</f>
        <v/>
      </c>
      <c r="N363" s="16">
        <f>D363+F363-E363</f>
        <v/>
      </c>
      <c r="O363" s="15" t="inlineStr">
        <is>
          <t>能力超目标：四轮定位上、下</t>
        </is>
      </c>
      <c r="P363" s="15" t="inlineStr">
        <is>
          <t>ST1 引取(开:23495.0s 加:56.0s 等前:2557.0s 等后:0.0s) | ST2 集约(开:23551.0s 加:111.0s 等前:0.0s 等后:0.0s) | ST3 空气悬挂+快充(开:23662.0s 加:108.5s 等前:0.0s 等后:0.0s) | ST4 四轮定位上、下(开:23770.5s 加:120.5s 等前:0.0s 等后:0.0s) | ST5 ADAS(开:23891.0s 加:107.0s 等前:0.0s 等后:29.0s) | ST6 ARHUD+慢充(开:24027.0s 加:51.5s 等前:0.0s 等后:63.0s) | ST7 转毂(开:24141.5s 加:114.5s 等前:0.0s 等后:0.0s) | ST8 制动(开:24256.0s 加:114.0s 等前:0.0s 等后:0.0s) | ST9 EG漏液/底盘漏液(开:24370.0s 加:112.5s 等前:0.0s 等后:0.0s) | ST10 全景/空调检查(开:24482.5s 加:0.0s 等前:0.0s 等后:1.5s) | ST11 气囊安装+绝缘(开:24484.0s 加:116.0s 等前:0.0s 等后:0.0s) | ST12 L2++(开:24600.0s 加:88.0s 等前:0.0s 等后:0.0s) | ST13 电检1(开:24688.0s 加:84.5s 等前:0.0s 等后:17.0s) | ST14 电检2(开:24789.5s 加:97.5s 等前:0.0s 等后:18.5s) | ST15 小跑道(开:24905.5s 加:50.0s 等前:0.0s 等后:0.0s)</t>
        </is>
      </c>
    </row>
    <row r="364">
      <c r="A364" s="13" t="n">
        <v>363</v>
      </c>
      <c r="B364" s="13" t="inlineStr">
        <is>
          <t>Car#363</t>
        </is>
      </c>
      <c r="C364" s="13" t="inlineStr">
        <is>
          <t>B</t>
        </is>
      </c>
      <c r="D364" s="14" t="n">
        <v>23551</v>
      </c>
      <c r="E364" s="14" t="n">
        <v>25021.5</v>
      </c>
      <c r="F364" s="14" t="n">
        <v>1470.5</v>
      </c>
      <c r="G364" s="14" t="n">
        <v>2694</v>
      </c>
      <c r="H364" s="13" t="inlineStr">
        <is>
          <t>Car#362</t>
        </is>
      </c>
      <c r="I364" s="14">
        <f>E364-E363</f>
        <v/>
      </c>
      <c r="J364" s="14">
        <f>I364-58</f>
        <v/>
      </c>
      <c r="K364" s="14">
        <f>MAX(0,J364)</f>
        <v/>
      </c>
      <c r="L364" s="14">
        <f>MAX(0,-J364)</f>
        <v/>
      </c>
      <c r="M364" s="14">
        <f>M363+I364</f>
        <v/>
      </c>
      <c r="N364" s="14">
        <f>D364+F364-E364</f>
        <v/>
      </c>
      <c r="O364" s="13" t="inlineStr">
        <is>
          <t>能力超目标：四轮定位上、下</t>
        </is>
      </c>
      <c r="P364" s="13" t="inlineStr">
        <is>
          <t>ST1 引取(开:23551.0s 加:56.0s 等前:2555.0s 等后:31.5s) | ST2 集约(开:23638.5s 加:111.0s 等前:0.0s 等后:9.5s) | ST3 空气悬挂+快充(开:23759.0s 加:108.5s 等前:0.0s 等后:12.0s) | ST4 四轮定位上、下(开:23879.5s 加:120.5s 等前:0.0s 等后:12.5s) | ST5 ADAS(开:24012.5s 加:107.0s 等前:0.0s 等后:7.5s) | ST6 ARHUD+慢充(开:24127.0s 加:51.5s 等前:0.0s 等后:63.0s) | ST7 转毂(开:24241.5s 加:114.5s 等前:0.0s 等后:0.0s) | ST8 制动(开:24356.0s 加:114.0s 等前:0.0s 等后:0.0s) | ST9 EG漏液/底盘漏液(开:24470.0s 加:112.5s 等前:0.0s 等后:0.0s) | ST10 全景/空调检查(开:24582.5s 加:0.0s 等前:0.0s 等后:3.0s) | ST11 气囊安装+绝缘(开:24585.5s 加:116.0s 等前:0.0s 等后:0.0s) | ST12 L2++(开:24701.5s 加:88.0s 等前:0.0s 等后:0.0s) | ST13 电检1(开:24789.5s 加:84.5s 等前:0.0s 等后:0.0s) | ST14 电检2(开:24874.0s 加:97.5s 等前:0.0s 等后:0.0s) | ST15 小跑道(开:24971.5s 加:50.0s 等前:0.0s 等后:0.0s)</t>
        </is>
      </c>
    </row>
    <row r="365">
      <c r="A365" s="15" t="n">
        <v>364</v>
      </c>
      <c r="B365" s="15" t="inlineStr">
        <is>
          <t>Car#364</t>
        </is>
      </c>
      <c r="C365" s="15" t="inlineStr">
        <is>
          <t>C</t>
        </is>
      </c>
      <c r="D365" s="16" t="n">
        <v>23638.5</v>
      </c>
      <c r="E365" s="16" t="n">
        <v>25071.5</v>
      </c>
      <c r="F365" s="16" t="n">
        <v>1433</v>
      </c>
      <c r="G365" s="16" t="n">
        <v>2594</v>
      </c>
      <c r="H365" s="15" t="inlineStr">
        <is>
          <t>Car#363</t>
        </is>
      </c>
      <c r="I365" s="16">
        <f>E365-E364</f>
        <v/>
      </c>
      <c r="J365" s="16">
        <f>I365-58</f>
        <v/>
      </c>
      <c r="K365" s="16">
        <f>MAX(0,J365)</f>
        <v/>
      </c>
      <c r="L365" s="16">
        <f>MAX(0,-J365)</f>
        <v/>
      </c>
      <c r="M365" s="16">
        <f>M364+I365</f>
        <v/>
      </c>
      <c r="N365" s="16">
        <f>D365+F365-E365</f>
        <v/>
      </c>
      <c r="O365" s="15" t="inlineStr">
        <is>
          <t>能力超目标：四轮定位上、下、ARHUD+慢充</t>
        </is>
      </c>
      <c r="P365" s="15" t="inlineStr">
        <is>
          <t>ST1 引取(开:23638.5s 加:56.0s 等前:2584.5s 等后:0.0s) | ST2 集约(开:23694.5s 加:111.0s 等前:0.0s 等后:0.0s) | ST3 空气悬挂+快充(开:23805.5s 加:108.5s 等前:0.0s 等后:0.0s) | ST4 四轮定位上、下(开:23914.0s 加:120.5s 等前:0.0s 等后:0.0s) | ST5 ADAS(开:24034.5s 加:107.0s 等前:0.0s 等后:0.0s) | ST6 ARHUD+慢充(开:24141.5s 加:143.5s 等前:0.0s 等后:0.0s) | ST7 转毂(开:24285.0s 加:114.5s 等前:0.0s 等后:0.0s) | ST8 制动(开:24399.5s 加:114.0s 等前:0.0s 等后:0.0s) | ST9 EG漏液/底盘漏液(开:24513.5s 加:112.5s 等前:0.0s 等后:0.0s) | ST10 全景/空调检查(开:24626.0s 加:0.0s 等前:0.0s 等后:0.0s) | ST11 气囊安装+绝缘(开:24626.0s 加:116.0s 等前:0.0s 等后:0.0s) | ST12 L2++(开:24742.0s 加:88.0s 等前:0.0s 等后:0.0s) | ST13 电检1(开:24830.0s 加:84.5s 等前:0.0s 等后:0.0s) | ST14 电检2(开:24914.5s 加:97.5s 等前:0.0s 等后:9.5s) | ST15 小跑道(开:25021.5s 加:50.0s 等前:0.0s 等后:0.0s)</t>
        </is>
      </c>
    </row>
    <row r="366">
      <c r="A366" s="13" t="n">
        <v>365</v>
      </c>
      <c r="B366" s="13" t="inlineStr">
        <is>
          <t>Car#365</t>
        </is>
      </c>
      <c r="C366" s="13" t="inlineStr">
        <is>
          <t>C</t>
        </is>
      </c>
      <c r="D366" s="14" t="n">
        <v>23694.5</v>
      </c>
      <c r="E366" s="14" t="n">
        <v>25162</v>
      </c>
      <c r="F366" s="14" t="n">
        <v>1467.5</v>
      </c>
      <c r="G366" s="14" t="n">
        <v>2626.5</v>
      </c>
      <c r="H366" s="13" t="inlineStr">
        <is>
          <t>Car#364</t>
        </is>
      </c>
      <c r="I366" s="14">
        <f>E366-E365</f>
        <v/>
      </c>
      <c r="J366" s="14">
        <f>I366-58</f>
        <v/>
      </c>
      <c r="K366" s="14">
        <f>MAX(0,J366)</f>
        <v/>
      </c>
      <c r="L366" s="14">
        <f>MAX(0,-J366)</f>
        <v/>
      </c>
      <c r="M366" s="14">
        <f>M365+I366</f>
        <v/>
      </c>
      <c r="N366" s="14">
        <f>D366+F366-E366</f>
        <v/>
      </c>
      <c r="O366" s="13" t="inlineStr">
        <is>
          <t>能力超目标：四轮定位上、下、ARHUD+慢充</t>
        </is>
      </c>
      <c r="P366" s="13" t="inlineStr">
        <is>
          <t>ST1 引取(开:23694.5s 加:56.0s 等前:2582.5s 等后:8.5s) | ST2 集约(开:23759.0s 加:111.0s 等前:0.0s 等后:9.5s) | ST3 空气悬挂+快充(开:23879.5s 加:108.5s 等前:0.0s 等后:24.5s) | ST4 四轮定位上、下(开:24012.5s 加:120.5s 等前:0.0s 等后:0.0s) | ST5 ADAS(开:24133.0s 加:107.0s 等前:0.0s 等后:1.5s) | ST6 ARHUD+慢充(开:24241.5s 加:143.5s 等前:0.0s 等后:0.0s) | ST7 转毂(开:24385.0s 加:114.5s 等前:0.0s 等后:0.0s) | ST8 制动(开:24499.5s 加:114.0s 等前:0.0s 等后:0.0s) | ST9 EG漏液/底盘漏液(开:24613.5s 加:112.5s 等前:0.0s 等后:0.0s) | ST10 全景/空调检查(开:24726.0s 加:0.0s 等前:0.0s 等后:0.0s) | ST11 气囊安装+绝缘(开:24726.0s 加:116.0s 等前:0.0s 等后:0.0s) | ST12 L2++(开:24842.0s 加:88.0s 等前:0.0s 等后:0.0s) | ST13 电检1(开:24930.0s 加:84.5s 等前:0.0s 等后:0.0s) | ST14 电检2(开:25014.5s 加:97.5s 等前:0.0s 等后:0.0s) | ST15 小跑道(开:25112.0s 加:50.0s 等前:0.0s 等后:0.0s)</t>
        </is>
      </c>
    </row>
    <row r="367">
      <c r="A367" s="15" t="n">
        <v>366</v>
      </c>
      <c r="B367" s="15" t="inlineStr">
        <is>
          <t>Car#367</t>
        </is>
      </c>
      <c r="C367" s="15" t="inlineStr">
        <is>
          <t>A</t>
        </is>
      </c>
      <c r="D367" s="16" t="n">
        <v>23815</v>
      </c>
      <c r="E367" s="16" t="n">
        <v>25213</v>
      </c>
      <c r="F367" s="16" t="n">
        <v>1398</v>
      </c>
      <c r="G367" s="16" t="n">
        <v>3124</v>
      </c>
      <c r="H367" s="15" t="inlineStr">
        <is>
          <t>Car#365</t>
        </is>
      </c>
      <c r="I367" s="16">
        <f>E367-E366</f>
        <v/>
      </c>
      <c r="J367" s="16">
        <f>I367-58</f>
        <v/>
      </c>
      <c r="K367" s="16">
        <f>MAX(0,J367)</f>
        <v/>
      </c>
      <c r="L367" s="16">
        <f>MAX(0,-J367)</f>
        <v/>
      </c>
      <c r="M367" s="16">
        <f>M366+I367</f>
        <v/>
      </c>
      <c r="N367" s="16">
        <f>D367+F367-E367</f>
        <v/>
      </c>
      <c r="O367" s="15" t="inlineStr">
        <is>
          <t>能力满足</t>
        </is>
      </c>
      <c r="P367" s="15" t="inlineStr">
        <is>
          <t>ST1 引取(开:23815.0s 加:55.0s 等前:2587.0s 等后:9.5s) | ST2 集约(开:23879.5s 加:106.0s 等前:0.0s 等后:27.0s) | ST3 空气悬挂+快充(开:24012.5s 加:0.0s 等前:0.0s 等后:120.5s) | ST4 四轮定位上、下(开:24133.0s 加:115.0s 等前:0.0s 等后:0.0s) | ST5 ADAS(开:24248.0s 加:97.0s 等前:0.0s 等后:40.0s) | ST6 ARHUD+慢充(开:24385.0s 加:0.0s 等前:0.0s 等后:114.5s) | ST7 转毂(开:24499.5s 加:116.0s 等前:0.0s 等后:0.0s) | ST8 制动(开:24615.5s 加:108.0s 等前:0.0s 等后:2.5s) | ST9 EG漏液/底盘漏液(开:24726.0s 加:115.0s 等前:0.0s 等后:0.0s) | ST10 全景/空调检查(开:24841.0s 加:98.0s 等前:0.0s 等后:0.0s) | ST11 气囊安装+绝缘(开:24939.0s 加:0.0s 等前:0.0s 等后:0.0s) | ST12 L2++(开:24939.0s 加:0.0s 等前:0.0s 等后:75.5s) | ST13 电检1(开:25014.5s 加:0.0s 等前:0.0s 等后:97.5s) | ST14 电检2(开:25112.0s 加:0.0s 等前:0.0s 等后:50.0s) | ST15 小跑道(开:25162.0s 加:51.0s 等前:0.0s 等后:0.0s)</t>
        </is>
      </c>
    </row>
    <row r="368">
      <c r="A368" s="13" t="n">
        <v>367</v>
      </c>
      <c r="B368" s="13" t="inlineStr">
        <is>
          <t>Car#366</t>
        </is>
      </c>
      <c r="C368" s="13" t="inlineStr">
        <is>
          <t>C</t>
        </is>
      </c>
      <c r="D368" s="14" t="n">
        <v>23759</v>
      </c>
      <c r="E368" s="14" t="n">
        <v>25263</v>
      </c>
      <c r="F368" s="14" t="n">
        <v>1504</v>
      </c>
      <c r="G368" s="14" t="n">
        <v>2669.5</v>
      </c>
      <c r="H368" s="13" t="inlineStr">
        <is>
          <t>Car#367</t>
        </is>
      </c>
      <c r="I368" s="14">
        <f>E368-E367</f>
        <v/>
      </c>
      <c r="J368" s="14">
        <f>I368-58</f>
        <v/>
      </c>
      <c r="K368" s="14">
        <f>MAX(0,J368)</f>
        <v/>
      </c>
      <c r="L368" s="14">
        <f>MAX(0,-J368)</f>
        <v/>
      </c>
      <c r="M368" s="14">
        <f>M367+I368</f>
        <v/>
      </c>
      <c r="N368" s="14">
        <f>D368+F368-E368</f>
        <v/>
      </c>
      <c r="O368" s="13" t="inlineStr">
        <is>
          <t>能力超目标：四轮定位上、下、ARHUD+慢充</t>
        </is>
      </c>
      <c r="P368" s="13" t="inlineStr">
        <is>
          <t>ST1 引取(开:23759.0s 加:56.0s 等前:2589.0s 等后:0.0s) | ST2 集约(开:23815.0s 加:111.0s 等前:0.0s 等后:0.0s) | ST3 空气悬挂+快充(开:23926.0s 加:108.5s 等前:0.0s 等后:0.0s) | ST4 四轮定位上、下(开:24034.5s 加:120.5s 等前:0.0s 等后:0.0s) | ST5 ADAS(开:24155.0s 加:107.0s 等前:0.0s 等后:23.0s) | ST6 ARHUD+慢充(开:24285.0s 加:143.5s 等前:0.0s 等后:0.0s) | ST7 转毂(开:24428.5s 加:114.5s 等前:0.0s 等后:0.0s) | ST8 制动(开:24543.0s 加:114.0s 等前:0.0s 等后:0.0s) | ST9 EG漏液/底盘漏液(开:24657.0s 加:112.5s 等前:0.0s 等后:0.0s) | ST10 全景/空调检查(开:24769.5s 加:0.0s 等前:0.0s 等后:0.0s) | ST11 气囊安装+绝缘(开:24769.5s 加:116.0s 等前:0.0s 等后:0.0s) | ST12 L2++(开:24885.5s 加:88.0s 等前:0.0s 等后:0.0s) | ST13 电检1(开:24973.5s 加:84.5s 等前:0.0s 等后:0.0s) | ST14 电检2(开:25058.0s 加:97.5s 等前:0.0s 等后:57.5s) | ST15 小跑道(开:25213.0s 加:50.0s 等前:0.0s 等后:0.0s)</t>
        </is>
      </c>
    </row>
    <row r="369">
      <c r="A369" s="15" t="n">
        <v>368</v>
      </c>
      <c r="B369" s="15" t="inlineStr">
        <is>
          <t>Car#369</t>
        </is>
      </c>
      <c r="C369" s="15" t="inlineStr">
        <is>
          <t>A</t>
        </is>
      </c>
      <c r="D369" s="16" t="n">
        <v>23934.5</v>
      </c>
      <c r="E369" s="16" t="n">
        <v>25314</v>
      </c>
      <c r="F369" s="16" t="n">
        <v>1379.5</v>
      </c>
      <c r="G369" s="16" t="n">
        <v>3109</v>
      </c>
      <c r="H369" s="15" t="inlineStr">
        <is>
          <t>Car#366</t>
        </is>
      </c>
      <c r="I369" s="16">
        <f>E369-E368</f>
        <v/>
      </c>
      <c r="J369" s="16">
        <f>I369-58</f>
        <v/>
      </c>
      <c r="K369" s="16">
        <f>MAX(0,J369)</f>
        <v/>
      </c>
      <c r="L369" s="16">
        <f>MAX(0,-J369)</f>
        <v/>
      </c>
      <c r="M369" s="16">
        <f>M368+I369</f>
        <v/>
      </c>
      <c r="N369" s="16">
        <f>D369+F369-E369</f>
        <v/>
      </c>
      <c r="O369" s="15" t="inlineStr">
        <is>
          <t>能力满足</t>
        </is>
      </c>
      <c r="P369" s="15" t="inlineStr">
        <is>
          <t>ST1 引取(开:23934.5s 加:55.0s 等前:2590.5s 等后:23.0s) | ST2 集约(开:24012.5s 加:106.0s 等前:0.0s 等后:14.5s) | ST3 空气悬挂+快充(开:24133.0s 加:0.0s 等前:0.0s 等后:115.0s) | ST4 四轮定位上、下(开:24248.0s 加:115.0s 等前:0.0s 等后:22.0s) | ST5 ADAS(开:24385.0s 加:97.0s 等前:0.0s 等后:17.5s) | ST6 ARHUD+慢充(开:24499.5s 加:0.0s 等前:0.0s 等后:116.0s) | ST7 转毂(开:24615.5s 加:116.0s 等前:0.0s 等后:0.0s) | ST8 制动(开:24731.5s 加:108.0s 等前:0.0s 等后:1.5s) | ST9 EG漏液/底盘漏液(开:24841.0s 加:115.0s 等前:0.0s 等后:0.0s) | ST10 全景/空调检查(开:24956.0s 加:98.0s 等前:0.0s 等后:0.0s) | ST11 气囊安装+绝缘(开:25054.0s 加:0.0s 等前:0.0s 等后:0.0s) | ST12 L2++(开:25054.0s 加:0.0s 等前:0.0s 等后:58.0s) | ST13 电检1(开:25112.0s 加:0.0s 等前:0.0s 等后:50.0s) | ST14 电检2(开:25162.0s 加:0.0s 等前:0.0s 等后:101.0s) | ST15 小跑道(开:25263.0s 加:51.0s 等前:0.0s 等后:0.0s)</t>
        </is>
      </c>
    </row>
    <row r="370">
      <c r="A370" s="13" t="n">
        <v>369</v>
      </c>
      <c r="B370" s="13" t="inlineStr">
        <is>
          <t>Car#368</t>
        </is>
      </c>
      <c r="C370" s="13" t="inlineStr">
        <is>
          <t>A</t>
        </is>
      </c>
      <c r="D370" s="14" t="n">
        <v>23879.5</v>
      </c>
      <c r="E370" s="14" t="n">
        <v>25365</v>
      </c>
      <c r="F370" s="14" t="n">
        <v>1485.5</v>
      </c>
      <c r="G370" s="14" t="n">
        <v>3218</v>
      </c>
      <c r="H370" s="13" t="inlineStr">
        <is>
          <t>Car#369</t>
        </is>
      </c>
      <c r="I370" s="14">
        <f>E370-E369</f>
        <v/>
      </c>
      <c r="J370" s="14">
        <f>I370-58</f>
        <v/>
      </c>
      <c r="K370" s="14">
        <f>MAX(0,J370)</f>
        <v/>
      </c>
      <c r="L370" s="14">
        <f>MAX(0,-J370)</f>
        <v/>
      </c>
      <c r="M370" s="14">
        <f>M369+I370</f>
        <v/>
      </c>
      <c r="N370" s="14">
        <f>D370+F370-E370</f>
        <v/>
      </c>
      <c r="O370" s="13" t="inlineStr">
        <is>
          <t>能力满足</t>
        </is>
      </c>
      <c r="P370" s="13" t="inlineStr">
        <is>
          <t>ST1 引取(开:23879.5s 加:55.0s 等前:2593.5s 等后:0.0s) | ST2 集约(开:23934.5s 加:106.0s 等前:0.0s 等后:0.0s) | ST3 空气悬挂+快充(开:24040.5s 加:0.0s 等前:0.0s 等后:114.5s) | ST4 四轮定位上、下(开:24155.0s 加:115.0s 等前:0.0s 等后:15.0s) | ST5 ADAS(开:24285.0s 加:97.0s 等前:0.0s 等后:46.5s) | ST6 ARHUD+慢充(开:24428.5s 加:0.0s 等前:0.0s 等后:114.5s) | ST7 转毂(开:24543.0s 加:116.0s 等前:0.0s 等后:0.0s) | ST8 制动(开:24659.0s 加:108.0s 等前:0.0s 等后:2.5s) | ST9 EG漏液/底盘漏液(开:24769.5s 加:115.0s 等前:0.0s 等后:0.0s) | ST10 全景/空调检查(开:24884.5s 加:98.0s 等前:0.0s 等后:0.0s) | ST11 气囊安装+绝缘(开:24982.5s 加:0.0s 等前:0.0s 等后:0.0s) | ST12 L2++(开:24982.5s 加:0.0s 等前:0.0s 等后:75.5s) | ST13 电检1(开:25058.0s 加:0.0s 等前:0.0s 等后:155.0s) | ST14 电检2(开:25213.0s 加:0.0s 等前:0.0s 等后:101.0s) | ST15 小跑道(开:25314.0s 加:51.0s 等前:0.0s 等后:0.0s)</t>
        </is>
      </c>
    </row>
    <row r="371">
      <c r="A371" s="15" t="n">
        <v>370</v>
      </c>
      <c r="B371" s="15" t="inlineStr">
        <is>
          <t>Car#370</t>
        </is>
      </c>
      <c r="C371" s="15" t="inlineStr">
        <is>
          <t>C</t>
        </is>
      </c>
      <c r="D371" s="16" t="n">
        <v>24012.5</v>
      </c>
      <c r="E371" s="16" t="n">
        <v>25463.5</v>
      </c>
      <c r="F371" s="16" t="n">
        <v>1451</v>
      </c>
      <c r="G371" s="16" t="n">
        <v>2638</v>
      </c>
      <c r="H371" s="15" t="inlineStr">
        <is>
          <t>Car#368</t>
        </is>
      </c>
      <c r="I371" s="16">
        <f>E371-E370</f>
        <v/>
      </c>
      <c r="J371" s="16">
        <f>I371-58</f>
        <v/>
      </c>
      <c r="K371" s="16">
        <f>MAX(0,J371)</f>
        <v/>
      </c>
      <c r="L371" s="16">
        <f>MAX(0,-J371)</f>
        <v/>
      </c>
      <c r="M371" s="16">
        <f>M370+I371</f>
        <v/>
      </c>
      <c r="N371" s="16">
        <f>D371+F371-E371</f>
        <v/>
      </c>
      <c r="O371" s="15" t="inlineStr">
        <is>
          <t>能力超目标：四轮定位上、下、ARHUD+慢充</t>
        </is>
      </c>
      <c r="P371" s="15" t="inlineStr">
        <is>
          <t>ST1 引取(开:24012.5s 加:56.0s 等前:2610.5s 等后:0.0s) | ST2 集约(开:24068.5s 加:111.0s 等前:0.0s 等后:0.0s) | ST3 空气悬挂+快充(开:24179.5s 加:108.5s 等前:0.0s 等后:0.0s) | ST4 四轮定位上、下(开:24288.0s 加:120.5s 等前:0.0s 等后:20.0s) | ST5 ADAS(开:24428.5s 加:107.0s 等前:0.0s 等后:7.5s) | ST6 ARHUD+慢充(开:24543.0s 加:143.5s 等前:0.0s 等后:0.0s) | ST7 转毂(开:24686.5s 加:114.5s 等前:0.0s 等后:0.0s) | ST8 制动(开:24801.0s 加:114.0s 等前:0.0s 等后:0.0s) | ST9 EG漏液/底盘漏液(开:24915.0s 加:112.5s 等前:0.0s 等后:0.0s) | ST10 全景/空调检查(开:25027.5s 加:0.0s 等前:0.0s 等后:0.0s) | ST11 气囊安装+绝缘(开:25027.5s 加:116.0s 等前:0.0s 等后:0.0s) | ST12 L2++(开:25143.5s 加:88.0s 等前:0.0s 等后:0.0s) | ST13 电检1(开:25231.5s 加:84.5s 等前:0.0s 等后:0.0s) | ST14 电检2(开:25316.0s 加:97.5s 等前:0.0s 等后:0.0s) | ST15 小跑道(开:25413.5s 加:50.0s 等前:0.0s 等后:0.0s)</t>
        </is>
      </c>
    </row>
    <row r="372">
      <c r="A372" s="13" t="n">
        <v>371</v>
      </c>
      <c r="B372" s="13" t="inlineStr">
        <is>
          <t>Car#371</t>
        </is>
      </c>
      <c r="C372" s="13" t="inlineStr">
        <is>
          <t>C</t>
        </is>
      </c>
      <c r="D372" s="14" t="n">
        <v>24068.5</v>
      </c>
      <c r="E372" s="14" t="n">
        <v>25536</v>
      </c>
      <c r="F372" s="14" t="n">
        <v>1467.5</v>
      </c>
      <c r="G372" s="14" t="n">
        <v>2652.5</v>
      </c>
      <c r="H372" s="13" t="inlineStr">
        <is>
          <t>Car#370</t>
        </is>
      </c>
      <c r="I372" s="14">
        <f>E372-E371</f>
        <v/>
      </c>
      <c r="J372" s="14">
        <f>I372-58</f>
        <v/>
      </c>
      <c r="K372" s="14">
        <f>MAX(0,J372)</f>
        <v/>
      </c>
      <c r="L372" s="14">
        <f>MAX(0,-J372)</f>
        <v/>
      </c>
      <c r="M372" s="14">
        <f>M371+I372</f>
        <v/>
      </c>
      <c r="N372" s="14">
        <f>D372+F372-E372</f>
        <v/>
      </c>
      <c r="O372" s="13" t="inlineStr">
        <is>
          <t>能力超目标：四轮定位上、下、ARHUD+慢充</t>
        </is>
      </c>
      <c r="P372" s="13" t="inlineStr">
        <is>
          <t>ST1 引取(开:24068.5s 加:56.0s 等前:2608.5s 等后:8.5s) | ST2 集约(开:24133.0s 加:111.0s 等前:0.0s 等后:4.0s) | ST3 空气悬挂+快充(开:24248.0s 加:108.5s 等前:0.0s 等后:28.5s) | ST4 四轮定位上、下(开:24385.0s 加:120.5s 等前:0.0s 等后:0.0s) | ST5 ADAS(开:24505.5s 加:107.0s 等前:0.0s 等后:3.0s) | ST6 ARHUD+慢充(开:24615.5s 加:143.5s 等前:0.0s 等后:0.0s) | ST7 转毂(开:24759.0s 加:114.5s 等前:0.0s 等后:0.0s) | ST8 制动(开:24873.5s 加:114.0s 等前:0.0s 等后:0.0s) | ST9 EG漏液/底盘漏液(开:24987.5s 加:112.5s 等前:0.0s 等后:0.0s) | ST10 全景/空调检查(开:25100.0s 加:0.0s 等前:0.0s 等后:0.0s) | ST11 气囊安装+绝缘(开:25100.0s 加:116.0s 等前:0.0s 等后:0.0s) | ST12 L2++(开:25216.0s 加:88.0s 等前:0.0s 等后:0.0s) | ST13 电检1(开:25304.0s 加:84.5s 等前:0.0s 等后:0.0s) | ST14 电检2(开:25388.5s 加:97.5s 等前:0.0s 等后:0.0s) | ST15 小跑道(开:25486.0s 加:50.0s 等前:0.0s 等后:0.0s)</t>
        </is>
      </c>
    </row>
    <row r="373">
      <c r="A373" s="15" t="n">
        <v>372</v>
      </c>
      <c r="B373" s="15" t="inlineStr">
        <is>
          <t>Car#372</t>
        </is>
      </c>
      <c r="C373" s="15" t="inlineStr">
        <is>
          <t>B</t>
        </is>
      </c>
      <c r="D373" s="16" t="n">
        <v>24133</v>
      </c>
      <c r="E373" s="16" t="n">
        <v>25586</v>
      </c>
      <c r="F373" s="16" t="n">
        <v>1453</v>
      </c>
      <c r="G373" s="16" t="n">
        <v>2736.5</v>
      </c>
      <c r="H373" s="15" t="inlineStr">
        <is>
          <t>Car#371</t>
        </is>
      </c>
      <c r="I373" s="16">
        <f>E373-E372</f>
        <v/>
      </c>
      <c r="J373" s="16">
        <f>I373-58</f>
        <v/>
      </c>
      <c r="K373" s="16">
        <f>MAX(0,J373)</f>
        <v/>
      </c>
      <c r="L373" s="16">
        <f>MAX(0,-J373)</f>
        <v/>
      </c>
      <c r="M373" s="16">
        <f>M372+I373</f>
        <v/>
      </c>
      <c r="N373" s="16">
        <f>D373+F373-E373</f>
        <v/>
      </c>
      <c r="O373" s="15" t="inlineStr">
        <is>
          <t>能力超目标：四轮定位上、下</t>
        </is>
      </c>
      <c r="P373" s="15" t="inlineStr">
        <is>
          <t>ST1 引取(开:24133.0s 加:56.0s 等前:2615.0s 等后:0.0s) | ST2 集约(开:24189.0s 加:111.0s 等前:0.0s 等后:0.0s) | ST3 空气悬挂+快充(开:24300.0s 加:108.5s 等前:0.0s 等后:20.0s) | ST4 四轮定位上、下(开:24428.5s 加:120.5s 等前:0.0s 等后:0.0s) | ST5 ADAS(开:24549.0s 加:107.0s 等前:0.0s 等后:30.5s) | ST6 ARHUD+慢充(开:24686.5s 加:51.5s 等前:0.0s 等后:63.0s) | ST7 转毂(开:24801.0s 加:114.5s 等前:0.0s 等后:0.0s) | ST8 制动(开:24915.5s 加:114.0s 等前:0.0s 等后:0.0s) | ST9 EG漏液/底盘漏液(开:25029.5s 加:112.5s 等前:0.0s 等后:0.0s) | ST10 全景/空调检查(开:25142.0s 加:0.0s 等前:0.0s 等后:1.5s) | ST11 气囊安装+绝缘(开:25143.5s 加:116.0s 等前:0.0s 等后:0.0s) | ST12 L2++(开:25259.5s 加:88.0s 等前:0.0s 等后:0.0s) | ST13 电检1(开:25347.5s 加:84.5s 等前:0.0s 等后:0.0s) | ST14 电检2(开:25432.0s 加:97.5s 等前:0.0s 等后:6.5s) | ST15 小跑道(开:25536.0s 加:50.0s 等前:0.0s 等后:0.0s)</t>
        </is>
      </c>
    </row>
    <row r="374">
      <c r="A374" s="13" t="n">
        <v>373</v>
      </c>
      <c r="B374" s="13" t="inlineStr">
        <is>
          <t>Car#373</t>
        </is>
      </c>
      <c r="C374" s="13" t="inlineStr">
        <is>
          <t>B</t>
        </is>
      </c>
      <c r="D374" s="14" t="n">
        <v>24189</v>
      </c>
      <c r="E374" s="14" t="n">
        <v>25652</v>
      </c>
      <c r="F374" s="14" t="n">
        <v>1463</v>
      </c>
      <c r="G374" s="14" t="n">
        <v>2744.5</v>
      </c>
      <c r="H374" s="13" t="inlineStr">
        <is>
          <t>Car#372</t>
        </is>
      </c>
      <c r="I374" s="14">
        <f>E374-E373</f>
        <v/>
      </c>
      <c r="J374" s="14">
        <f>I374-58</f>
        <v/>
      </c>
      <c r="K374" s="14">
        <f>MAX(0,J374)</f>
        <v/>
      </c>
      <c r="L374" s="14">
        <f>MAX(0,-J374)</f>
        <v/>
      </c>
      <c r="M374" s="14">
        <f>M373+I374</f>
        <v/>
      </c>
      <c r="N374" s="14">
        <f>D374+F374-E374</f>
        <v/>
      </c>
      <c r="O374" s="13" t="inlineStr">
        <is>
          <t>能力超目标：四轮定位上、下</t>
        </is>
      </c>
      <c r="P374" s="13" t="inlineStr">
        <is>
          <t>ST1 引取(开:24189.0s 加:56.0s 等前:2613.0s 等后:3.0s) | ST2 集约(开:24248.0s 加:111.0s 等前:0.0s 等后:26.0s) | ST3 空气悬挂+快充(开:24385.0s 加:108.5s 等前:0.0s 等后:12.0s) | ST4 四轮定位上、下(开:24505.5s 加:120.5s 等前:0.0s 等后:0.0s) | ST5 ADAS(开:24626.0s 加:107.0s 等前:0.0s 等后:26.0s) | ST6 ARHUD+慢充(开:24759.0s 加:51.5s 等前:0.0s 等后:63.0s) | ST7 转毂(开:24873.5s 加:114.5s 等前:0.0s 等后:0.0s) | ST8 制动(开:24988.0s 加:114.0s 等前:0.0s 等后:0.0s) | ST9 EG漏液/底盘漏液(开:25102.0s 加:112.5s 等前:0.0s 等后:0.0s) | ST10 全景/空调检查(开:25214.5s 加:0.0s 等前:0.0s 等后:1.5s) | ST11 气囊安装+绝缘(开:25216.0s 加:116.0s 等前:0.0s 等后:0.0s) | ST12 L2++(开:25332.0s 加:88.0s 等前:0.0s 等后:0.0s) | ST13 电检1(开:25420.0s 加:84.5s 等前:0.0s 等后:0.0s) | ST14 电检2(开:25504.5s 加:97.5s 等前:0.0s 等后:0.0s) | ST15 小跑道(开:25602.0s 加:50.0s 等前:0.0s 等后:0.0s)</t>
        </is>
      </c>
    </row>
    <row r="375">
      <c r="A375" s="15" t="n">
        <v>374</v>
      </c>
      <c r="B375" s="15" t="inlineStr">
        <is>
          <t>Car#374</t>
        </is>
      </c>
      <c r="C375" s="15" t="inlineStr">
        <is>
          <t>C</t>
        </is>
      </c>
      <c r="D375" s="16" t="n">
        <v>24248</v>
      </c>
      <c r="E375" s="16" t="n">
        <v>25721.5</v>
      </c>
      <c r="F375" s="16" t="n">
        <v>1473.5</v>
      </c>
      <c r="G375" s="16" t="n">
        <v>2664</v>
      </c>
      <c r="H375" s="15" t="inlineStr">
        <is>
          <t>Car#373</t>
        </is>
      </c>
      <c r="I375" s="16">
        <f>E375-E374</f>
        <v/>
      </c>
      <c r="J375" s="16">
        <f>I375-58</f>
        <v/>
      </c>
      <c r="K375" s="16">
        <f>MAX(0,J375)</f>
        <v/>
      </c>
      <c r="L375" s="16">
        <f>MAX(0,-J375)</f>
        <v/>
      </c>
      <c r="M375" s="16">
        <f>M374+I375</f>
        <v/>
      </c>
      <c r="N375" s="16">
        <f>D375+F375-E375</f>
        <v/>
      </c>
      <c r="O375" s="15" t="inlineStr">
        <is>
          <t>能力超目标：四轮定位上、下、ARHUD+慢充</t>
        </is>
      </c>
      <c r="P375" s="15" t="inlineStr">
        <is>
          <t>ST1 引取(开:24248.0s 加:56.0s 等前:2614.0s 等后:0.0s) | ST2 集约(开:24304.0s 加:111.0s 等前:0.0s 等后:13.5s) | ST3 空气悬挂+快充(开:24428.5s 加:108.5s 等前:0.0s 等后:12.0s) | ST4 四轮定位上、下(开:24549.0s 加:120.5s 等前:0.0s 等后:17.0s) | ST5 ADAS(开:24686.5s 加:107.0s 等前:0.0s 等后:7.5s) | ST6 ARHUD+慢充(开:24801.0s 加:143.5s 等前:0.0s 等后:0.0s) | ST7 转毂(开:24944.5s 加:114.5s 等前:0.0s 等后:0.0s) | ST8 制动(开:25059.0s 加:114.0s 等前:0.0s 等后:0.0s) | ST9 EG漏液/底盘漏液(开:25173.0s 加:112.5s 等前:0.0s 等后:0.0s) | ST10 全景/空调检查(开:25285.5s 加:0.0s 等前:0.0s 等后:0.0s) | ST11 气囊安装+绝缘(开:25285.5s 加:116.0s 等前:0.0s 等后:0.0s) | ST12 L2++(开:25401.5s 加:88.0s 等前:0.0s 等后:0.0s) | ST13 电检1(开:25489.5s 加:84.5s 等前:0.0s 等后:0.0s) | ST14 电检2(开:25574.0s 加:97.5s 等前:0.0s 等后:0.0s) | ST15 小跑道(开:25671.5s 加:50.0s 等前:0.0s 等后:0.0s)</t>
        </is>
      </c>
    </row>
    <row r="376">
      <c r="A376" s="13" t="n">
        <v>375</v>
      </c>
      <c r="B376" s="13" t="inlineStr">
        <is>
          <t>Car#375</t>
        </is>
      </c>
      <c r="C376" s="13" t="inlineStr">
        <is>
          <t>C</t>
        </is>
      </c>
      <c r="D376" s="14" t="n">
        <v>24304</v>
      </c>
      <c r="E376" s="14" t="n">
        <v>25794</v>
      </c>
      <c r="F376" s="14" t="n">
        <v>1490</v>
      </c>
      <c r="G376" s="14" t="n">
        <v>2678.5</v>
      </c>
      <c r="H376" s="13" t="inlineStr">
        <is>
          <t>Car#374</t>
        </is>
      </c>
      <c r="I376" s="14">
        <f>E376-E375</f>
        <v/>
      </c>
      <c r="J376" s="14">
        <f>I376-58</f>
        <v/>
      </c>
      <c r="K376" s="14">
        <f>MAX(0,J376)</f>
        <v/>
      </c>
      <c r="L376" s="14">
        <f>MAX(0,-J376)</f>
        <v/>
      </c>
      <c r="M376" s="14">
        <f>M375+I376</f>
        <v/>
      </c>
      <c r="N376" s="14">
        <f>D376+F376-E376</f>
        <v/>
      </c>
      <c r="O376" s="13" t="inlineStr">
        <is>
          <t>能力超目标：四轮定位上、下、ARHUD+慢充</t>
        </is>
      </c>
      <c r="P376" s="13" t="inlineStr">
        <is>
          <t>ST1 引取(开:24304.0s 加:56.0s 等前:2612.0s 等后:25.0s) | ST2 集约(开:24385.0s 加:111.0s 等前:0.0s 等后:9.5s) | ST3 空气悬挂+快充(开:24505.5s 加:108.5s 等前:0.0s 等后:12.0s) | ST4 四轮定位上、下(开:24626.0s 加:120.5s 等前:0.0s 等后:12.5s) | ST5 ADAS(开:24759.0s 加:107.0s 等前:0.0s 等后:7.5s) | ST6 ARHUD+慢充(开:24873.5s 加:143.5s 等前:0.0s 等后:0.0s) | ST7 转毂(开:25017.0s 加:114.5s 等前:0.0s 等后:0.0s) | ST8 制动(开:25131.5s 加:114.0s 等前:0.0s 等后:0.0s) | ST9 EG漏液/底盘漏液(开:25245.5s 加:112.5s 等前:0.0s 等后:0.0s) | ST10 全景/空调检查(开:25358.0s 加:0.0s 等前:0.0s 等后:0.0s) | ST11 气囊安装+绝缘(开:25358.0s 加:116.0s 等前:0.0s 等后:0.0s) | ST12 L2++(开:25474.0s 加:88.0s 等前:0.0s 等后:0.0s) | ST13 电检1(开:25562.0s 加:84.5s 等前:0.0s 等后:0.0s) | ST14 电检2(开:25646.5s 加:97.5s 等前:0.0s 等后:0.0s) | ST15 小跑道(开:25744.0s 加:50.0s 等前:0.0s 等后:0.0s)</t>
        </is>
      </c>
    </row>
    <row r="377">
      <c r="A377" s="15" t="n">
        <v>376</v>
      </c>
      <c r="B377" s="15" t="inlineStr">
        <is>
          <t>Car#376</t>
        </is>
      </c>
      <c r="C377" s="15" t="inlineStr">
        <is>
          <t>C</t>
        </is>
      </c>
      <c r="D377" s="16" t="n">
        <v>24385</v>
      </c>
      <c r="E377" s="16" t="n">
        <v>25865</v>
      </c>
      <c r="F377" s="16" t="n">
        <v>1480</v>
      </c>
      <c r="G377" s="16" t="n">
        <v>2691.5</v>
      </c>
      <c r="H377" s="15" t="inlineStr">
        <is>
          <t>Car#375</t>
        </is>
      </c>
      <c r="I377" s="16">
        <f>E377-E376</f>
        <v/>
      </c>
      <c r="J377" s="16">
        <f>I377-58</f>
        <v/>
      </c>
      <c r="K377" s="16">
        <f>MAX(0,J377)</f>
        <v/>
      </c>
      <c r="L377" s="16">
        <f>MAX(0,-J377)</f>
        <v/>
      </c>
      <c r="M377" s="16">
        <f>M376+I377</f>
        <v/>
      </c>
      <c r="N377" s="16">
        <f>D377+F377-E377</f>
        <v/>
      </c>
      <c r="O377" s="15" t="inlineStr">
        <is>
          <t>能力超目标：四轮定位上、下、ARHUD+慢充</t>
        </is>
      </c>
      <c r="P377" s="15" t="inlineStr">
        <is>
          <t>ST1 引取(开:24385.0s 加:56.0s 等前:2635.0s 等后:0.0s) | ST2 集约(开:24441.0s 加:111.0s 等前:0.0s 等后:0.0s) | ST3 空气悬挂+快充(开:24552.0s 加:108.5s 等前:0.0s 等后:26.0s) | ST4 四轮定位上、下(开:24686.5s 加:120.5s 等前:0.0s 等后:0.0s) | ST5 ADAS(开:24807.0s 加:107.0s 等前:0.0s 等后:30.5s) | ST6 ARHUD+慢充(开:24944.5s 加:143.5s 等前:0.0s 等后:0.0s) | ST7 转毂(开:25088.0s 加:114.5s 等前:0.0s 等后:0.0s) | ST8 制动(开:25202.5s 加:114.0s 等前:0.0s 等后:0.0s) | ST9 EG漏液/底盘漏液(开:25316.5s 加:112.5s 等前:0.0s 等后:0.0s) | ST10 全景/空调检查(开:25429.0s 加:0.0s 等前:0.0s 等后:0.0s) | ST11 气囊安装+绝缘(开:25429.0s 加:116.0s 等前:0.0s 等后:0.0s) | ST12 L2++(开:25545.0s 加:88.0s 等前:0.0s 等后:0.0s) | ST13 电检1(开:25633.0s 加:84.5s 等前:0.0s 等后:0.0s) | ST14 电检2(开:25717.5s 加:97.5s 等前:0.0s 等后:0.0s) | ST15 小跑道(开:25815.0s 加:50.0s 等前:0.0s 等后:0.0s)</t>
        </is>
      </c>
    </row>
    <row r="378">
      <c r="A378" s="13" t="n">
        <v>377</v>
      </c>
      <c r="B378" s="13" t="inlineStr">
        <is>
          <t>Car#377</t>
        </is>
      </c>
      <c r="C378" s="13" t="inlineStr">
        <is>
          <t>C</t>
        </is>
      </c>
      <c r="D378" s="14" t="n">
        <v>24441</v>
      </c>
      <c r="E378" s="14" t="n">
        <v>25937.5</v>
      </c>
      <c r="F378" s="14" t="n">
        <v>1496.5</v>
      </c>
      <c r="G378" s="14" t="n">
        <v>2706</v>
      </c>
      <c r="H378" s="13" t="inlineStr">
        <is>
          <t>Car#376</t>
        </is>
      </c>
      <c r="I378" s="14">
        <f>E378-E377</f>
        <v/>
      </c>
      <c r="J378" s="14">
        <f>I378-58</f>
        <v/>
      </c>
      <c r="K378" s="14">
        <f>MAX(0,J378)</f>
        <v/>
      </c>
      <c r="L378" s="14">
        <f>MAX(0,-J378)</f>
        <v/>
      </c>
      <c r="M378" s="14">
        <f>M377+I378</f>
        <v/>
      </c>
      <c r="N378" s="14">
        <f>D378+F378-E378</f>
        <v/>
      </c>
      <c r="O378" s="13" t="inlineStr">
        <is>
          <t>能力超目标：四轮定位上、下、ARHUD+慢充</t>
        </is>
      </c>
      <c r="P378" s="13" t="inlineStr">
        <is>
          <t>ST1 引取(开:24441.0s 加:56.0s 等前:2633.0s 等后:8.5s) | ST2 集约(开:24505.5s 加:111.0s 等前:0.0s 等后:9.5s) | ST3 空气悬挂+快充(开:24626.0s 加:108.5s 等前:0.0s 等后:24.5s) | ST4 四轮定位上、下(开:24759.0s 加:120.5s 等前:0.0s 等后:0.0s) | ST5 ADAS(开:24879.5s 加:107.0s 等前:0.0s 等后:30.5s) | ST6 ARHUD+慢充(开:25017.0s 加:143.5s 等前:0.0s 等后:0.0s) | ST7 转毂(开:25160.5s 加:114.5s 等前:0.0s 等后:0.0s) | ST8 制动(开:25275.0s 加:114.0s 等前:0.0s 等后:0.0s) | ST9 EG漏液/底盘漏液(开:25389.0s 加:112.5s 等前:0.0s 等后:0.0s) | ST10 全景/空调检查(开:25501.5s 加:0.0s 等前:0.0s 等后:0.0s) | ST11 气囊安装+绝缘(开:25501.5s 加:116.0s 等前:0.0s 等后:0.0s) | ST12 L2++(开:25617.5s 加:88.0s 等前:0.0s 等后:0.0s) | ST13 电检1(开:25705.5s 加:84.5s 等前:0.0s 等后:0.0s) | ST14 电检2(开:25790.0s 加:97.5s 等前:0.0s 等后:0.0s) | ST15 小跑道(开:25887.5s 加:50.0s 等前:0.0s 等后:0.0s)</t>
        </is>
      </c>
    </row>
    <row r="379">
      <c r="A379" s="15" t="n">
        <v>378</v>
      </c>
      <c r="B379" s="15" t="inlineStr">
        <is>
          <t>Car#379</t>
        </is>
      </c>
      <c r="C379" s="15" t="inlineStr">
        <is>
          <t>A</t>
        </is>
      </c>
      <c r="D379" s="16" t="n">
        <v>24561.5</v>
      </c>
      <c r="E379" s="16" t="n">
        <v>25988.5</v>
      </c>
      <c r="F379" s="16" t="n">
        <v>1427</v>
      </c>
      <c r="G379" s="16" t="n">
        <v>3203.5</v>
      </c>
      <c r="H379" s="15" t="inlineStr">
        <is>
          <t>Car#377</t>
        </is>
      </c>
      <c r="I379" s="16">
        <f>E379-E378</f>
        <v/>
      </c>
      <c r="J379" s="16">
        <f>I379-58</f>
        <v/>
      </c>
      <c r="K379" s="16">
        <f>MAX(0,J379)</f>
        <v/>
      </c>
      <c r="L379" s="16">
        <f>MAX(0,-J379)</f>
        <v/>
      </c>
      <c r="M379" s="16">
        <f>M378+I379</f>
        <v/>
      </c>
      <c r="N379" s="16">
        <f>D379+F379-E379</f>
        <v/>
      </c>
      <c r="O379" s="15" t="inlineStr">
        <is>
          <t>能力满足</t>
        </is>
      </c>
      <c r="P379" s="15" t="inlineStr">
        <is>
          <t>ST1 引取(开:24561.5s 加:55.0s 等前:2637.5s 等后:9.5s) | ST2 集约(开:24626.0s 加:106.0s 等前:0.0s 等后:27.0s) | ST3 空气悬挂+快充(开:24759.0s 加:0.0s 等前:0.0s 等后:120.5s) | ST4 四轮定位上、下(开:24879.5s 加:115.0s 等前:0.0s 等后:22.5s) | ST5 ADAS(开:25017.0s 加:97.0s 等前:0.0s 等后:46.5s) | ST6 ARHUD+慢充(开:25160.5s 加:0.0s 等前:0.0s 等后:114.5s) | ST7 转毂(开:25275.0s 加:116.0s 等前:0.0s 等后:0.0s) | ST8 制动(开:25391.0s 加:108.0s 等前:0.0s 等后:2.5s) | ST9 EG漏液/底盘漏液(开:25501.5s 加:115.0s 等前:0.0s 等后:0.0s) | ST10 全景/空调检查(开:25616.5s 加:98.0s 等前:0.0s 等后:0.0s) | ST11 气囊安装+绝缘(开:25714.5s 加:0.0s 等前:0.0s 等后:0.0s) | ST12 L2++(开:25714.5s 加:0.0s 等前:0.0s 等后:75.5s) | ST13 电检1(开:25790.0s 加:0.0s 等前:0.0s 等后:97.5s) | ST14 电检2(开:25887.5s 加:0.0s 等前:0.0s 等后:50.0s) | ST15 小跑道(开:25937.5s 加:51.0s 等前:0.0s 等后:0.0s)</t>
        </is>
      </c>
    </row>
    <row r="380">
      <c r="A380" s="13" t="n">
        <v>379</v>
      </c>
      <c r="B380" s="13" t="inlineStr">
        <is>
          <t>Car#378</t>
        </is>
      </c>
      <c r="C380" s="13" t="inlineStr">
        <is>
          <t>C</t>
        </is>
      </c>
      <c r="D380" s="14" t="n">
        <v>24505.5</v>
      </c>
      <c r="E380" s="14" t="n">
        <v>26038.5</v>
      </c>
      <c r="F380" s="14" t="n">
        <v>1533</v>
      </c>
      <c r="G380" s="14" t="n">
        <v>2749</v>
      </c>
      <c r="H380" s="13" t="inlineStr">
        <is>
          <t>Car#379</t>
        </is>
      </c>
      <c r="I380" s="14">
        <f>E380-E379</f>
        <v/>
      </c>
      <c r="J380" s="14">
        <f>I380-58</f>
        <v/>
      </c>
      <c r="K380" s="14">
        <f>MAX(0,J380)</f>
        <v/>
      </c>
      <c r="L380" s="14">
        <f>MAX(0,-J380)</f>
        <v/>
      </c>
      <c r="M380" s="14">
        <f>M379+I380</f>
        <v/>
      </c>
      <c r="N380" s="14">
        <f>D380+F380-E380</f>
        <v/>
      </c>
      <c r="O380" s="13" t="inlineStr">
        <is>
          <t>能力超目标：四轮定位上、下、ARHUD+慢充</t>
        </is>
      </c>
      <c r="P380" s="13" t="inlineStr">
        <is>
          <t>ST1 引取(开:24505.5s 加:56.0s 等前:2639.5s 等后:0.0s) | ST2 集约(开:24561.5s 加:111.0s 等前:0.0s 等后:14.0s) | ST3 空气悬挂+快充(开:24686.5s 加:108.5s 等前:0.0s 等后:12.0s) | ST4 四轮定位上、下(开:24807.0s 加:120.5s 等前:0.0s 等后:17.0s) | ST5 ADAS(开:24944.5s 加:107.0s 等前:0.0s 等后:36.5s) | ST6 ARHUD+慢充(开:25088.0s 加:143.5s 等前:0.0s 等后:0.0s) | ST7 转毂(开:25231.5s 加:114.5s 等前:0.0s 等后:0.0s) | ST8 制动(开:25346.0s 加:114.0s 等前:0.0s 等后:0.0s) | ST9 EG漏液/底盘漏液(开:25460.0s 加:112.5s 等前:0.0s 等后:0.0s) | ST10 全景/空调检查(开:25572.5s 加:0.0s 等前:0.0s 等后:0.0s) | ST11 气囊安装+绝缘(开:25572.5s 加:116.0s 等前:0.0s 等后:0.0s) | ST12 L2++(开:25688.5s 加:88.0s 等前:0.0s 等后:0.0s) | ST13 电检1(开:25776.5s 加:84.5s 等前:0.0s 等后:0.0s) | ST14 电检2(开:25861.0s 加:97.5s 等前:0.0s 等后:30.0s) | ST15 小跑道(开:25988.5s 加:50.0s 等前:0.0s 等后:0.0s)</t>
        </is>
      </c>
    </row>
    <row r="381">
      <c r="A381" s="15" t="n">
        <v>380</v>
      </c>
      <c r="B381" s="15" t="inlineStr">
        <is>
          <t>Car#380</t>
        </is>
      </c>
      <c r="C381" s="15" t="inlineStr">
        <is>
          <t>B</t>
        </is>
      </c>
      <c r="D381" s="16" t="n">
        <v>24626</v>
      </c>
      <c r="E381" s="16" t="n">
        <v>26136</v>
      </c>
      <c r="F381" s="16" t="n">
        <v>1510</v>
      </c>
      <c r="G381" s="16" t="n">
        <v>2822.5</v>
      </c>
      <c r="H381" s="15" t="inlineStr">
        <is>
          <t>Car#378</t>
        </is>
      </c>
      <c r="I381" s="16">
        <f>E381-E380</f>
        <v/>
      </c>
      <c r="J381" s="16">
        <f>I381-58</f>
        <v/>
      </c>
      <c r="K381" s="16">
        <f>MAX(0,J381)</f>
        <v/>
      </c>
      <c r="L381" s="16">
        <f>MAX(0,-J381)</f>
        <v/>
      </c>
      <c r="M381" s="16">
        <f>M380+I381</f>
        <v/>
      </c>
      <c r="N381" s="16">
        <f>D381+F381-E381</f>
        <v/>
      </c>
      <c r="O381" s="15" t="inlineStr">
        <is>
          <t>能力超目标：四轮定位上、下</t>
        </is>
      </c>
      <c r="P381" s="15" t="inlineStr">
        <is>
          <t>ST1 引取(开:24626.0s 加:56.0s 等前:2644.0s 等后:4.5s) | ST2 集约(开:24686.5s 加:111.0s 等前:0.0s 等后:9.5s) | ST3 空气悬挂+快充(开:24807.0s 加:108.5s 等前:0.0s 等后:29.0s) | ST4 四轮定位上、下(开:24944.5s 加:120.5s 等前:0.0s 等后:23.0s) | ST5 ADAS(开:25088.0s 加:107.0s 等前:0.0s 等后:36.5s) | ST6 ARHUD+慢充(开:25231.5s 加:51.5s 等前:0.0s 等后:63.0s) | ST7 转毂(开:25346.0s 加:114.5s 等前:0.0s 等后:0.0s) | ST8 制动(开:25460.5s 加:114.0s 等前:0.0s 等后:0.0s) | ST9 EG漏液/底盘漏液(开:25574.5s 加:112.5s 等前:0.0s 等后:0.0s) | ST10 全景/空调检查(开:25687.0s 加:0.0s 等前:0.0s 等后:1.5s) | ST11 气囊安装+绝缘(开:25688.5s 加:116.0s 等前:0.0s 等后:0.0s) | ST12 L2++(开:25804.5s 加:88.0s 等前:0.0s 等后:0.0s) | ST13 电检1(开:25892.5s 加:84.5s 等前:0.0s 等后:11.5s) | ST14 电检2(开:25988.5s 加:97.5s 等前:0.0s 等后:0.0s) | ST15 小跑道(开:26086.0s 加:50.0s 等前:0.0s 等后:0.0s)</t>
        </is>
      </c>
    </row>
    <row r="382">
      <c r="A382" s="13" t="n">
        <v>381</v>
      </c>
      <c r="B382" s="13" t="inlineStr">
        <is>
          <t>Car#381</t>
        </is>
      </c>
      <c r="C382" s="13" t="inlineStr">
        <is>
          <t>B</t>
        </is>
      </c>
      <c r="D382" s="14" t="n">
        <v>24686.5</v>
      </c>
      <c r="E382" s="14" t="n">
        <v>26186</v>
      </c>
      <c r="F382" s="14" t="n">
        <v>1499.5</v>
      </c>
      <c r="G382" s="14" t="n">
        <v>2814.5</v>
      </c>
      <c r="H382" s="13" t="inlineStr">
        <is>
          <t>Car#380</t>
        </is>
      </c>
      <c r="I382" s="14">
        <f>E382-E381</f>
        <v/>
      </c>
      <c r="J382" s="14">
        <f>I382-58</f>
        <v/>
      </c>
      <c r="K382" s="14">
        <f>MAX(0,J382)</f>
        <v/>
      </c>
      <c r="L382" s="14">
        <f>MAX(0,-J382)</f>
        <v/>
      </c>
      <c r="M382" s="14">
        <f>M381+I382</f>
        <v/>
      </c>
      <c r="N382" s="14">
        <f>D382+F382-E382</f>
        <v/>
      </c>
      <c r="O382" s="13" t="inlineStr">
        <is>
          <t>能力超目标：四轮定位上、下</t>
        </is>
      </c>
      <c r="P382" s="13" t="inlineStr">
        <is>
          <t>ST1 引取(开:24686.5s 加:56.0s 等前:2646.5s 等后:16.5s) | ST2 集约(开:24759.0s 加:111.0s 等前:0.0s 等后:9.5s) | ST3 空气悬挂+快充(开:24879.5s 加:108.5s 等前:0.0s 等后:29.0s) | ST4 四轮定位上、下(开:25017.0s 加:120.5s 等前:0.0s 等后:23.0s) | ST5 ADAS(开:25160.5s 加:107.0s 等前:0.0s 等后:7.5s) | ST6 ARHUD+慢充(开:25275.0s 加:51.5s 等前:0.0s 等后:64.5s) | ST7 转毂(开:25391.0s 加:114.5s 等前:0.0s 等后:0.0s) | ST8 制动(开:25505.5s 加:114.0s 等前:0.0s 等后:0.0s) | ST9 EG漏液/底盘漏液(开:25619.5s 加:112.5s 等前:0.0s 等后:0.0s) | ST10 全景/空调检查(开:25732.0s 加:0.0s 等前:0.0s 等后:0.0s) | ST11 气囊安装+绝缘(开:25732.0s 加:116.0s 等前:0.0s 等后:0.0s) | ST12 L2++(开:25848.0s 加:88.0s 等前:0.0s 等后:0.0s) | ST13 电检1(开:25936.0s 加:84.5s 等前:0.0s 等后:0.0s) | ST14 电检2(开:26020.5s 加:97.5s 等前:0.0s 等后:18.0s) | ST15 小跑道(开:26136.0s 加:50.0s 等前:0.0s 等后:0.0s)</t>
        </is>
      </c>
    </row>
    <row r="383">
      <c r="A383" s="15" t="n">
        <v>382</v>
      </c>
      <c r="B383" s="15" t="inlineStr">
        <is>
          <t>Car#383</t>
        </is>
      </c>
      <c r="C383" s="15" t="inlineStr">
        <is>
          <t>A</t>
        </is>
      </c>
      <c r="D383" s="16" t="n">
        <v>24815</v>
      </c>
      <c r="E383" s="16" t="n">
        <v>26237</v>
      </c>
      <c r="F383" s="16" t="n">
        <v>1422</v>
      </c>
      <c r="G383" s="16" t="n">
        <v>3220</v>
      </c>
      <c r="H383" s="15" t="inlineStr">
        <is>
          <t>Car#381</t>
        </is>
      </c>
      <c r="I383" s="16">
        <f>E383-E382</f>
        <v/>
      </c>
      <c r="J383" s="16">
        <f>I383-58</f>
        <v/>
      </c>
      <c r="K383" s="16">
        <f>MAX(0,J383)</f>
        <v/>
      </c>
      <c r="L383" s="16">
        <f>MAX(0,-J383)</f>
        <v/>
      </c>
      <c r="M383" s="16">
        <f>M382+I383</f>
        <v/>
      </c>
      <c r="N383" s="16">
        <f>D383+F383-E383</f>
        <v/>
      </c>
      <c r="O383" s="15" t="inlineStr">
        <is>
          <t>能力满足</t>
        </is>
      </c>
      <c r="P383" s="15" t="inlineStr">
        <is>
          <t>ST1 引取(开:24815.0s 加:55.0s 等前:2659.0s 等后:9.5s) | ST2 集约(开:24879.5s 加:106.0s 等前:0.0s 等后:31.5s) | ST3 空气悬挂+快充(开:25017.0s 加:0.0s 等前:0.0s 等后:143.5s) | ST4 四轮定位上、下(开:25160.5s 加:115.0s 等前:0.0s 等后:0.0s) | ST5 ADAS(开:25275.5s 加:97.0s 等前:0.0s 等后:18.5s) | ST6 ARHUD+慢充(开:25391.0s 加:0.0s 等前:0.0s 等后:114.5s) | ST7 转毂(开:25505.5s 加:116.0s 等前:0.0s 等后:0.0s) | ST8 制动(开:25621.5s 加:108.0s 等前:0.0s 等后:2.5s) | ST9 EG漏液/底盘漏液(开:25732.0s 加:115.0s 等前:0.0s 等后:0.0s) | ST10 全景/空调检查(开:25847.0s 加:98.0s 等前:0.0s 等后:0.0s) | ST11 气囊安装+绝缘(开:25945.0s 加:0.0s 等前:0.0s 等后:0.0s) | ST12 L2++(开:25945.0s 加:0.0s 等前:0.0s 等后:75.5s) | ST13 电检1(开:26020.5s 加:0.0s 等前:0.0s 等后:115.5s) | ST14 电检2(开:26136.0s 加:0.0s 等前:0.0s 等后:50.0s) | ST15 小跑道(开:26186.0s 加:51.0s 等前:0.0s 等后:0.0s)</t>
        </is>
      </c>
    </row>
    <row r="384">
      <c r="A384" s="13" t="n">
        <v>383</v>
      </c>
      <c r="B384" s="13" t="inlineStr">
        <is>
          <t>Car#382</t>
        </is>
      </c>
      <c r="C384" s="13" t="inlineStr">
        <is>
          <t>B</t>
        </is>
      </c>
      <c r="D384" s="14" t="n">
        <v>24759</v>
      </c>
      <c r="E384" s="14" t="n">
        <v>26287</v>
      </c>
      <c r="F384" s="14" t="n">
        <v>1528</v>
      </c>
      <c r="G384" s="14" t="n">
        <v>2857.5</v>
      </c>
      <c r="H384" s="13" t="inlineStr">
        <is>
          <t>Car#383</t>
        </is>
      </c>
      <c r="I384" s="14">
        <f>E384-E383</f>
        <v/>
      </c>
      <c r="J384" s="14">
        <f>I384-58</f>
        <v/>
      </c>
      <c r="K384" s="14">
        <f>MAX(0,J384)</f>
        <v/>
      </c>
      <c r="L384" s="14">
        <f>MAX(0,-J384)</f>
        <v/>
      </c>
      <c r="M384" s="14">
        <f>M383+I384</f>
        <v/>
      </c>
      <c r="N384" s="14">
        <f>D384+F384-E384</f>
        <v/>
      </c>
      <c r="O384" s="13" t="inlineStr">
        <is>
          <t>能力超目标：四轮定位上、下</t>
        </is>
      </c>
      <c r="P384" s="13" t="inlineStr">
        <is>
          <t>ST1 引取(开:24759.0s 加:56.0s 等前:2661.0s 等后:0.0s) | ST2 集约(开:24815.0s 加:111.0s 等前:0.0s 等后:18.5s) | ST3 空气悬挂+快充(开:24944.5s 加:108.5s 等前:0.0s 等后:35.0s) | ST4 四轮定位上、下(开:25088.0s 加:120.5s 等前:0.0s 等后:23.0s) | ST5 ADAS(开:25231.5s 加:107.0s 等前:0.0s 等后:7.5s) | ST6 ARHUD+慢充(开:25346.0s 加:51.5s 等前:0.0s 等后:63.0s) | ST7 转毂(开:25460.5s 加:114.5s 等前:0.0s 等后:0.0s) | ST8 制动(开:25575.0s 加:114.0s 等前:0.0s 等后:0.0s) | ST9 EG漏液/底盘漏液(开:25689.0s 加:112.5s 等前:0.0s 等后:0.0s) | ST10 全景/空调检查(开:25801.5s 加:0.0s 等前:0.0s 等后:3.0s) | ST11 气囊安装+绝缘(开:25804.5s 加:116.0s 等前:0.0s 等后:0.0s) | ST12 L2++(开:25920.5s 加:88.0s 等前:0.0s 等后:0.0s) | ST13 电检1(开:26008.5s 加:84.5s 等前:0.0s 等后:0.0s) | ST14 电检2(开:26093.0s 加:97.5s 等前:0.0s 等后:46.5s) | ST15 小跑道(开:26237.0s 加:50.0s 等前:0.0s 等后:0.0s)</t>
        </is>
      </c>
    </row>
    <row r="385">
      <c r="A385" s="15" t="n">
        <v>384</v>
      </c>
      <c r="B385" s="15" t="inlineStr">
        <is>
          <t>Car#384</t>
        </is>
      </c>
      <c r="C385" s="15" t="inlineStr">
        <is>
          <t>C</t>
        </is>
      </c>
      <c r="D385" s="16" t="n">
        <v>24879.5</v>
      </c>
      <c r="E385" s="16" t="n">
        <v>26384.5</v>
      </c>
      <c r="F385" s="16" t="n">
        <v>1505</v>
      </c>
      <c r="G385" s="16" t="n">
        <v>2747</v>
      </c>
      <c r="H385" s="15" t="inlineStr">
        <is>
          <t>Car#382</t>
        </is>
      </c>
      <c r="I385" s="16">
        <f>E385-E384</f>
        <v/>
      </c>
      <c r="J385" s="16">
        <f>I385-58</f>
        <v/>
      </c>
      <c r="K385" s="16">
        <f>MAX(0,J385)</f>
        <v/>
      </c>
      <c r="L385" s="16">
        <f>MAX(0,-J385)</f>
        <v/>
      </c>
      <c r="M385" s="16">
        <f>M384+I385</f>
        <v/>
      </c>
      <c r="N385" s="16">
        <f>D385+F385-E385</f>
        <v/>
      </c>
      <c r="O385" s="15" t="inlineStr">
        <is>
          <t>能力超目标：四轮定位上、下、ARHUD+慢充</t>
        </is>
      </c>
      <c r="P385" s="15" t="inlineStr">
        <is>
          <t>ST1 引取(开:24879.5s 加:56.0s 等前:2665.5s 等后:9.0s) | ST2 集约(开:24944.5s 加:111.0s 等前:0.0s 等后:32.5s) | ST3 空气悬挂+快充(开:25088.0s 加:108.5s 等前:0.0s 等后:35.0s) | ST4 四轮定位上、下(开:25231.5s 加:120.5s 等前:0.0s 等后:0.0s) | ST5 ADAS(开:25352.0s 加:107.0s 等前:0.0s 等后:1.5s) | ST6 ARHUD+慢充(开:25460.5s 加:143.5s 等前:0.0s 等后:0.0s) | ST7 转毂(开:25604.0s 加:114.5s 等前:0.0s 等后:0.0s) | ST8 制动(开:25718.5s 加:114.0s 等前:0.0s 等后:0.0s) | ST9 EG漏液/底盘漏液(开:25832.5s 加:112.5s 等前:0.0s 等后:0.0s) | ST10 全景/空调检查(开:25945.0s 加:0.0s 等前:0.0s 等后:0.0s) | ST11 气囊安装+绝缘(开:25945.0s 加:116.0s 等前:0.0s 等后:0.0s) | ST12 L2++(开:26061.0s 加:88.0s 等前:0.0s 等后:0.0s) | ST13 电检1(开:26149.0s 加:84.5s 等前:0.0s 等后:3.5s) | ST14 电检2(开:26237.0s 加:97.5s 等前:0.0s 等后:0.0s) | ST15 小跑道(开:26334.5s 加:50.0s 等前:0.0s 等后:0.0s)</t>
        </is>
      </c>
    </row>
    <row r="386">
      <c r="A386" s="13" t="n">
        <v>385</v>
      </c>
      <c r="B386" s="13" t="inlineStr">
        <is>
          <t>Car#385</t>
        </is>
      </c>
      <c r="C386" s="13" t="inlineStr">
        <is>
          <t>C</t>
        </is>
      </c>
      <c r="D386" s="14" t="n">
        <v>24944.5</v>
      </c>
      <c r="E386" s="14" t="n">
        <v>26434.5</v>
      </c>
      <c r="F386" s="14" t="n">
        <v>1490</v>
      </c>
      <c r="G386" s="14" t="n">
        <v>2739</v>
      </c>
      <c r="H386" s="13" t="inlineStr">
        <is>
          <t>Car#384</t>
        </is>
      </c>
      <c r="I386" s="14">
        <f>E386-E385</f>
        <v/>
      </c>
      <c r="J386" s="14">
        <f>I386-58</f>
        <v/>
      </c>
      <c r="K386" s="14">
        <f>MAX(0,J386)</f>
        <v/>
      </c>
      <c r="L386" s="14">
        <f>MAX(0,-J386)</f>
        <v/>
      </c>
      <c r="M386" s="14">
        <f>M385+I386</f>
        <v/>
      </c>
      <c r="N386" s="14">
        <f>D386+F386-E386</f>
        <v/>
      </c>
      <c r="O386" s="13" t="inlineStr">
        <is>
          <t>能力超目标：四轮定位上、下、ARHUD+慢充</t>
        </is>
      </c>
      <c r="P386" s="13" t="inlineStr">
        <is>
          <t>ST1 引取(开:24944.5s 加:56.0s 等前:2672.5s 等后:16.5s) | ST2 集约(开:25017.0s 加:111.0s 等前:0.0s 等后:32.5s) | ST3 空气悬挂+快充(开:25160.5s 加:108.5s 等前:0.0s 等后:6.5s) | ST4 四轮定位上、下(开:25275.5s 加:120.5s 等前:0.0s 等后:0.0s) | ST5 ADAS(开:25396.0s 加:107.0s 等前:0.0s 等后:2.5s) | ST6 ARHUD+慢充(开:25505.5s 加:143.5s 等前:0.0s 等后:0.0s) | ST7 转毂(开:25649.0s 加:114.5s 等前:0.0s 等后:0.0s) | ST8 制动(开:25763.5s 加:114.0s 等前:0.0s 等后:0.0s) | ST9 EG漏液/底盘漏液(开:25877.5s 加:112.5s 等前:0.0s 等后:0.0s) | ST10 全景/空调检查(开:25990.0s 加:0.0s 等前:0.0s 等后:0.0s) | ST11 气囊安装+绝缘(开:25990.0s 加:116.0s 等前:0.0s 等后:0.0s) | ST12 L2++(开:26106.0s 加:88.0s 等前:0.0s 等后:0.0s) | ST13 电检1(开:26194.0s 加:84.5s 等前:0.0s 等后:0.0s) | ST14 电检2(开:26278.5s 加:97.5s 等前:0.0s 等后:8.5s) | ST15 小跑道(开:26384.5s 加:50.0s 等前:0.0s 等后:0.0s)</t>
        </is>
      </c>
    </row>
    <row r="387">
      <c r="A387" s="15" t="n">
        <v>386</v>
      </c>
      <c r="B387" s="15" t="inlineStr">
        <is>
          <t>Car#387</t>
        </is>
      </c>
      <c r="C387" s="15" t="inlineStr">
        <is>
          <t>A</t>
        </is>
      </c>
      <c r="D387" s="16" t="n">
        <v>25088</v>
      </c>
      <c r="E387" s="16" t="n">
        <v>26485.5</v>
      </c>
      <c r="F387" s="16" t="n">
        <v>1397.5</v>
      </c>
      <c r="G387" s="16" t="n">
        <v>3236.5</v>
      </c>
      <c r="H387" s="15" t="inlineStr">
        <is>
          <t>Car#385</t>
        </is>
      </c>
      <c r="I387" s="16">
        <f>E387-E386</f>
        <v/>
      </c>
      <c r="J387" s="16">
        <f>I387-58</f>
        <v/>
      </c>
      <c r="K387" s="16">
        <f>MAX(0,J387)</f>
        <v/>
      </c>
      <c r="L387" s="16">
        <f>MAX(0,-J387)</f>
        <v/>
      </c>
      <c r="M387" s="16">
        <f>M386+I387</f>
        <v/>
      </c>
      <c r="N387" s="16">
        <f>D387+F387-E387</f>
        <v/>
      </c>
      <c r="O387" s="15" t="inlineStr">
        <is>
          <t>能力满足</t>
        </is>
      </c>
      <c r="P387" s="15" t="inlineStr">
        <is>
          <t>ST1 引取(开:25088.0s 加:55.0s 等前:2700.0s 等后:17.5s) | ST2 集约(开:25160.5s 加:106.0s 等前:0.0s 等后:9.0s) | ST3 空气悬挂+快充(开:25275.5s 加:0.0s 等前:0.0s 等后:120.5s) | ST4 四轮定位上、下(开:25396.0s 加:115.0s 等前:0.0s 等后:0.0s) | ST5 ADAS(开:25511.0s 加:97.0s 等前:0.0s 等后:41.0s) | ST6 ARHUD+慢充(开:25649.0s 加:0.0s 等前:0.0s 等后:114.5s) | ST7 转毂(开:25763.5s 加:116.0s 等前:0.0s 等后:0.0s) | ST8 制动(开:25879.5s 加:108.0s 等前:0.0s 等后:2.5s) | ST9 EG漏液/底盘漏液(开:25990.0s 加:115.0s 等前:0.0s 等后:0.0s) | ST10 全景/空调检查(开:26105.0s 加:98.0s 等前:0.0s 等后:0.0s) | ST11 气囊安装+绝缘(开:26203.0s 加:0.0s 等前:0.0s 等后:0.0s) | ST12 L2++(开:26203.0s 加:0.0s 等前:0.0s 等后:75.5s) | ST13 电检1(开:26278.5s 加:0.0s 等前:0.0s 等后:106.0s) | ST14 电检2(开:26384.5s 加:0.0s 等前:0.0s 等后:50.0s) | ST15 小跑道(开:26434.5s 加:51.0s 等前:0.0s 等后:0.0s)</t>
        </is>
      </c>
    </row>
    <row r="388">
      <c r="A388" s="13" t="n">
        <v>387</v>
      </c>
      <c r="B388" s="13" t="inlineStr">
        <is>
          <t>Car#389</t>
        </is>
      </c>
      <c r="C388" s="13" t="inlineStr">
        <is>
          <t>A</t>
        </is>
      </c>
      <c r="D388" s="14" t="n">
        <v>25231.5</v>
      </c>
      <c r="E388" s="14" t="n">
        <v>26536.5</v>
      </c>
      <c r="F388" s="14" t="n">
        <v>1305</v>
      </c>
      <c r="G388" s="14" t="n">
        <v>3171.5</v>
      </c>
      <c r="H388" s="13" t="inlineStr">
        <is>
          <t>Car#387</t>
        </is>
      </c>
      <c r="I388" s="14">
        <f>E388-E387</f>
        <v/>
      </c>
      <c r="J388" s="14">
        <f>I388-58</f>
        <v/>
      </c>
      <c r="K388" s="14">
        <f>MAX(0,J388)</f>
        <v/>
      </c>
      <c r="L388" s="14">
        <f>MAX(0,-J388)</f>
        <v/>
      </c>
      <c r="M388" s="14">
        <f>M387+I388</f>
        <v/>
      </c>
      <c r="N388" s="14">
        <f>D388+F388-E388</f>
        <v/>
      </c>
      <c r="O388" s="13" t="inlineStr">
        <is>
          <t>能力满足</t>
        </is>
      </c>
      <c r="P388" s="13" t="inlineStr">
        <is>
          <t>ST1 引取(开:25231.5s 加:55.0s 等前:2727.5s 等后:0.0s) | ST2 集约(开:25286.5s 加:106.0s 等前:0.0s 等后:3.5s) | ST3 空气悬挂+快充(开:25396.0s 加:0.0s 等前:0.0s 等后:115.0s) | ST4 四轮定位上、下(开:25511.0s 加:115.0s 等前:0.0s 等后:23.0s) | ST5 ADAS(开:25649.0s 加:97.0s 等前:0.0s 等后:17.5s) | ST6 ARHUD+慢充(开:25763.5s 加:0.0s 等前:0.0s 等后:116.0s) | ST7 转毂(开:25879.5s 加:116.0s 等前:0.0s 等后:0.0s) | ST8 制动(开:25995.5s 加:108.0s 等前:0.0s 等后:1.5s) | ST9 EG漏液/底盘漏液(开:26105.0s 加:115.0s 等前:0.0s 等后:0.0s) | ST10 全景/空调检查(开:26220.0s 加:98.0s 等前:0.0s 等后:0.0s) | ST11 气囊安装+绝缘(开:26318.0s 加:0.0s 等前:0.0s 等后:0.0s) | ST12 L2++(开:26318.0s 加:0.0s 等前:0.0s 等后:66.5s) | ST13 电检1(开:26384.5s 加:0.0s 等前:0.0s 等后:50.0s) | ST14 电检2(开:26434.5s 加:0.0s 等前:0.0s 等后:51.0s) | ST15 小跑道(开:26485.5s 加:51.0s 等前:0.0s 等后:0.0s)</t>
        </is>
      </c>
    </row>
    <row r="389">
      <c r="A389" s="15" t="n">
        <v>388</v>
      </c>
      <c r="B389" s="15" t="inlineStr">
        <is>
          <t>Car#386</t>
        </is>
      </c>
      <c r="C389" s="15" t="inlineStr">
        <is>
          <t>C</t>
        </is>
      </c>
      <c r="D389" s="16" t="n">
        <v>25017</v>
      </c>
      <c r="E389" s="16" t="n">
        <v>26586.5</v>
      </c>
      <c r="F389" s="16" t="n">
        <v>1569.5</v>
      </c>
      <c r="G389" s="16" t="n">
        <v>2833</v>
      </c>
      <c r="H389" s="15" t="inlineStr">
        <is>
          <t>Car#389</t>
        </is>
      </c>
      <c r="I389" s="16">
        <f>E389-E388</f>
        <v/>
      </c>
      <c r="J389" s="16">
        <f>I389-58</f>
        <v/>
      </c>
      <c r="K389" s="16">
        <f>MAX(0,J389)</f>
        <v/>
      </c>
      <c r="L389" s="16">
        <f>MAX(0,-J389)</f>
        <v/>
      </c>
      <c r="M389" s="16">
        <f>M388+I389</f>
        <v/>
      </c>
      <c r="N389" s="16">
        <f>D389+F389-E389</f>
        <v/>
      </c>
      <c r="O389" s="15" t="inlineStr">
        <is>
          <t>能力超目标：四轮定位上、下、ARHUD+慢充</t>
        </is>
      </c>
      <c r="P389" s="15" t="inlineStr">
        <is>
          <t>ST1 引取(开:25017.0s 加:56.0s 等前:2687.0s 等后:15.0s) | ST2 集约(开:25088.0s 加:111.0s 等前:0.0s 等后:32.5s) | ST3 空气悬挂+快充(开:25231.5s 加:108.5s 等前:0.0s 等后:12.0s) | ST4 四轮定位上、下(开:25352.0s 加:120.5s 等前:0.0s 等后:0.0s) | ST5 ADAS(开:25472.5s 加:107.0s 等前:0.0s 等后:24.5s) | ST6 ARHUD+慢充(开:25604.0s 加:143.5s 等前:0.0s 等后:0.0s) | ST7 转毂(开:25747.5s 加:114.5s 等前:0.0s 等后:0.0s) | ST8 制动(开:25862.0s 加:114.0s 等前:0.0s 等后:0.0s) | ST9 EG漏液/底盘漏液(开:25976.0s 加:112.5s 等前:0.0s 等后:0.0s) | ST10 全景/空调检查(开:26088.5s 加:0.0s 等前:0.0s 等后:0.0s) | ST11 气囊安装+绝缘(开:26088.5s 加:116.0s 等前:0.0s 等后:0.0s) | ST12 L2++(开:26204.5s 加:88.0s 等前:0.0s 等后:0.0s) | ST13 电检1(开:26292.5s 加:84.5s 等前:0.0s 等后:0.0s) | ST14 电检2(开:26377.0s 加:97.5s 等前:0.0s 等后:62.0s) | ST15 小跑道(开:26536.5s 加:50.0s 等前:0.0s 等后:0.0s)</t>
        </is>
      </c>
    </row>
    <row r="390">
      <c r="A390" s="13" t="n">
        <v>389</v>
      </c>
      <c r="B390" s="13" t="inlineStr">
        <is>
          <t>Car#388</t>
        </is>
      </c>
      <c r="C390" s="13" t="inlineStr">
        <is>
          <t>A</t>
        </is>
      </c>
      <c r="D390" s="14" t="n">
        <v>25160.5</v>
      </c>
      <c r="E390" s="14" t="n">
        <v>26637.5</v>
      </c>
      <c r="F390" s="14" t="n">
        <v>1477</v>
      </c>
      <c r="G390" s="14" t="n">
        <v>3330.5</v>
      </c>
      <c r="H390" s="13" t="inlineStr">
        <is>
          <t>Car#386</t>
        </is>
      </c>
      <c r="I390" s="14">
        <f>E390-E389</f>
        <v/>
      </c>
      <c r="J390" s="14">
        <f>I390-58</f>
        <v/>
      </c>
      <c r="K390" s="14">
        <f>MAX(0,J390)</f>
        <v/>
      </c>
      <c r="L390" s="14">
        <f>MAX(0,-J390)</f>
        <v/>
      </c>
      <c r="M390" s="14">
        <f>M389+I390</f>
        <v/>
      </c>
      <c r="N390" s="14">
        <f>D390+F390-E390</f>
        <v/>
      </c>
      <c r="O390" s="13" t="inlineStr">
        <is>
          <t>能力满足</t>
        </is>
      </c>
      <c r="P390" s="13" t="inlineStr">
        <is>
          <t>ST1 引取(开:25160.5s 加:55.0s 等前:2714.5s 等后:16.0s) | ST2 集约(开:25231.5s 加:106.0s 等前:0.0s 等后:14.5s) | ST3 空气悬挂+快充(开:25352.0s 加:0.0s 等前:0.0s 等后:120.5s) | ST4 四轮定位上、下(开:25472.5s 加:115.0s 等前:0.0s 等后:16.5s) | ST5 ADAS(开:25604.0s 加:97.0s 等前:0.0s 等后:46.5s) | ST6 ARHUD+慢充(开:25747.5s 加:0.0s 等前:0.0s 等后:114.5s) | ST7 转毂(开:25862.0s 加:116.0s 等前:0.0s 等后:0.0s) | ST8 制动(开:25978.0s 加:108.0s 等前:0.0s 等后:2.5s) | ST9 EG漏液/底盘漏液(开:26088.5s 加:115.0s 等前:0.0s 等后:0.0s) | ST10 全景/空调检查(开:26203.5s 加:98.0s 等前:0.0s 等后:0.0s) | ST11 气囊安装+绝缘(开:26301.5s 加:0.0s 等前:0.0s 等后:0.0s) | ST12 L2++(开:26301.5s 加:0.0s 等前:0.0s 等后:75.5s) | ST13 电检1(开:26377.0s 加:0.0s 等前:0.0s 等后:159.5s) | ST14 电检2(开:26536.5s 加:0.0s 等前:0.0s 等后:50.0s) | ST15 小跑道(开:26586.5s 加:51.0s 等前:0.0s 等后:0.0s)</t>
        </is>
      </c>
    </row>
    <row r="391">
      <c r="A391" s="15" t="n">
        <v>390</v>
      </c>
      <c r="B391" s="15" t="inlineStr">
        <is>
          <t>Car#391</t>
        </is>
      </c>
      <c r="C391" s="15" t="inlineStr">
        <is>
          <t>B</t>
        </is>
      </c>
      <c r="D391" s="16" t="n">
        <v>25352</v>
      </c>
      <c r="E391" s="16" t="n">
        <v>26772.5</v>
      </c>
      <c r="F391" s="16" t="n">
        <v>1420.5</v>
      </c>
      <c r="G391" s="16" t="n">
        <v>2821</v>
      </c>
      <c r="H391" s="15" t="inlineStr">
        <is>
          <t>Car#388</t>
        </is>
      </c>
      <c r="I391" s="16">
        <f>E391-E390</f>
        <v/>
      </c>
      <c r="J391" s="16">
        <f>I391-58</f>
        <v/>
      </c>
      <c r="K391" s="16">
        <f>MAX(0,J391)</f>
        <v/>
      </c>
      <c r="L391" s="16">
        <f>MAX(0,-J391)</f>
        <v/>
      </c>
      <c r="M391" s="16">
        <f>M390+I391</f>
        <v/>
      </c>
      <c r="N391" s="16">
        <f>D391+F391-E391</f>
        <v/>
      </c>
      <c r="O391" s="15" t="inlineStr">
        <is>
          <t>能力超目标：四轮定位上、下</t>
        </is>
      </c>
      <c r="P391" s="15" t="inlineStr">
        <is>
          <t>ST1 引取(开:25352.0s 加:56.0s 等前:2732.0s 等后:0.0s) | ST2 集约(开:25408.0s 加:111.0s 等前:0.0s 等后:0.0s) | ST3 空气悬挂+快充(开:25519.0s 加:108.5s 等前:0.0s 等后:21.5s) | ST4 四轮定位上、下(开:25649.0s 加:120.5s 等前:0.0s 等后:0.0s) | ST5 ADAS(开:25769.5s 加:107.0s 等前:0.0s 等后:3.0s) | ST6 ARHUD+慢充(开:25879.5s 加:51.5s 等前:0.0s 等后:64.5s) | ST7 转毂(开:25995.5s 加:114.5s 等前:0.0s 等后:0.0s) | ST8 制动(开:26110.0s 加:114.0s 等前:0.0s 等后:0.0s) | ST9 EG漏液/底盘漏液(开:26224.0s 加:112.5s 等前:0.0s 等后:0.0s) | ST10 全景/空调检查(开:26336.5s 加:0.0s 等前:0.0s 等后:0.0s) | ST11 气囊安装+绝缘(开:26336.5s 加:116.0s 等前:0.0s 等后:0.0s) | ST12 L2++(开:26452.5s 加:88.0s 等前:0.0s 等后:0.0s) | ST13 电检1(开:26540.5s 加:84.5s 等前:0.0s 等后:0.0s) | ST14 电检2(开:26625.0s 加:97.5s 等前:0.0s 等后:0.0s) | ST15 小跑道(开:26722.5s 加:50.0s 等前:0.0s 等后:0.0s)</t>
        </is>
      </c>
    </row>
    <row r="392">
      <c r="A392" s="13" t="n">
        <v>391</v>
      </c>
      <c r="B392" s="13" t="inlineStr">
        <is>
          <t>Car#390</t>
        </is>
      </c>
      <c r="C392" s="13" t="inlineStr">
        <is>
          <t>C</t>
        </is>
      </c>
      <c r="D392" s="14" t="n">
        <v>25286.5</v>
      </c>
      <c r="E392" s="14" t="n">
        <v>26822.5</v>
      </c>
      <c r="F392" s="14" t="n">
        <v>1536</v>
      </c>
      <c r="G392" s="14" t="n">
        <v>2837</v>
      </c>
      <c r="H392" s="13" t="inlineStr">
        <is>
          <t>Car#391</t>
        </is>
      </c>
      <c r="I392" s="14">
        <f>E392-E391</f>
        <v/>
      </c>
      <c r="J392" s="14">
        <f>I392-58</f>
        <v/>
      </c>
      <c r="K392" s="14">
        <f>MAX(0,J392)</f>
        <v/>
      </c>
      <c r="L392" s="14">
        <f>MAX(0,-J392)</f>
        <v/>
      </c>
      <c r="M392" s="14">
        <f>M391+I392</f>
        <v/>
      </c>
      <c r="N392" s="14">
        <f>D392+F392-E392</f>
        <v/>
      </c>
      <c r="O392" s="13" t="inlineStr">
        <is>
          <t>能力超目标：四轮定位上、下、ARHUD+慢充</t>
        </is>
      </c>
      <c r="P392" s="13" t="inlineStr">
        <is>
          <t>ST1 引取(开:25286.5s 加:56.0s 等前:2724.5s 等后:9.5s) | ST2 集约(开:25352.0s 加:111.0s 等前:0.0s 等后:9.5s) | ST3 空气悬挂+快充(开:25472.5s 加:108.5s 等前:0.0s 等后:23.0s) | ST4 四轮定位上、下(开:25604.0s 加:120.5s 等前:0.0s 等后:23.0s) | ST5 ADAS(开:25747.5s 加:107.0s 等前:0.0s 等后:7.5s) | ST6 ARHUD+慢充(开:25862.0s 加:143.5s 等前:0.0s 等后:0.0s) | ST7 转毂(开:26005.5s 加:114.5s 等前:0.0s 等后:0.0s) | ST8 制动(开:26120.0s 加:114.0s 等前:0.0s 等后:0.0s) | ST9 EG漏液/底盘漏液(开:26234.0s 加:112.5s 等前:0.0s 等后:0.0s) | ST10 全景/空调检查(开:26346.5s 加:0.0s 等前:0.0s 等后:0.0s) | ST11 气囊安装+绝缘(开:26346.5s 加:116.0s 等前:0.0s 等后:0.0s) | ST12 L2++(开:26462.5s 加:88.0s 等前:0.0s 等后:0.0s) | ST13 电检1(开:26550.5s 加:84.5s 等前:0.0s 等后:0.0s) | ST14 电检2(开:26635.0s 加:97.5s 等前:0.0s 等后:40.0s) | ST15 小跑道(开:26772.5s 加:50.0s 等前:0.0s 等后:0.0s)</t>
        </is>
      </c>
    </row>
    <row r="393">
      <c r="A393" s="15" t="n">
        <v>392</v>
      </c>
      <c r="B393" s="15" t="inlineStr">
        <is>
          <t>Car#393</t>
        </is>
      </c>
      <c r="C393" s="15" t="inlineStr">
        <is>
          <t>C</t>
        </is>
      </c>
      <c r="D393" s="16" t="n">
        <v>25472.5</v>
      </c>
      <c r="E393" s="16" t="n">
        <v>26917.5</v>
      </c>
      <c r="F393" s="16" t="n">
        <v>1445</v>
      </c>
      <c r="G393" s="16" t="n">
        <v>2758</v>
      </c>
      <c r="H393" s="15" t="inlineStr">
        <is>
          <t>Car#390</t>
        </is>
      </c>
      <c r="I393" s="16">
        <f>E393-E392</f>
        <v/>
      </c>
      <c r="J393" s="16">
        <f>I393-58</f>
        <v/>
      </c>
      <c r="K393" s="16">
        <f>MAX(0,J393)</f>
        <v/>
      </c>
      <c r="L393" s="16">
        <f>MAX(0,-J393)</f>
        <v/>
      </c>
      <c r="M393" s="16">
        <f>M392+I393</f>
        <v/>
      </c>
      <c r="N393" s="16">
        <f>D393+F393-E393</f>
        <v/>
      </c>
      <c r="O393" s="15" t="inlineStr">
        <is>
          <t>能力超目标：四轮定位上、下、ARHUD+慢充</t>
        </is>
      </c>
      <c r="P393" s="15" t="inlineStr">
        <is>
          <t>ST1 引取(开:25472.5s 加:56.0s 等前:2736.5s 等后:0.0s) | ST2 集约(开:25528.5s 加:111.0s 等前:0.0s 等后:9.5s) | ST3 空气悬挂+快充(开:25649.0s 加:108.5s 等前:0.0s 等后:12.0s) | ST4 四轮定位上、下(开:25769.5s 加:120.5s 等前:0.0s 等后:0.0s) | ST5 ADAS(开:25890.0s 加:107.0s 等前:0.0s 等后:0.0s) | ST6 ARHUD+慢充(开:25997.0s 加:143.5s 等前:0.0s 等后:0.0s) | ST7 转毂(开:26140.5s 加:114.5s 等前:0.0s 等后:0.0s) | ST8 制动(开:26255.0s 加:114.0s 等前:0.0s 等后:0.0s) | ST9 EG漏液/底盘漏液(开:26369.0s 加:112.5s 等前:0.0s 等后:0.0s) | ST10 全景/空调检查(开:26481.5s 加:0.0s 等前:0.0s 等后:0.0s) | ST11 气囊安装+绝缘(开:26481.5s 加:116.0s 等前:0.0s 等后:0.0s) | ST12 L2++(开:26597.5s 加:88.0s 等前:0.0s 等后:0.0s) | ST13 电检1(开:26685.5s 加:84.5s 等前:0.0s 等后:0.0s) | ST14 电检2(开:26770.0s 加:97.5s 等前:0.0s 等后:0.0s) | ST15 小跑道(开:26867.5s 加:50.0s 等前:0.0s 等后:0.0s)</t>
        </is>
      </c>
    </row>
    <row r="394">
      <c r="A394" s="13" t="n">
        <v>393</v>
      </c>
      <c r="B394" s="13" t="inlineStr">
        <is>
          <t>Car#392</t>
        </is>
      </c>
      <c r="C394" s="13" t="inlineStr">
        <is>
          <t>C</t>
        </is>
      </c>
      <c r="D394" s="14" t="n">
        <v>25408</v>
      </c>
      <c r="E394" s="14" t="n">
        <v>26967.5</v>
      </c>
      <c r="F394" s="14" t="n">
        <v>1559.5</v>
      </c>
      <c r="G394" s="14" t="n">
        <v>2866</v>
      </c>
      <c r="H394" s="13" t="inlineStr">
        <is>
          <t>Car#393</t>
        </is>
      </c>
      <c r="I394" s="14">
        <f>E394-E393</f>
        <v/>
      </c>
      <c r="J394" s="14">
        <f>I394-58</f>
        <v/>
      </c>
      <c r="K394" s="14">
        <f>MAX(0,J394)</f>
        <v/>
      </c>
      <c r="L394" s="14">
        <f>MAX(0,-J394)</f>
        <v/>
      </c>
      <c r="M394" s="14">
        <f>M393+I394</f>
        <v/>
      </c>
      <c r="N394" s="14">
        <f>D394+F394-E394</f>
        <v/>
      </c>
      <c r="O394" s="13" t="inlineStr">
        <is>
          <t>能力超目标：四轮定位上、下、ARHUD+慢充</t>
        </is>
      </c>
      <c r="P394" s="13" t="inlineStr">
        <is>
          <t>ST1 引取(开:25408.0s 加:56.0s 等前:2730.0s 等后:8.5s) | ST2 集约(开:25472.5s 加:111.0s 等前:0.0s 等后:20.5s) | ST3 空气悬挂+快充(开:25604.0s 加:108.5s 等前:0.0s 等后:35.0s) | ST4 四轮定位上、下(开:25747.5s 加:120.5s 等前:0.0s 等后:0.0s) | ST5 ADAS(开:25868.0s 加:107.0s 等前:0.0s 等后:30.5s) | ST6 ARHUD+慢充(开:26005.5s 加:143.5s 等前:0.0s 等后:0.0s) | ST7 转毂(开:26149.0s 加:114.5s 等前:0.0s 等后:0.0s) | ST8 制动(开:26263.5s 加:114.0s 等前:0.0s 等后:0.0s) | ST9 EG漏液/底盘漏液(开:26377.5s 加:112.5s 等前:0.0s 等后:0.0s) | ST10 全景/空调检查(开:26490.0s 加:0.0s 等前:0.0s 等后:0.0s) | ST11 气囊安装+绝缘(开:26490.0s 加:116.0s 等前:0.0s 等后:0.0s) | ST12 L2++(开:26606.0s 加:88.0s 等前:0.0s 等后:0.0s) | ST13 电检1(开:26694.0s 加:84.5s 等前:0.0s 等后:0.0s) | ST14 电检2(开:26778.5s 加:97.5s 等前:0.0s 等后:41.5s) | ST15 小跑道(开:26917.5s 加:50.0s 等前:0.0s 等后:0.0s)</t>
        </is>
      </c>
    </row>
    <row r="395">
      <c r="A395" s="15" t="n">
        <v>394</v>
      </c>
      <c r="B395" s="15" t="inlineStr">
        <is>
          <t>Car#395</t>
        </is>
      </c>
      <c r="C395" s="15" t="inlineStr">
        <is>
          <t>B</t>
        </is>
      </c>
      <c r="D395" s="16" t="n">
        <v>25604</v>
      </c>
      <c r="E395" s="16" t="n">
        <v>27033.5</v>
      </c>
      <c r="F395" s="16" t="n">
        <v>1429.5</v>
      </c>
      <c r="G395" s="16" t="n">
        <v>2850</v>
      </c>
      <c r="H395" s="15" t="inlineStr">
        <is>
          <t>Car#392</t>
        </is>
      </c>
      <c r="I395" s="16">
        <f>E395-E394</f>
        <v/>
      </c>
      <c r="J395" s="16">
        <f>I395-58</f>
        <v/>
      </c>
      <c r="K395" s="16">
        <f>MAX(0,J395)</f>
        <v/>
      </c>
      <c r="L395" s="16">
        <f>MAX(0,-J395)</f>
        <v/>
      </c>
      <c r="M395" s="16">
        <f>M394+I395</f>
        <v/>
      </c>
      <c r="N395" s="16">
        <f>D395+F395-E395</f>
        <v/>
      </c>
      <c r="O395" s="15" t="inlineStr">
        <is>
          <t>能力超目标：四轮定位上、下</t>
        </is>
      </c>
      <c r="P395" s="15" t="inlineStr">
        <is>
          <t>ST1 引取(开:25604.0s 加:56.0s 等前:2752.0s 等后:0.0s) | ST2 集约(开:25660.0s 加:111.0s 等前:0.0s 等后:0.0s) | ST3 空气悬挂+快充(开:25771.0s 加:108.5s 等前:0.0s 等后:10.5s) | ST4 四轮定位上、下(开:25890.0s 加:120.5s 等前:0.0s 等后:0.0s) | ST5 ADAS(开:26010.5s 加:107.0s 等前:0.0s 等后:23.0s) | ST6 ARHUD+慢充(开:26140.5s 加:51.5s 等前:0.0s 等后:63.0s) | ST7 转毂(开:26255.0s 加:114.5s 等前:0.0s 等后:0.0s) | ST8 制动(开:26369.5s 加:114.0s 等前:0.0s 等后:0.0s) | ST9 EG漏液/底盘漏液(开:26483.5s 加:112.5s 等前:0.0s 等后:0.0s) | ST10 全景/空调检查(开:26596.0s 加:0.0s 等前:0.0s 等后:1.5s) | ST11 气囊安装+绝缘(开:26597.5s 加:116.0s 等前:0.0s 等后:0.0s) | ST12 L2++(开:26713.5s 加:88.0s 等前:0.0s 等后:0.0s) | ST13 电检1(开:26801.5s 加:84.5s 等前:0.0s 等后:0.0s) | ST14 电检2(开:26886.0s 加:97.5s 等前:0.0s 等后:0.0s) | ST15 小跑道(开:26983.5s 加:50.0s 等前:0.0s 等后:0.0s)</t>
        </is>
      </c>
    </row>
    <row r="396">
      <c r="A396" s="13" t="n">
        <v>395</v>
      </c>
      <c r="B396" s="13" t="inlineStr">
        <is>
          <t>Car#394</t>
        </is>
      </c>
      <c r="C396" s="13" t="inlineStr">
        <is>
          <t>B</t>
        </is>
      </c>
      <c r="D396" s="14" t="n">
        <v>25528.5</v>
      </c>
      <c r="E396" s="14" t="n">
        <v>27083.5</v>
      </c>
      <c r="F396" s="14" t="n">
        <v>1555</v>
      </c>
      <c r="G396" s="14" t="n">
        <v>2958</v>
      </c>
      <c r="H396" s="13" t="inlineStr">
        <is>
          <t>Car#395</t>
        </is>
      </c>
      <c r="I396" s="14">
        <f>E396-E395</f>
        <v/>
      </c>
      <c r="J396" s="14">
        <f>I396-58</f>
        <v/>
      </c>
      <c r="K396" s="14">
        <f>MAX(0,J396)</f>
        <v/>
      </c>
      <c r="L396" s="14">
        <f>MAX(0,-J396)</f>
        <v/>
      </c>
      <c r="M396" s="14">
        <f>M395+I396</f>
        <v/>
      </c>
      <c r="N396" s="14">
        <f>D396+F396-E396</f>
        <v/>
      </c>
      <c r="O396" s="13" t="inlineStr">
        <is>
          <t>能力超目标：四轮定位上、下</t>
        </is>
      </c>
      <c r="P396" s="13" t="inlineStr">
        <is>
          <t>ST1 引取(开:25528.5s 加:56.0s 等前:2734.5s 等后:19.5s) | ST2 集约(开:25604.0s 加:111.0s 等前:0.0s 等后:32.5s) | ST3 空气悬挂+快充(开:25747.5s 加:108.5s 等前:0.0s 等后:12.0s) | ST4 四轮定位上、下(开:25868.0s 加:120.5s 等前:0.0s 等后:17.0s) | ST5 ADAS(开:26005.5s 加:107.0s 等前:0.0s 等后:36.5s) | ST6 ARHUD+慢充(开:26149.0s 加:51.5s 等前:0.0s 等后:63.0s) | ST7 转毂(开:26263.5s 加:114.5s 等前:0.0s 等后:0.0s) | ST8 制动(开:26378.0s 加:114.0s 等前:0.0s 等后:0.0s) | ST9 EG漏液/底盘漏液(开:26492.0s 加:112.5s 等前:0.0s 等后:0.0s) | ST10 全景/空调检查(开:26604.5s 加:0.0s 等前:0.0s 等后:1.5s) | ST11 气囊安装+绝缘(开:26606.0s 加:116.0s 等前:0.0s 等后:0.0s) | ST12 L2++(开:26722.0s 加:88.0s 等前:0.0s 等后:0.0s) | ST13 电检1(开:26810.0s 加:84.5s 等前:0.0s 等后:23.0s) | ST14 电检2(开:26917.5s 加:97.5s 等前:0.0s 等后:18.5s) | ST15 小跑道(开:27033.5s 加:50.0s 等前:0.0s 等后:0.0s)</t>
        </is>
      </c>
    </row>
    <row r="397">
      <c r="A397" s="15" t="n">
        <v>396</v>
      </c>
      <c r="B397" s="15" t="inlineStr">
        <is>
          <t>Car#397</t>
        </is>
      </c>
      <c r="C397" s="15" t="inlineStr">
        <is>
          <t>C</t>
        </is>
      </c>
      <c r="D397" s="16" t="n">
        <v>25747.5</v>
      </c>
      <c r="E397" s="16" t="n">
        <v>27175.5</v>
      </c>
      <c r="F397" s="16" t="n">
        <v>1428</v>
      </c>
      <c r="G397" s="16" t="n">
        <v>2784</v>
      </c>
      <c r="H397" s="15" t="inlineStr">
        <is>
          <t>Car#394</t>
        </is>
      </c>
      <c r="I397" s="16">
        <f>E397-E396</f>
        <v/>
      </c>
      <c r="J397" s="16">
        <f>I397-58</f>
        <v/>
      </c>
      <c r="K397" s="16">
        <f>MAX(0,J397)</f>
        <v/>
      </c>
      <c r="L397" s="16">
        <f>MAX(0,-J397)</f>
        <v/>
      </c>
      <c r="M397" s="16">
        <f>M396+I397</f>
        <v/>
      </c>
      <c r="N397" s="16">
        <f>D397+F397-E397</f>
        <v/>
      </c>
      <c r="O397" s="15" t="inlineStr">
        <is>
          <t>能力超目标：四轮定位上、下、ARHUD+慢充</t>
        </is>
      </c>
      <c r="P397" s="15" t="inlineStr">
        <is>
          <t>ST1 引取(开:25747.5s 加:56.0s 等前:2779.5s 等后:0.0s) | ST2 集约(开:25803.5s 加:111.0s 等前:0.0s 等后:0.0s) | ST3 空气悬挂+快充(开:25914.5s 加:108.5s 等前:0.0s 等后:0.0s) | ST4 四轮定位上、下(开:26023.0s 加:120.5s 等前:0.0s 等后:0.0s) | ST5 ADAS(开:26143.5s 加:107.0s 等前:0.0s 等后:4.5s) | ST6 ARHUD+慢充(开:26255.0s 加:143.5s 等前:0.0s 等后:0.0s) | ST7 转毂(开:26398.5s 加:114.5s 等前:0.0s 等后:0.0s) | ST8 制动(开:26513.0s 加:114.0s 等前:0.0s 等后:0.0s) | ST9 EG漏液/底盘漏液(开:26627.0s 加:112.5s 等前:0.0s 等后:0.0s) | ST10 全景/空调检查(开:26739.5s 加:0.0s 等前:0.0s 等后:0.0s) | ST11 气囊安装+绝缘(开:26739.5s 加:116.0s 等前:0.0s 等后:0.0s) | ST12 L2++(开:26855.5s 加:88.0s 等前:0.0s 等后:0.0s) | ST13 电检1(开:26943.5s 加:84.5s 等前:0.0s 等后:0.0s) | ST14 电检2(开:27028.0s 加:97.5s 等前:0.0s 等后:0.0s) | ST15 小跑道(开:27125.5s 加:50.0s 等前:0.0s 等后:0.0s)</t>
        </is>
      </c>
    </row>
    <row r="398">
      <c r="A398" s="13" t="n">
        <v>397</v>
      </c>
      <c r="B398" s="13" t="inlineStr">
        <is>
          <t>Car#396</t>
        </is>
      </c>
      <c r="C398" s="13" t="inlineStr">
        <is>
          <t>C</t>
        </is>
      </c>
      <c r="D398" s="14" t="n">
        <v>25660</v>
      </c>
      <c r="E398" s="14" t="n">
        <v>27225.5</v>
      </c>
      <c r="F398" s="14" t="n">
        <v>1565.5</v>
      </c>
      <c r="G398" s="14" t="n">
        <v>2892</v>
      </c>
      <c r="H398" s="13" t="inlineStr">
        <is>
          <t>Car#397</t>
        </is>
      </c>
      <c r="I398" s="14">
        <f>E398-E397</f>
        <v/>
      </c>
      <c r="J398" s="14">
        <f>I398-58</f>
        <v/>
      </c>
      <c r="K398" s="14">
        <f>MAX(0,J398)</f>
        <v/>
      </c>
      <c r="L398" s="14">
        <f>MAX(0,-J398)</f>
        <v/>
      </c>
      <c r="M398" s="14">
        <f>M397+I398</f>
        <v/>
      </c>
      <c r="N398" s="14">
        <f>D398+F398-E398</f>
        <v/>
      </c>
      <c r="O398" s="13" t="inlineStr">
        <is>
          <t>能力超目标：四轮定位上、下、ARHUD+慢充</t>
        </is>
      </c>
      <c r="P398" s="13" t="inlineStr">
        <is>
          <t>ST1 引取(开:25660.0s 加:56.0s 等前:2750.0s 等后:31.5s) | ST2 集约(开:25747.5s 加:111.0s 等前:0.0s 等后:9.5s) | ST3 空气悬挂+快充(开:25868.0s 加:108.5s 等前:0.0s 等后:29.0s) | ST4 四轮定位上、下(开:26005.5s 加:120.5s 等前:0.0s 等后:23.0s) | ST5 ADAS(开:26149.0s 加:107.0s 等前:0.0s 等后:7.5s) | ST6 ARHUD+慢充(开:26263.5s 加:143.5s 等前:0.0s 等后:0.0s) | ST7 转毂(开:26407.0s 加:114.5s 等前:0.0s 等后:0.0s) | ST8 制动(开:26521.5s 加:114.0s 等前:0.0s 等后:0.0s) | ST9 EG漏液/底盘漏液(开:26635.5s 加:112.5s 等前:0.0s 等后:0.0s) | ST10 全景/空调检查(开:26748.0s 加:0.0s 等前:0.0s 等后:0.0s) | ST11 气囊安装+绝缘(开:26748.0s 加:116.0s 等前:0.0s 等后:0.0s) | ST12 L2++(开:26864.0s 加:88.0s 等前:0.0s 等后:0.0s) | ST13 电检1(开:26952.0s 加:84.5s 等前:0.0s 等后:0.0s) | ST14 电检2(开:27036.5s 加:97.5s 等前:0.0s 等后:41.5s) | ST15 小跑道(开:27175.5s 加:50.0s 等前:0.0s 等后:0.0s)</t>
        </is>
      </c>
    </row>
    <row r="399">
      <c r="A399" s="15" t="n">
        <v>398</v>
      </c>
      <c r="B399" s="15" t="inlineStr">
        <is>
          <t>Car#399</t>
        </is>
      </c>
      <c r="C399" s="15" t="inlineStr">
        <is>
          <t>C</t>
        </is>
      </c>
      <c r="D399" s="16" t="n">
        <v>25868</v>
      </c>
      <c r="E399" s="16" t="n">
        <v>27319</v>
      </c>
      <c r="F399" s="16" t="n">
        <v>1451</v>
      </c>
      <c r="G399" s="16" t="n">
        <v>2811.5</v>
      </c>
      <c r="H399" s="15" t="inlineStr">
        <is>
          <t>Car#396</t>
        </is>
      </c>
      <c r="I399" s="16">
        <f>E399-E398</f>
        <v/>
      </c>
      <c r="J399" s="16">
        <f>I399-58</f>
        <v/>
      </c>
      <c r="K399" s="16">
        <f>MAX(0,J399)</f>
        <v/>
      </c>
      <c r="L399" s="16">
        <f>MAX(0,-J399)</f>
        <v/>
      </c>
      <c r="M399" s="16">
        <f>M398+I399</f>
        <v/>
      </c>
      <c r="N399" s="16">
        <f>D399+F399-E399</f>
        <v/>
      </c>
      <c r="O399" s="15" t="inlineStr">
        <is>
          <t>能力超目标：四轮定位上、下、ARHUD+慢充</t>
        </is>
      </c>
      <c r="P399" s="15" t="inlineStr">
        <is>
          <t>ST1 引取(开:25868.0s 加:56.0s 等前:2784.0s 等后:0.0s) | ST2 集约(开:25924.0s 加:111.0s 等前:0.0s 等后:0.0s) | ST3 空气悬挂+快充(开:26035.0s 加:108.5s 等前:0.0s 等后:0.0s) | ST4 四轮定位上、下(开:26143.5s 加:120.5s 等前:0.0s 等后:0.0s) | ST5 ADAS(开:26264.0s 加:107.0s 等前:0.0s 等后:27.5s) | ST6 ARHUD+慢充(开:26398.5s 加:143.5s 等前:0.0s 等后:0.0s) | ST7 转毂(开:26542.0s 加:114.5s 等前:0.0s 等后:0.0s) | ST8 制动(开:26656.5s 加:114.0s 等前:0.0s 等后:0.0s) | ST9 EG漏液/底盘漏液(开:26770.5s 加:112.5s 等前:0.0s 等后:0.0s) | ST10 全景/空调检查(开:26883.0s 加:0.0s 等前:0.0s 等后:0.0s) | ST11 气囊安装+绝缘(开:26883.0s 加:116.0s 等前:0.0s 等后:0.0s) | ST12 L2++(开:26999.0s 加:88.0s 等前:0.0s 等后:0.0s) | ST13 电检1(开:27087.0s 加:84.5s 等前:0.0s 等后:0.0s) | ST14 电检2(开:27171.5s 加:97.5s 等前:0.0s 等后:0.0s) | ST15 小跑道(开:27269.0s 加:50.0s 等前:0.0s 等后:0.0s)</t>
        </is>
      </c>
    </row>
    <row r="400">
      <c r="A400" s="13" t="n">
        <v>399</v>
      </c>
      <c r="B400" s="13" t="inlineStr">
        <is>
          <t>Car#401</t>
        </is>
      </c>
      <c r="C400" s="13" t="inlineStr">
        <is>
          <t>A</t>
        </is>
      </c>
      <c r="D400" s="14" t="n">
        <v>26005.5</v>
      </c>
      <c r="E400" s="14" t="n">
        <v>27370</v>
      </c>
      <c r="F400" s="14" t="n">
        <v>1364.5</v>
      </c>
      <c r="G400" s="14" t="n">
        <v>3309</v>
      </c>
      <c r="H400" s="13" t="inlineStr">
        <is>
          <t>Car#399</t>
        </is>
      </c>
      <c r="I400" s="14">
        <f>E400-E399</f>
        <v/>
      </c>
      <c r="J400" s="14">
        <f>I400-58</f>
        <v/>
      </c>
      <c r="K400" s="14">
        <f>MAX(0,J400)</f>
        <v/>
      </c>
      <c r="L400" s="14">
        <f>MAX(0,-J400)</f>
        <v/>
      </c>
      <c r="M400" s="14">
        <f>M399+I400</f>
        <v/>
      </c>
      <c r="N400" s="14">
        <f>D400+F400-E400</f>
        <v/>
      </c>
      <c r="O400" s="13" t="inlineStr">
        <is>
          <t>能力满足</t>
        </is>
      </c>
      <c r="P400" s="13" t="inlineStr">
        <is>
          <t>ST1 引取(开:26005.5s 加:55.0s 等前:2805.5s 等后:0.0s) | ST2 集约(开:26060.5s 加:106.0s 等前:0.0s 等后:0.0s) | ST3 空气悬挂+快充(开:26166.5s 加:0.0s 等前:0.0s 等后:97.5s) | ST4 四轮定位上、下(开:26264.0s 加:115.0s 等前:0.0s 等后:19.5s) | ST5 ADAS(开:26398.5s 加:97.0s 等前:0.0s 等后:46.5s) | ST6 ARHUD+慢充(开:26542.0s 加:0.0s 等前:0.0s 等后:114.5s) | ST7 转毂(开:26656.5s 加:116.0s 等前:0.0s 等后:0.0s) | ST8 制动(开:26772.5s 加:108.0s 等前:0.0s 等后:2.5s) | ST9 EG漏液/底盘漏液(开:26883.0s 加:115.0s 等前:0.0s 等后:0.0s) | ST10 全景/空调检查(开:26998.0s 加:98.0s 等前:0.0s 等后:0.0s) | ST11 气囊安装+绝缘(开:27096.0s 加:0.0s 等前:0.0s 等后:0.0s) | ST12 L2++(开:27096.0s 加:0.0s 等前:0.0s 等后:75.5s) | ST13 电检1(开:27171.5s 加:0.0s 等前:0.0s 等后:97.5s) | ST14 电检2(开:27269.0s 加:0.0s 等前:0.0s 等后:50.0s) | ST15 小跑道(开:27319.0s 加:51.0s 等前:0.0s 等后:0.0s)</t>
        </is>
      </c>
    </row>
    <row r="401">
      <c r="A401" s="15" t="n">
        <v>400</v>
      </c>
      <c r="B401" s="15" t="inlineStr">
        <is>
          <t>Car#398</t>
        </is>
      </c>
      <c r="C401" s="15" t="inlineStr">
        <is>
          <t>C</t>
        </is>
      </c>
      <c r="D401" s="16" t="n">
        <v>25803.5</v>
      </c>
      <c r="E401" s="16" t="n">
        <v>27420</v>
      </c>
      <c r="F401" s="16" t="n">
        <v>1616.5</v>
      </c>
      <c r="G401" s="16" t="n">
        <v>2970.5</v>
      </c>
      <c r="H401" s="15" t="inlineStr">
        <is>
          <t>Car#401</t>
        </is>
      </c>
      <c r="I401" s="16">
        <f>E401-E400</f>
        <v/>
      </c>
      <c r="J401" s="16">
        <f>I401-58</f>
        <v/>
      </c>
      <c r="K401" s="16">
        <f>MAX(0,J401)</f>
        <v/>
      </c>
      <c r="L401" s="16">
        <f>MAX(0,-J401)</f>
        <v/>
      </c>
      <c r="M401" s="16">
        <f>M400+I401</f>
        <v/>
      </c>
      <c r="N401" s="16">
        <f>D401+F401-E401</f>
        <v/>
      </c>
      <c r="O401" s="15" t="inlineStr">
        <is>
          <t>能力超目标：四轮定位上、下、ARHUD+慢充</t>
        </is>
      </c>
      <c r="P401" s="15" t="inlineStr">
        <is>
          <t>ST1 引取(开:25803.5s 加:56.0s 等前:2777.5s 等后:8.5s) | ST2 集约(开:25868.0s 加:111.0s 等前:0.0s 等后:26.5s) | ST3 空气悬挂+快充(开:26005.5s 加:108.5s 等前:0.0s 等后:35.0s) | ST4 四轮定位上、下(开:26149.0s 加:120.5s 等前:0.0s 等后:0.0s) | ST5 ADAS(开:26269.5s 加:107.0s 等前:0.0s 等后:30.5s) | ST6 ARHUD+慢充(开:26407.0s 加:143.5s 等前:0.0s 等后:0.0s) | ST7 转毂(开:26550.5s 加:114.5s 等前:0.0s 等后:0.0s) | ST8 制动(开:26665.0s 加:114.0s 等前:0.0s 等后:0.0s) | ST9 EG漏液/底盘漏液(开:26779.0s 加:112.5s 等前:0.0s 等后:0.0s) | ST10 全景/空调检查(开:26891.5s 加:0.0s 等前:0.0s 等后:0.0s) | ST11 气囊安装+绝缘(开:26891.5s 加:116.0s 等前:0.0s 等后:0.0s) | ST12 L2++(开:27007.5s 加:88.0s 等前:0.0s 等后:0.0s) | ST13 电检1(开:27095.5s 加:84.5s 等前:0.0s 等后:0.0s) | ST14 电检2(开:27180.0s 加:97.5s 等前:0.0s 等后:92.5s) | ST15 小跑道(开:27370.0s 加:50.0s 等前:0.0s 等后:0.0s)</t>
        </is>
      </c>
    </row>
    <row r="402">
      <c r="A402" s="13" t="n">
        <v>401</v>
      </c>
      <c r="B402" s="13" t="inlineStr">
        <is>
          <t>Car#400</t>
        </is>
      </c>
      <c r="C402" s="13" t="inlineStr">
        <is>
          <t>A</t>
        </is>
      </c>
      <c r="D402" s="14" t="n">
        <v>25924</v>
      </c>
      <c r="E402" s="14" t="n">
        <v>27471</v>
      </c>
      <c r="F402" s="14" t="n">
        <v>1547</v>
      </c>
      <c r="G402" s="14" t="n">
        <v>3468</v>
      </c>
      <c r="H402" s="13" t="inlineStr">
        <is>
          <t>Car#398</t>
        </is>
      </c>
      <c r="I402" s="14">
        <f>E402-E401</f>
        <v/>
      </c>
      <c r="J402" s="14">
        <f>I402-58</f>
        <v/>
      </c>
      <c r="K402" s="14">
        <f>MAX(0,J402)</f>
        <v/>
      </c>
      <c r="L402" s="14">
        <f>MAX(0,-J402)</f>
        <v/>
      </c>
      <c r="M402" s="14">
        <f>M401+I402</f>
        <v/>
      </c>
      <c r="N402" s="14">
        <f>D402+F402-E402</f>
        <v/>
      </c>
      <c r="O402" s="13" t="inlineStr">
        <is>
          <t>能力满足</t>
        </is>
      </c>
      <c r="P402" s="13" t="inlineStr">
        <is>
          <t>ST1 引取(开:25924.0s 加:55.0s 等前:2782.0s 等后:26.5s) | ST2 集约(开:26005.5s 加:106.0s 等前:0.0s 等后:37.5s) | ST3 空气悬挂+快充(开:26149.0s 加:0.0s 等前:0.0s 等后:120.5s) | ST4 四轮定位上、下(开:26269.5s 加:115.0s 等前:0.0s 等后:22.5s) | ST5 ADAS(开:26407.0s 加:97.0s 等前:0.0s 等后:46.5s) | ST6 ARHUD+慢充(开:26550.5s 加:0.0s 等前:0.0s 等后:114.5s) | ST7 转毂(开:26665.0s 加:116.0s 等前:0.0s 等后:0.0s) | ST8 制动(开:26781.0s 加:108.0s 等前:0.0s 等后:2.5s) | ST9 EG漏液/底盘漏液(开:26891.5s 加:115.0s 等前:0.0s 等后:0.0s) | ST10 全景/空调检查(开:27006.5s 加:98.0s 等前:0.0s 等后:0.0s) | ST11 气囊安装+绝缘(开:27104.5s 加:0.0s 等前:0.0s 等后:0.0s) | ST12 L2++(开:27104.5s 加:0.0s 等前:0.0s 等后:75.5s) | ST13 电检1(开:27180.0s 加:0.0s 等前:0.0s 等后:190.0s) | ST14 电检2(开:27370.0s 加:0.0s 等前:0.0s 等后:50.0s) | ST15 小跑道(开:27420.0s 加:51.0s 等前:0.0s 等后:0.0s)</t>
        </is>
      </c>
    </row>
    <row r="403">
      <c r="A403" s="15" t="n">
        <v>402</v>
      </c>
      <c r="B403" s="15" t="inlineStr">
        <is>
          <t>Car#403</t>
        </is>
      </c>
      <c r="C403" s="15" t="inlineStr">
        <is>
          <t>B</t>
        </is>
      </c>
      <c r="D403" s="16" t="n">
        <v>26149</v>
      </c>
      <c r="E403" s="16" t="n">
        <v>27549.5</v>
      </c>
      <c r="F403" s="16" t="n">
        <v>1400.5</v>
      </c>
      <c r="G403" s="16" t="n">
        <v>2902</v>
      </c>
      <c r="H403" s="15" t="inlineStr">
        <is>
          <t>Car#400</t>
        </is>
      </c>
      <c r="I403" s="16">
        <f>E403-E402</f>
        <v/>
      </c>
      <c r="J403" s="16">
        <f>I403-58</f>
        <v/>
      </c>
      <c r="K403" s="16">
        <f>MAX(0,J403)</f>
        <v/>
      </c>
      <c r="L403" s="16">
        <f>MAX(0,-J403)</f>
        <v/>
      </c>
      <c r="M403" s="16">
        <f>M402+I403</f>
        <v/>
      </c>
      <c r="N403" s="16">
        <f>D403+F403-E403</f>
        <v/>
      </c>
      <c r="O403" s="15" t="inlineStr">
        <is>
          <t>能力超目标：四轮定位上、下</t>
        </is>
      </c>
      <c r="P403" s="15" t="inlineStr">
        <is>
          <t>ST1 引取(开:26149.0s 加:56.0s 等前:2833.0s 等后:0.0s) | ST2 集约(开:26205.0s 加:111.0s 等前:0.0s 等后:0.0s) | ST3 空气悬挂+快充(开:26316.0s 加:108.5s 等前:0.0s 等后:0.0s) | ST4 四轮定位上、下(开:26424.5s 加:120.5s 等前:0.0s 等后:0.0s) | ST5 ADAS(开:26545.0s 加:107.0s 等前:0.0s 等后:4.5s) | ST6 ARHUD+慢充(开:26656.5s 加:51.5s 等前:0.0s 等后:64.5s) | ST7 转毂(开:26772.5s 加:114.5s 等前:0.0s 等后:0.0s) | ST8 制动(开:26887.0s 加:114.0s 等前:0.0s 等后:0.0s) | ST9 EG漏液/底盘漏液(开:27001.0s 加:112.5s 等前:0.0s 等后:0.0s) | ST10 全景/空调检查(开:27113.5s 加:0.0s 等前:0.0s 等后:0.0s) | ST11 气囊安装+绝缘(开:27113.5s 加:116.0s 等前:0.0s 等后:0.0s) | ST12 L2++(开:27229.5s 加:88.0s 等前:0.0s 等后:0.0s) | ST13 电检1(开:27317.5s 加:84.5s 等前:0.0s 等后:0.0s) | ST14 电检2(开:27402.0s 加:97.5s 等前:0.0s 等后:0.0s) | ST15 小跑道(开:27499.5s 加:50.0s 等前:0.0s 等后:0.0s)</t>
        </is>
      </c>
    </row>
    <row r="404">
      <c r="A404" s="13" t="n">
        <v>403</v>
      </c>
      <c r="B404" s="13" t="inlineStr">
        <is>
          <t>Car#402</t>
        </is>
      </c>
      <c r="C404" s="13" t="inlineStr">
        <is>
          <t>B</t>
        </is>
      </c>
      <c r="D404" s="14" t="n">
        <v>26060.5</v>
      </c>
      <c r="E404" s="14" t="n">
        <v>27602</v>
      </c>
      <c r="F404" s="14" t="n">
        <v>1541.5</v>
      </c>
      <c r="G404" s="14" t="n">
        <v>3012.5</v>
      </c>
      <c r="H404" s="13" t="inlineStr">
        <is>
          <t>Car#403</t>
        </is>
      </c>
      <c r="I404" s="14">
        <f>E404-E403</f>
        <v/>
      </c>
      <c r="J404" s="14">
        <f>I404-58</f>
        <v/>
      </c>
      <c r="K404" s="14">
        <f>MAX(0,J404)</f>
        <v/>
      </c>
      <c r="L404" s="14">
        <f>MAX(0,-J404)</f>
        <v/>
      </c>
      <c r="M404" s="14">
        <f>M403+I404</f>
        <v/>
      </c>
      <c r="N404" s="14">
        <f>D404+F404-E404</f>
        <v/>
      </c>
      <c r="O404" s="13" t="inlineStr">
        <is>
          <t>能力超目标：四轮定位上、下</t>
        </is>
      </c>
      <c r="P404" s="13" t="inlineStr">
        <is>
          <t>ST1 引取(开:26060.5s 加:56.0s 等前:2802.5s 等后:32.5s) | ST2 集约(开:26149.0s 加:111.0s 等前:0.0s 等后:9.5s) | ST3 空气悬挂+快充(开:26269.5s 加:108.5s 等前:0.0s 等后:29.0s) | ST4 四轮定位上、下(开:26407.0s 加:120.5s 等前:0.0s 等后:23.0s) | ST5 ADAS(开:26550.5s 加:107.0s 等前:0.0s 等后:7.5s) | ST6 ARHUD+慢充(开:26665.0s 加:51.5s 等前:0.0s 等后:64.5s) | ST7 转毂(开:26781.0s 加:114.5s 等前:0.0s 等后:0.0s) | ST8 制动(开:26895.5s 加:114.0s 等前:0.0s 等后:0.0s) | ST9 EG漏液/底盘漏液(开:27009.5s 加:112.5s 等前:0.0s 等后:0.0s) | ST10 全景/空调检查(开:27122.0s 加:0.0s 等前:0.0s 等后:0.0s) | ST11 气囊安装+绝缘(开:27122.0s 加:116.0s 等前:0.0s 等后:0.0s) | ST12 L2++(开:27238.0s 加:88.0s 等前:0.0s 等后:44.0s) | ST13 电检1(开:27370.0s 加:84.5s 等前:0.0s 等后:0.0s) | ST14 电检2(开:27454.5s 加:97.5s 等前:0.0s 等后:0.0s) | ST15 小跑道(开:27552.0s 加:50.0s 等前:0.0s 等后:0.0s)</t>
        </is>
      </c>
    </row>
    <row r="405">
      <c r="A405" s="15" t="n">
        <v>404</v>
      </c>
      <c r="B405" s="15" t="inlineStr">
        <is>
          <t>Car#405</t>
        </is>
      </c>
      <c r="C405" s="15" t="inlineStr">
        <is>
          <t>C</t>
        </is>
      </c>
      <c r="D405" s="16" t="n">
        <v>26269.5</v>
      </c>
      <c r="E405" s="16" t="n">
        <v>27693</v>
      </c>
      <c r="F405" s="16" t="n">
        <v>1423.5</v>
      </c>
      <c r="G405" s="16" t="n">
        <v>2837.5</v>
      </c>
      <c r="H405" s="15" t="inlineStr">
        <is>
          <t>Car#402</t>
        </is>
      </c>
      <c r="I405" s="16">
        <f>E405-E404</f>
        <v/>
      </c>
      <c r="J405" s="16">
        <f>I405-58</f>
        <v/>
      </c>
      <c r="K405" s="16">
        <f>MAX(0,J405)</f>
        <v/>
      </c>
      <c r="L405" s="16">
        <f>MAX(0,-J405)</f>
        <v/>
      </c>
      <c r="M405" s="16">
        <f>M404+I405</f>
        <v/>
      </c>
      <c r="N405" s="16">
        <f>D405+F405-E405</f>
        <v/>
      </c>
      <c r="O405" s="15" t="inlineStr">
        <is>
          <t>能力超目标：四轮定位上、下、ARHUD+慢充</t>
        </is>
      </c>
      <c r="P405" s="15" t="inlineStr">
        <is>
          <t>ST1 引取(开:26269.5s 加:56.0s 等前:2837.5s 等后:0.0s) | ST2 集约(开:26325.5s 加:111.0s 等前:0.0s 等后:0.0s) | ST3 空气悬挂+快充(开:26436.5s 加:108.5s 等前:0.0s 等后:0.0s) | ST4 四轮定位上、下(开:26545.0s 加:120.5s 等前:0.0s 等后:0.0s) | ST5 ADAS(开:26665.5s 加:107.0s 等前:0.0s 等后:0.0s) | ST6 ARHUD+慢充(开:26772.5s 加:143.5s 等前:0.0s 等后:0.0s) | ST7 转毂(开:26916.0s 加:114.5s 等前:0.0s 等后:0.0s) | ST8 制动(开:27030.5s 加:114.0s 等前:0.0s 等后:0.0s) | ST9 EG漏液/底盘漏液(开:27144.5s 加:112.5s 等前:0.0s 等后:0.0s) | ST10 全景/空调检查(开:27257.0s 加:0.0s 等前:0.0s 等后:0.0s) | ST11 气囊安装+绝缘(开:27257.0s 加:116.0s 等前:0.0s 等后:0.0s) | ST12 L2++(开:27373.0s 加:88.0s 等前:0.0s 等后:0.0s) | ST13 电检1(开:27461.0s 加:84.5s 等前:0.0s 等后:0.0s) | ST14 电检2(开:27545.5s 加:97.5s 等前:0.0s 等后:0.0s) | ST15 小跑道(开:27643.0s 加:50.0s 等前:0.0s 等后:0.0s)</t>
        </is>
      </c>
    </row>
    <row r="406">
      <c r="A406" s="13" t="n">
        <v>405</v>
      </c>
      <c r="B406" s="13" t="inlineStr">
        <is>
          <t>Car#404</t>
        </is>
      </c>
      <c r="C406" s="13" t="inlineStr">
        <is>
          <t>C</t>
        </is>
      </c>
      <c r="D406" s="14" t="n">
        <v>26205</v>
      </c>
      <c r="E406" s="14" t="n">
        <v>27743</v>
      </c>
      <c r="F406" s="14" t="n">
        <v>1538</v>
      </c>
      <c r="G406" s="14" t="n">
        <v>2945.5</v>
      </c>
      <c r="H406" s="13" t="inlineStr">
        <is>
          <t>Car#405</t>
        </is>
      </c>
      <c r="I406" s="14">
        <f>E406-E405</f>
        <v/>
      </c>
      <c r="J406" s="14">
        <f>I406-58</f>
        <v/>
      </c>
      <c r="K406" s="14">
        <f>MAX(0,J406)</f>
        <v/>
      </c>
      <c r="L406" s="14">
        <f>MAX(0,-J406)</f>
        <v/>
      </c>
      <c r="M406" s="14">
        <f>M405+I406</f>
        <v/>
      </c>
      <c r="N406" s="14">
        <f>D406+F406-E406</f>
        <v/>
      </c>
      <c r="O406" s="13" t="inlineStr">
        <is>
          <t>能力超目标：四轮定位上、下、ARHUD+慢充</t>
        </is>
      </c>
      <c r="P406" s="13" t="inlineStr">
        <is>
          <t>ST1 引取(开:26205.0s 加:56.0s 等前:2831.0s 等后:8.5s) | ST2 集约(开:26269.5s 加:111.0s 等前:0.0s 等后:26.5s) | ST3 空气悬挂+快充(开:26407.0s 加:108.5s 等前:0.0s 等后:35.0s) | ST4 四轮定位上、下(开:26550.5s 加:120.5s 等前:0.0s 等后:0.0s) | ST5 ADAS(开:26671.0s 加:107.0s 等前:0.0s 等后:3.0s) | ST6 ARHUD+慢充(开:26781.0s 加:143.5s 等前:0.0s 等后:0.0s) | ST7 转毂(开:26924.5s 加:114.5s 等前:0.0s 等后:0.0s) | ST8 制动(开:27039.0s 加:114.0s 等前:0.0s 等后:0.0s) | ST9 EG漏液/底盘漏液(开:27153.0s 加:112.5s 等前:0.0s 等后:0.0s) | ST10 全景/空调检查(开:27265.5s 加:0.0s 等前:0.0s 等后:0.0s) | ST11 气囊安装+绝缘(开:27265.5s 加:116.0s 等前:0.0s 等后:0.0s) | ST12 L2++(开:27381.5s 加:88.0s 等前:0.0s 等后:0.0s) | ST13 电检1(开:27469.5s 加:84.5s 等前:0.0s 等后:0.0s) | ST14 电检2(开:27554.0s 加:97.5s 等前:0.0s 等后:41.5s) | ST15 小跑道(开:27693.0s 加:50.0s 等前:0.0s 等后:0.0s)</t>
        </is>
      </c>
    </row>
    <row r="407">
      <c r="A407" s="15" t="n">
        <v>406</v>
      </c>
      <c r="B407" s="15" t="inlineStr">
        <is>
          <t>Car#407</t>
        </is>
      </c>
      <c r="C407" s="15" t="inlineStr">
        <is>
          <t>C</t>
        </is>
      </c>
      <c r="D407" s="16" t="n">
        <v>26407</v>
      </c>
      <c r="E407" s="16" t="n">
        <v>27836.5</v>
      </c>
      <c r="F407" s="16" t="n">
        <v>1429.5</v>
      </c>
      <c r="G407" s="16" t="n">
        <v>2865</v>
      </c>
      <c r="H407" s="15" t="inlineStr">
        <is>
          <t>Car#404</t>
        </is>
      </c>
      <c r="I407" s="16">
        <f>E407-E406</f>
        <v/>
      </c>
      <c r="J407" s="16">
        <f>I407-58</f>
        <v/>
      </c>
      <c r="K407" s="16">
        <f>MAX(0,J407)</f>
        <v/>
      </c>
      <c r="L407" s="16">
        <f>MAX(0,-J407)</f>
        <v/>
      </c>
      <c r="M407" s="16">
        <f>M406+I407</f>
        <v/>
      </c>
      <c r="N407" s="16">
        <f>D407+F407-E407</f>
        <v/>
      </c>
      <c r="O407" s="15" t="inlineStr">
        <is>
          <t>能力超目标：四轮定位上、下、ARHUD+慢充</t>
        </is>
      </c>
      <c r="P407" s="15" t="inlineStr">
        <is>
          <t>ST1 引取(开:26407.0s 加:56.0s 等前:2859.0s 等后:0.0s) | ST2 集约(开:26463.0s 加:111.0s 等前:0.0s 等后:0.0s) | ST3 空气悬挂+快充(开:26574.0s 加:108.5s 等前:0.0s 等后:0.0s) | ST4 四轮定位上、下(开:26682.5s 加:120.5s 等前:0.0s 等后:0.0s) | ST5 ADAS(开:26803.0s 加:107.0s 等前:0.0s 等后:6.0s) | ST6 ARHUD+慢充(开:26916.0s 加:143.5s 等前:0.0s 等后:0.0s) | ST7 转毂(开:27059.5s 加:114.5s 等前:0.0s 等后:0.0s) | ST8 制动(开:27174.0s 加:114.0s 等前:0.0s 等后:0.0s) | ST9 EG漏液/底盘漏液(开:27288.0s 加:112.5s 等前:0.0s 等后:0.0s) | ST10 全景/空调检查(开:27400.5s 加:0.0s 等前:0.0s 等后:0.0s) | ST11 气囊安装+绝缘(开:27400.5s 加:116.0s 等前:0.0s 等后:0.0s) | ST12 L2++(开:27516.5s 加:88.0s 等前:0.0s 等后:0.0s) | ST13 电检1(开:27604.5s 加:84.5s 等前:0.0s 等后:0.0s) | ST14 电检2(开:27689.0s 加:97.5s 等前:0.0s 等后:0.0s) | ST15 小跑道(开:27786.5s 加:50.0s 等前:0.0s 等后:0.0s)</t>
        </is>
      </c>
    </row>
    <row r="408">
      <c r="A408" s="13" t="n">
        <v>407</v>
      </c>
      <c r="B408" s="13" t="inlineStr">
        <is>
          <t>Car#406</t>
        </is>
      </c>
      <c r="C408" s="13" t="inlineStr">
        <is>
          <t>C</t>
        </is>
      </c>
      <c r="D408" s="14" t="n">
        <v>26325.5</v>
      </c>
      <c r="E408" s="14" t="n">
        <v>27886.5</v>
      </c>
      <c r="F408" s="14" t="n">
        <v>1561</v>
      </c>
      <c r="G408" s="14" t="n">
        <v>2973</v>
      </c>
      <c r="H408" s="13" t="inlineStr">
        <is>
          <t>Car#407</t>
        </is>
      </c>
      <c r="I408" s="14">
        <f>E408-E407</f>
        <v/>
      </c>
      <c r="J408" s="14">
        <f>I408-58</f>
        <v/>
      </c>
      <c r="K408" s="14">
        <f>MAX(0,J408)</f>
        <v/>
      </c>
      <c r="L408" s="14">
        <f>MAX(0,-J408)</f>
        <v/>
      </c>
      <c r="M408" s="14">
        <f>M407+I408</f>
        <v/>
      </c>
      <c r="N408" s="14">
        <f>D408+F408-E408</f>
        <v/>
      </c>
      <c r="O408" s="13" t="inlineStr">
        <is>
          <t>能力超目标：四轮定位上、下、ARHUD+慢充</t>
        </is>
      </c>
      <c r="P408" s="13" t="inlineStr">
        <is>
          <t>ST1 引取(开:26325.5s 加:56.0s 等前:2835.5s 等后:25.5s) | ST2 集约(开:26407.0s 加:111.0s 等前:0.0s 等后:32.5s) | ST3 空气悬挂+快充(开:26550.5s 加:108.5s 等前:0.0s 等后:12.0s) | ST4 四轮定位上、下(开:26671.0s 加:120.5s 等前:0.0s 等后:0.0s) | ST5 ADAS(开:26791.5s 加:107.0s 等前:0.0s 等后:26.0s) | ST6 ARHUD+慢充(开:26924.5s 加:143.5s 等前:0.0s 等后:0.0s) | ST7 转毂(开:27068.0s 加:114.5s 等前:0.0s 等后:0.0s) | ST8 制动(开:27182.5s 加:114.0s 等前:0.0s 等后:0.0s) | ST9 EG漏液/底盘漏液(开:27296.5s 加:112.5s 等前:0.0s 等后:0.0s) | ST10 全景/空调检查(开:27409.0s 加:0.0s 等前:0.0s 等后:0.0s) | ST11 气囊安装+绝缘(开:27409.0s 加:116.0s 等前:0.0s 等后:0.0s) | ST12 L2++(开:27525.0s 加:88.0s 等前:0.0s 等后:0.0s) | ST13 电检1(开:27613.0s 加:84.5s 等前:0.0s 等后:0.0s) | ST14 电检2(开:27697.5s 加:97.5s 等前:0.0s 等后:41.5s) | ST15 小跑道(开:27836.5s 加:50.0s 等前:0.0s 等后:0.0s)</t>
        </is>
      </c>
    </row>
    <row r="409">
      <c r="A409" s="15" t="n">
        <v>408</v>
      </c>
      <c r="B409" s="15" t="inlineStr">
        <is>
          <t>Car#408</t>
        </is>
      </c>
      <c r="C409" s="15" t="inlineStr">
        <is>
          <t>A</t>
        </is>
      </c>
      <c r="D409" s="16" t="n">
        <v>26463</v>
      </c>
      <c r="E409" s="16" t="n">
        <v>27937.5</v>
      </c>
      <c r="F409" s="16" t="n">
        <v>1474.5</v>
      </c>
      <c r="G409" s="16" t="n">
        <v>3470.5</v>
      </c>
      <c r="H409" s="15" t="inlineStr">
        <is>
          <t>Car#406</t>
        </is>
      </c>
      <c r="I409" s="16">
        <f>E409-E408</f>
        <v/>
      </c>
      <c r="J409" s="16">
        <f>I409-58</f>
        <v/>
      </c>
      <c r="K409" s="16">
        <f>MAX(0,J409)</f>
        <v/>
      </c>
      <c r="L409" s="16">
        <f>MAX(0,-J409)</f>
        <v/>
      </c>
      <c r="M409" s="16">
        <f>M408+I409</f>
        <v/>
      </c>
      <c r="N409" s="16">
        <f>D409+F409-E409</f>
        <v/>
      </c>
      <c r="O409" s="15" t="inlineStr">
        <is>
          <t>能力满足</t>
        </is>
      </c>
      <c r="P409" s="15" t="inlineStr">
        <is>
          <t>ST1 引取(开:26463.0s 加:55.0s 等前:2857.0s 等后:32.5s) | ST2 集约(开:26550.5s 加:106.0s 等前:0.0s 等后:14.5s) | ST3 空气悬挂+快充(开:26671.0s 加:0.0s 等前:0.0s 等后:120.5s) | ST4 四轮定位上、下(开:26791.5s 加:115.0s 等前:0.0s 等后:18.0s) | ST5 ADAS(开:26924.5s 加:97.0s 等前:0.0s 等后:46.5s) | ST6 ARHUD+慢充(开:27068.0s 加:0.0s 等前:0.0s 等后:114.5s) | ST7 转毂(开:27182.5s 加:116.0s 等前:0.0s 等后:0.0s) | ST8 制动(开:27298.5s 加:108.0s 等前:0.0s 等后:2.5s) | ST9 EG漏液/底盘漏液(开:27409.0s 加:115.0s 等前:0.0s 等后:0.0s) | ST10 全景/空调检查(开:27524.0s 加:98.0s 等前:0.0s 等后:0.0s) | ST11 气囊安装+绝缘(开:27622.0s 加:0.0s 等前:0.0s 等后:0.0s) | ST12 L2++(开:27622.0s 加:0.0s 等前:0.0s 等后:75.5s) | ST13 电检1(开:27697.5s 加:0.0s 等前:0.0s 等后:139.0s) | ST14 电检2(开:27836.5s 加:0.0s 等前:0.0s 等后:50.0s) | ST15 小跑道(开:27886.5s 加:51.0s 等前:0.0s 等后:0.0s)</t>
        </is>
      </c>
    </row>
    <row r="410">
      <c r="A410" s="13" t="n">
        <v>409</v>
      </c>
      <c r="B410" s="13" t="inlineStr">
        <is>
          <t>Car#409</t>
        </is>
      </c>
      <c r="C410" s="13" t="inlineStr">
        <is>
          <t>B</t>
        </is>
      </c>
      <c r="D410" s="14" t="n">
        <v>26550.5</v>
      </c>
      <c r="E410" s="14" t="n">
        <v>27987.5</v>
      </c>
      <c r="F410" s="14" t="n">
        <v>1437</v>
      </c>
      <c r="G410" s="14" t="n">
        <v>2992</v>
      </c>
      <c r="H410" s="13" t="inlineStr">
        <is>
          <t>Car#408</t>
        </is>
      </c>
      <c r="I410" s="14">
        <f>E410-E409</f>
        <v/>
      </c>
      <c r="J410" s="14">
        <f>I410-58</f>
        <v/>
      </c>
      <c r="K410" s="14">
        <f>MAX(0,J410)</f>
        <v/>
      </c>
      <c r="L410" s="14">
        <f>MAX(0,-J410)</f>
        <v/>
      </c>
      <c r="M410" s="14">
        <f>M409+I410</f>
        <v/>
      </c>
      <c r="N410" s="14">
        <f>D410+F410-E410</f>
        <v/>
      </c>
      <c r="O410" s="13" t="inlineStr">
        <is>
          <t>能力超目标：四轮定位上、下</t>
        </is>
      </c>
      <c r="P410" s="13" t="inlineStr">
        <is>
          <t>ST1 引取(开:26550.5s 加:56.0s 等前:2886.5s 等后:0.0s) | ST2 集约(开:26606.5s 加:111.0s 等前:0.0s 等后:0.0s) | ST3 空气悬挂+快充(开:26717.5s 加:108.5s 等前:0.0s 等后:0.0s) | ST4 四轮定位上、下(开:26826.0s 加:120.5s 等前:0.0s 等后:0.0s) | ST5 ADAS(开:26946.5s 加:107.0s 等前:0.0s 等后:6.0s) | ST6 ARHUD+慢充(开:27059.5s 加:51.5s 等前:0.0s 等后:63.0s) | ST7 转毂(开:27174.0s 加:114.5s 等前:0.0s 等后:0.0s) | ST8 制动(开:27288.5s 加:114.0s 等前:0.0s 等后:0.0s) | ST9 EG漏液/底盘漏液(开:27402.5s 加:112.5s 等前:0.0s 等后:0.0s) | ST10 全景/空调检查(开:27515.0s 加:0.0s 等前:0.0s 等后:1.5s) | ST11 气囊安装+绝缘(开:27516.5s 加:116.0s 等前:0.0s 等后:0.0s) | ST12 L2++(开:27632.5s 加:88.0s 等前:0.0s 等后:0.0s) | ST13 电检1(开:27720.5s 加:84.5s 等前:0.0s 等后:0.0s) | ST14 电检2(开:27805.0s 加:97.5s 等前:0.0s 等后:35.0s) | ST15 小跑道(开:27937.5s 加:50.0s 等前:0.0s 等后:0.0s)</t>
        </is>
      </c>
    </row>
    <row r="411">
      <c r="A411" s="15" t="n">
        <v>410</v>
      </c>
      <c r="B411" s="15" t="inlineStr">
        <is>
          <t>Car#410</t>
        </is>
      </c>
      <c r="C411" s="15" t="inlineStr">
        <is>
          <t>B</t>
        </is>
      </c>
      <c r="D411" s="16" t="n">
        <v>26606.5</v>
      </c>
      <c r="E411" s="16" t="n">
        <v>28075.5</v>
      </c>
      <c r="F411" s="16" t="n">
        <v>1469</v>
      </c>
      <c r="G411" s="16" t="n">
        <v>3022</v>
      </c>
      <c r="H411" s="15" t="inlineStr">
        <is>
          <t>Car#409</t>
        </is>
      </c>
      <c r="I411" s="16">
        <f>E411-E410</f>
        <v/>
      </c>
      <c r="J411" s="16">
        <f>I411-58</f>
        <v/>
      </c>
      <c r="K411" s="16">
        <f>MAX(0,J411)</f>
        <v/>
      </c>
      <c r="L411" s="16">
        <f>MAX(0,-J411)</f>
        <v/>
      </c>
      <c r="M411" s="16">
        <f>M410+I411</f>
        <v/>
      </c>
      <c r="N411" s="16">
        <f>D411+F411-E411</f>
        <v/>
      </c>
      <c r="O411" s="15" t="inlineStr">
        <is>
          <t>能力超目标：四轮定位上、下</t>
        </is>
      </c>
      <c r="P411" s="15" t="inlineStr">
        <is>
          <t>ST1 引取(开:26606.5s 加:56.0s 等前:2884.5s 等后:8.5s) | ST2 集约(开:26671.0s 加:111.0s 等前:0.0s 等后:9.5s) | ST3 空气悬挂+快充(开:26791.5s 加:108.5s 等前:0.0s 等后:24.5s) | ST4 四轮定位上、下(开:26924.5s 加:120.5s 等前:0.0s 等后:23.0s) | ST5 ADAS(开:27068.0s 加:107.0s 等前:0.0s 等后:7.5s) | ST6 ARHUD+慢充(开:27182.5s 加:51.5s 等前:0.0s 等后:64.5s) | ST7 转毂(开:27298.5s 加:114.5s 等前:0.0s 等后:0.0s) | ST8 制动(开:27413.0s 加:114.0s 等前:0.0s 等后:0.0s) | ST9 EG漏液/底盘漏液(开:27527.0s 加:112.5s 等前:0.0s 等后:0.0s) | ST10 全景/空调检查(开:27639.5s 加:0.0s 等前:0.0s 等后:0.0s) | ST11 气囊安装+绝缘(开:27639.5s 加:116.0s 等前:0.0s 等后:0.0s) | ST12 L2++(开:27755.5s 加:88.0s 等前:0.0s 等后:0.0s) | ST13 电检1(开:27843.5s 加:84.5s 等前:0.0s 等后:0.0s) | ST14 电检2(开:27928.0s 加:97.5s 等前:0.0s 等后:0.0s) | ST15 小跑道(开:28025.5s 加:50.0s 等前:0.0s 等后:0.0s)</t>
        </is>
      </c>
    </row>
    <row r="412">
      <c r="A412" s="13" t="n">
        <v>411</v>
      </c>
      <c r="B412" s="13" t="inlineStr">
        <is>
          <t>Car#411</t>
        </is>
      </c>
      <c r="C412" s="13" t="inlineStr">
        <is>
          <t>B</t>
        </is>
      </c>
      <c r="D412" s="14" t="n">
        <v>26671</v>
      </c>
      <c r="E412" s="14" t="n">
        <v>28125.5</v>
      </c>
      <c r="F412" s="14" t="n">
        <v>1454.5</v>
      </c>
      <c r="G412" s="14" t="n">
        <v>3014</v>
      </c>
      <c r="H412" s="13" t="inlineStr">
        <is>
          <t>Car#410</t>
        </is>
      </c>
      <c r="I412" s="14">
        <f>E412-E411</f>
        <v/>
      </c>
      <c r="J412" s="14">
        <f>I412-58</f>
        <v/>
      </c>
      <c r="K412" s="14">
        <f>MAX(0,J412)</f>
        <v/>
      </c>
      <c r="L412" s="14">
        <f>MAX(0,-J412)</f>
        <v/>
      </c>
      <c r="M412" s="14">
        <f>M411+I412</f>
        <v/>
      </c>
      <c r="N412" s="14">
        <f>D412+F412-E412</f>
        <v/>
      </c>
      <c r="O412" s="13" t="inlineStr">
        <is>
          <t>能力超目标：四轮定位上、下</t>
        </is>
      </c>
      <c r="P412" s="13" t="inlineStr">
        <is>
          <t>ST1 引取(开:26671.0s 加:56.0s 等前:2891.0s 等后:0.0s) | ST2 集约(开:26727.0s 加:111.0s 等前:0.0s 等后:0.0s) | ST3 空气悬挂+快充(开:26838.0s 加:108.5s 等前:0.0s 等后:0.0s) | ST4 四轮定位上、下(开:26946.5s 加:120.5s 等前:0.0s 等后:0.0s) | ST5 ADAS(开:27067.0s 加:107.0s 等前:0.0s 等后:0.0s) | ST6 ARHUD+慢充(开:27174.0s 加:51.5s 等前:0.0s 等后:63.0s) | ST7 转毂(开:27288.5s 加:114.5s 等前:0.0s 等后:0.0s) | ST8 制动(开:27403.0s 加:114.0s 等前:0.0s 等后:0.0s) | ST9 EG漏液/底盘漏液(开:27517.0s 加:112.5s 等前:0.0s 等后:0.0s) | ST10 全景/空调检查(开:27629.5s 加:0.0s 等前:0.0s 等后:3.0s) | ST11 气囊安装+绝缘(开:27632.5s 加:116.0s 等前:0.0s 等后:0.0s) | ST12 L2++(开:27748.5s 加:88.0s 等前:0.0s 等后:0.0s) | ST13 电检1(开:27836.5s 加:84.5s 等前:0.0s 等后:16.5s) | ST14 电检2(开:27937.5s 加:97.5s 等前:0.0s 等后:40.5s) | ST15 小跑道(开:28075.5s 加:50.0s 等前:0.0s 等后:0.0s)</t>
        </is>
      </c>
    </row>
    <row r="413">
      <c r="A413" s="15" t="n">
        <v>412</v>
      </c>
      <c r="B413" s="15" t="inlineStr">
        <is>
          <t>Car#413</t>
        </is>
      </c>
      <c r="C413" s="15" t="inlineStr">
        <is>
          <t>A</t>
        </is>
      </c>
      <c r="D413" s="16" t="n">
        <v>26791.5</v>
      </c>
      <c r="E413" s="16" t="n">
        <v>28176.5</v>
      </c>
      <c r="F413" s="16" t="n">
        <v>1385</v>
      </c>
      <c r="G413" s="16" t="n">
        <v>3419.5</v>
      </c>
      <c r="H413" s="15" t="inlineStr">
        <is>
          <t>Car#411</t>
        </is>
      </c>
      <c r="I413" s="16">
        <f>E413-E412</f>
        <v/>
      </c>
      <c r="J413" s="16">
        <f>I413-58</f>
        <v/>
      </c>
      <c r="K413" s="16">
        <f>MAX(0,J413)</f>
        <v/>
      </c>
      <c r="L413" s="16">
        <f>MAX(0,-J413)</f>
        <v/>
      </c>
      <c r="M413" s="16">
        <f>M412+I413</f>
        <v/>
      </c>
      <c r="N413" s="16">
        <f>D413+F413-E413</f>
        <v/>
      </c>
      <c r="O413" s="15" t="inlineStr">
        <is>
          <t>能力满足</t>
        </is>
      </c>
      <c r="P413" s="15" t="inlineStr">
        <is>
          <t>ST1 引取(开:26791.5s 加:55.0s 等前:2895.5s 等后:0.0s) | ST2 集约(开:26846.5s 加:106.0s 等前:0.0s 等后:0.0s) | ST3 空气悬挂+快充(开:26952.5s 加:0.0s 等前:0.0s 等后:114.5s) | ST4 四轮定位上、下(开:27067.0s 加:115.0s 等前:0.0s 等后:0.0s) | ST5 ADAS(开:27182.0s 加:97.0s 等前:0.0s 等后:9.5s) | ST6 ARHUD+慢充(开:27288.5s 加:0.0s 等前:0.0s 等后:114.5s) | ST7 转毂(开:27403.0s 加:116.0s 等前:0.0s 等后:0.0s) | ST8 制动(开:27519.0s 加:108.0s 等前:0.0s 等后:2.5s) | ST9 EG漏液/底盘漏液(开:27629.5s 加:115.0s 等前:0.0s 等后:0.0s) | ST10 全景/空调检查(开:27744.5s 加:98.0s 等前:0.0s 等后:0.0s) | ST11 气囊安装+绝缘(开:27842.5s 加:0.0s 等前:0.0s 等后:0.0s) | ST12 L2++(开:27842.5s 加:0.0s 等前:0.0s 等后:95.0s) | ST13 电检1(开:27937.5s 加:0.0s 等前:0.0s 等后:138.0s) | ST14 电检2(开:28075.5s 加:0.0s 等前:0.0s 等后:50.0s) | ST15 小跑道(开:28125.5s 加:51.0s 等前:0.0s 等后:0.0s)</t>
        </is>
      </c>
    </row>
    <row r="414">
      <c r="A414" s="13" t="n">
        <v>413</v>
      </c>
      <c r="B414" s="13" t="inlineStr">
        <is>
          <t>Car#412</t>
        </is>
      </c>
      <c r="C414" s="13" t="inlineStr">
        <is>
          <t>C</t>
        </is>
      </c>
      <c r="D414" s="14" t="n">
        <v>26727</v>
      </c>
      <c r="E414" s="14" t="n">
        <v>28226.5</v>
      </c>
      <c r="F414" s="14" t="n">
        <v>1499.5</v>
      </c>
      <c r="G414" s="14" t="n">
        <v>2965</v>
      </c>
      <c r="H414" s="13" t="inlineStr">
        <is>
          <t>Car#413</t>
        </is>
      </c>
      <c r="I414" s="14">
        <f>E414-E413</f>
        <v/>
      </c>
      <c r="J414" s="14">
        <f>I414-58</f>
        <v/>
      </c>
      <c r="K414" s="14">
        <f>MAX(0,J414)</f>
        <v/>
      </c>
      <c r="L414" s="14">
        <f>MAX(0,-J414)</f>
        <v/>
      </c>
      <c r="M414" s="14">
        <f>M413+I414</f>
        <v/>
      </c>
      <c r="N414" s="14">
        <f>D414+F414-E414</f>
        <v/>
      </c>
      <c r="O414" s="13" t="inlineStr">
        <is>
          <t>能力超目标：四轮定位上、下、ARHUD+慢充</t>
        </is>
      </c>
      <c r="P414" s="13" t="inlineStr">
        <is>
          <t>ST1 引取(开:26727.0s 加:56.0s 等前:2889.0s 等后:8.5s) | ST2 集约(开:26791.5s 加:111.0s 等前:0.0s 等后:22.0s) | ST3 空气悬挂+快充(开:26924.5s 加:108.5s 等前:0.0s 等后:35.0s) | ST4 四轮定位上、下(开:27068.0s 加:120.5s 等前:0.0s 等后:0.0s) | ST5 ADAS(开:27188.5s 加:107.0s 等前:0.0s 等后:3.0s) | ST6 ARHUD+慢充(开:27298.5s 加:143.5s 等前:0.0s 等后:0.0s) | ST7 转毂(开:27442.0s 加:114.5s 等前:0.0s 等后:0.0s) | ST8 制动(开:27556.5s 加:114.0s 等前:0.0s 等后:0.0s) | ST9 EG漏液/底盘漏液(开:27670.5s 加:112.5s 等前:0.0s 等后:0.0s) | ST10 全景/空调检查(开:27783.0s 加:0.0s 等前:0.0s 等后:0.0s) | ST11 气囊安装+绝缘(开:27783.0s 加:116.0s 等前:0.0s 等后:0.0s) | ST12 L2++(开:27899.0s 加:88.0s 等前:0.0s 等后:0.0s) | ST13 电检1(开:27987.0s 加:84.5s 等前:0.0s 等后:0.0s) | ST14 电检2(开:28071.5s 加:97.5s 等前:0.0s 等后:7.5s) | ST15 小跑道(开:28176.5s 加:50.0s 等前:0.0s 等后:0.0s)</t>
        </is>
      </c>
    </row>
    <row r="415">
      <c r="A415" s="15" t="n">
        <v>414</v>
      </c>
      <c r="B415" s="15" t="inlineStr">
        <is>
          <t>Car#415</t>
        </is>
      </c>
      <c r="C415" s="15" t="inlineStr">
        <is>
          <t>C</t>
        </is>
      </c>
      <c r="D415" s="16" t="n">
        <v>26924.5</v>
      </c>
      <c r="E415" s="16" t="n">
        <v>28348</v>
      </c>
      <c r="F415" s="16" t="n">
        <v>1423.5</v>
      </c>
      <c r="G415" s="16" t="n">
        <v>2912.5</v>
      </c>
      <c r="H415" s="15" t="inlineStr">
        <is>
          <t>Car#412</t>
        </is>
      </c>
      <c r="I415" s="16">
        <f>E415-E414</f>
        <v/>
      </c>
      <c r="J415" s="16">
        <f>I415-58</f>
        <v/>
      </c>
      <c r="K415" s="16">
        <f>MAX(0,J415)</f>
        <v/>
      </c>
      <c r="L415" s="16">
        <f>MAX(0,-J415)</f>
        <v/>
      </c>
      <c r="M415" s="16">
        <f>M414+I415</f>
        <v/>
      </c>
      <c r="N415" s="16">
        <f>D415+F415-E415</f>
        <v/>
      </c>
      <c r="O415" s="15" t="inlineStr">
        <is>
          <t>能力超目标：四轮定位上、下、ARHUD+慢充</t>
        </is>
      </c>
      <c r="P415" s="15" t="inlineStr">
        <is>
          <t>ST1 引取(开:26924.5s 加:56.0s 等前:2912.5s 等后:0.0s) | ST2 集约(开:26980.5s 加:111.0s 等前:0.0s 等后:0.0s) | ST3 空气悬挂+快充(开:27091.5s 加:108.5s 等前:0.0s 等后:0.0s) | ST4 四轮定位上、下(开:27200.0s 加:120.5s 等前:0.0s 等后:0.0s) | ST5 ADAS(开:27320.5s 加:107.0s 等前:0.0s 等后:0.0s) | ST6 ARHUD+慢充(开:27427.5s 加:143.5s 等前:0.0s 等后:0.0s) | ST7 转毂(开:27571.0s 加:114.5s 等前:0.0s 等后:0.0s) | ST8 制动(开:27685.5s 加:114.0s 等前:0.0s 等后:0.0s) | ST9 EG漏液/底盘漏液(开:27799.5s 加:112.5s 等前:0.0s 等后:0.0s) | ST10 全景/空调检查(开:27912.0s 加:0.0s 等前:0.0s 等后:0.0s) | ST11 气囊安装+绝缘(开:27912.0s 加:116.0s 等前:0.0s 等后:0.0s) | ST12 L2++(开:28028.0s 加:88.0s 等前:0.0s 等后:0.0s) | ST13 电检1(开:28116.0s 加:84.5s 等前:0.0s 等后:0.0s) | ST14 电检2(开:28200.5s 加:97.5s 等前:0.0s 等后:0.0s) | ST15 小跑道(开:28298.0s 加:50.0s 等前:0.0s 等后:0.0s)</t>
        </is>
      </c>
    </row>
    <row r="416">
      <c r="A416" s="13" t="n">
        <v>415</v>
      </c>
      <c r="B416" s="13" t="inlineStr">
        <is>
          <t>Car#417</t>
        </is>
      </c>
      <c r="C416" s="13" t="inlineStr">
        <is>
          <t>A</t>
        </is>
      </c>
      <c r="D416" s="14" t="n">
        <v>27068</v>
      </c>
      <c r="E416" s="14" t="n">
        <v>28399</v>
      </c>
      <c r="F416" s="14" t="n">
        <v>1331</v>
      </c>
      <c r="G416" s="14" t="n">
        <v>3410</v>
      </c>
      <c r="H416" s="13" t="inlineStr">
        <is>
          <t>Car#415</t>
        </is>
      </c>
      <c r="I416" s="14">
        <f>E416-E415</f>
        <v/>
      </c>
      <c r="J416" s="14">
        <f>I416-58</f>
        <v/>
      </c>
      <c r="K416" s="14">
        <f>MAX(0,J416)</f>
        <v/>
      </c>
      <c r="L416" s="14">
        <f>MAX(0,-J416)</f>
        <v/>
      </c>
      <c r="M416" s="14">
        <f>M415+I416</f>
        <v/>
      </c>
      <c r="N416" s="14">
        <f>D416+F416-E416</f>
        <v/>
      </c>
      <c r="O416" s="13" t="inlineStr">
        <is>
          <t>能力满足</t>
        </is>
      </c>
      <c r="P416" s="13" t="inlineStr">
        <is>
          <t>ST1 引取(开:27068.0s 加:55.0s 等前:2940.0s 等后:0.0s) | ST2 集约(开:27123.0s 加:106.0s 等前:0.0s 等后:0.0s) | ST3 空气悬挂+快充(开:27229.0s 加:0.0s 等前:0.0s 等后:91.5s) | ST4 四轮定位上、下(开:27320.5s 加:115.0s 等前:0.0s 等后:0.0s) | ST5 ADAS(开:27435.5s 加:97.0s 等前:0.0s 等后:38.5s) | ST6 ARHUD+慢充(开:27571.0s 加:0.0s 等前:0.0s 等后:114.5s) | ST7 转毂(开:27685.5s 加:116.0s 等前:0.0s 等后:0.0s) | ST8 制动(开:27801.5s 加:108.0s 等前:0.0s 等后:2.5s) | ST9 EG漏液/底盘漏液(开:27912.0s 加:115.0s 等前:0.0s 等后:0.0s) | ST10 全景/空调检查(开:28027.0s 加:98.0s 等前:0.0s 等后:0.0s) | ST11 气囊安装+绝缘(开:28125.0s 加:0.0s 等前:0.0s 等后:0.0s) | ST12 L2++(开:28125.0s 加:0.0s 等前:0.0s 等后:75.5s) | ST13 电检1(开:28200.5s 加:0.0s 等前:0.0s 等后:97.5s) | ST14 电检2(开:28298.0s 加:0.0s 等前:0.0s 等后:50.0s) | ST15 小跑道(开:28348.0s 加:51.0s 等前:0.0s 等后:0.0s)</t>
        </is>
      </c>
    </row>
    <row r="417">
      <c r="A417" s="15" t="n">
        <v>416</v>
      </c>
      <c r="B417" s="15" t="inlineStr">
        <is>
          <t>Car#414</t>
        </is>
      </c>
      <c r="C417" s="15" t="inlineStr">
        <is>
          <t>C</t>
        </is>
      </c>
      <c r="D417" s="16" t="n">
        <v>26846.5</v>
      </c>
      <c r="E417" s="16" t="n">
        <v>28449</v>
      </c>
      <c r="F417" s="16" t="n">
        <v>1602.5</v>
      </c>
      <c r="G417" s="16" t="n">
        <v>3071.5</v>
      </c>
      <c r="H417" s="15" t="inlineStr">
        <is>
          <t>Car#417</t>
        </is>
      </c>
      <c r="I417" s="16">
        <f>E417-E416</f>
        <v/>
      </c>
      <c r="J417" s="16">
        <f>I417-58</f>
        <v/>
      </c>
      <c r="K417" s="16">
        <f>MAX(0,J417)</f>
        <v/>
      </c>
      <c r="L417" s="16">
        <f>MAX(0,-J417)</f>
        <v/>
      </c>
      <c r="M417" s="16">
        <f>M416+I417</f>
        <v/>
      </c>
      <c r="N417" s="16">
        <f>D417+F417-E417</f>
        <v/>
      </c>
      <c r="O417" s="15" t="inlineStr">
        <is>
          <t>能力超目标：四轮定位上、下、ARHUD+慢充</t>
        </is>
      </c>
      <c r="P417" s="15" t="inlineStr">
        <is>
          <t>ST1 引取(开:26846.5s 加:56.0s 等前:2892.5s 等后:22.0s) | ST2 集约(开:26924.5s 加:111.0s 等前:0.0s 等后:32.5s) | ST3 空气悬挂+快充(开:27068.0s 加:108.5s 等前:0.0s 等后:12.0s) | ST4 四轮定位上、下(开:27188.5s 加:120.5s 等前:0.0s 等后:0.0s) | ST5 ADAS(开:27309.0s 加:107.0s 等前:0.0s 等后:26.0s) | ST6 ARHUD+慢充(开:27442.0s 加:143.5s 等前:0.0s 等后:0.0s) | ST7 转毂(开:27585.5s 加:114.5s 等前:0.0s 等后:0.0s) | ST8 制动(开:27700.0s 加:114.0s 等前:0.0s 等后:0.0s) | ST9 EG漏液/底盘漏液(开:27814.0s 加:112.5s 等前:0.0s 等后:0.0s) | ST10 全景/空调检查(开:27926.5s 加:0.0s 等前:0.0s 等后:0.0s) | ST11 气囊安装+绝缘(开:27926.5s 加:116.0s 等前:0.0s 等后:0.0s) | ST12 L2++(开:28042.5s 加:88.0s 等前:0.0s 等后:0.0s) | ST13 电检1(开:28130.5s 加:84.5s 等前:0.0s 等后:0.0s) | ST14 电检2(开:28215.0s 加:97.5s 等前:0.0s 等后:86.5s) | ST15 小跑道(开:28399.0s 加:50.0s 等前:0.0s 等后:0.0s)</t>
        </is>
      </c>
    </row>
    <row r="418">
      <c r="A418" s="13" t="n">
        <v>417</v>
      </c>
      <c r="B418" s="13" t="inlineStr">
        <is>
          <t>Car#416</t>
        </is>
      </c>
      <c r="C418" s="13" t="inlineStr">
        <is>
          <t>A</t>
        </is>
      </c>
      <c r="D418" s="14" t="n">
        <v>26980.5</v>
      </c>
      <c r="E418" s="14" t="n">
        <v>28500</v>
      </c>
      <c r="F418" s="14" t="n">
        <v>1519.5</v>
      </c>
      <c r="G418" s="14" t="n">
        <v>3569</v>
      </c>
      <c r="H418" s="13" t="inlineStr">
        <is>
          <t>Car#414</t>
        </is>
      </c>
      <c r="I418" s="14">
        <f>E418-E417</f>
        <v/>
      </c>
      <c r="J418" s="14">
        <f>I418-58</f>
        <v/>
      </c>
      <c r="K418" s="14">
        <f>MAX(0,J418)</f>
        <v/>
      </c>
      <c r="L418" s="14">
        <f>MAX(0,-J418)</f>
        <v/>
      </c>
      <c r="M418" s="14">
        <f>M417+I418</f>
        <v/>
      </c>
      <c r="N418" s="14">
        <f>D418+F418-E418</f>
        <v/>
      </c>
      <c r="O418" s="13" t="inlineStr">
        <is>
          <t>能力满足</t>
        </is>
      </c>
      <c r="P418" s="13" t="inlineStr">
        <is>
          <t>ST1 引取(开:26980.5s 加:55.0s 等前:2910.5s 等后:32.5s) | ST2 集约(开:27068.0s 加:106.0s 等前:0.0s 等后:14.5s) | ST3 空气悬挂+快充(开:27188.5s 加:0.0s 等前:0.0s 等后:120.5s) | ST4 四轮定位上、下(开:27309.0s 加:115.0s 等前:0.0s 等后:18.0s) | ST5 ADAS(开:27442.0s 加:97.0s 等前:0.0s 等后:46.5s) | ST6 ARHUD+慢充(开:27585.5s 加:0.0s 等前:0.0s 等后:114.5s) | ST7 转毂(开:27700.0s 加:116.0s 等前:0.0s 等后:0.0s) | ST8 制动(开:27816.0s 加:108.0s 等前:0.0s 等后:2.5s) | ST9 EG漏液/底盘漏液(开:27926.5s 加:115.0s 等前:0.0s 等后:0.0s) | ST10 全景/空调检查(开:28041.5s 加:98.0s 等前:0.0s 等后:0.0s) | ST11 气囊安装+绝缘(开:28139.5s 加:0.0s 等前:0.0s 等后:0.0s) | ST12 L2++(开:28139.5s 加:0.0s 等前:0.0s 等后:75.5s) | ST13 电检1(开:28215.0s 加:0.0s 等前:0.0s 等后:184.0s) | ST14 电检2(开:28399.0s 加:0.0s 等前:0.0s 等后:50.0s) | ST15 小跑道(开:28449.0s 加:51.0s 等前:0.0s 等后:0.0s)</t>
        </is>
      </c>
    </row>
    <row r="419">
      <c r="A419" s="15" t="n">
        <v>418</v>
      </c>
      <c r="B419" s="15" t="inlineStr">
        <is>
          <t>Car#419</t>
        </is>
      </c>
      <c r="C419" s="15" t="inlineStr">
        <is>
          <t>C</t>
        </is>
      </c>
      <c r="D419" s="16" t="n">
        <v>27188.5</v>
      </c>
      <c r="E419" s="16" t="n">
        <v>28612</v>
      </c>
      <c r="F419" s="16" t="n">
        <v>1423.5</v>
      </c>
      <c r="G419" s="16" t="n">
        <v>2944.5</v>
      </c>
      <c r="H419" s="15" t="inlineStr">
        <is>
          <t>Car#416</t>
        </is>
      </c>
      <c r="I419" s="16">
        <f>E419-E418</f>
        <v/>
      </c>
      <c r="J419" s="16">
        <f>I419-58</f>
        <v/>
      </c>
      <c r="K419" s="16">
        <f>MAX(0,J419)</f>
        <v/>
      </c>
      <c r="L419" s="16">
        <f>MAX(0,-J419)</f>
        <v/>
      </c>
      <c r="M419" s="16">
        <f>M418+I419</f>
        <v/>
      </c>
      <c r="N419" s="16">
        <f>D419+F419-E419</f>
        <v/>
      </c>
      <c r="O419" s="15" t="inlineStr">
        <is>
          <t>能力超目标：四轮定位上、下、ARHUD+慢充</t>
        </is>
      </c>
      <c r="P419" s="15" t="inlineStr">
        <is>
          <t>ST1 引取(开:27188.5s 加:56.0s 等前:2944.5s 等后:0.0s) | ST2 集约(开:27244.5s 加:111.0s 等前:0.0s 等后:0.0s) | ST3 空气悬挂+快充(开:27355.5s 加:108.5s 等前:0.0s 等后:0.0s) | ST4 四轮定位上、下(开:27464.0s 加:120.5s 等前:0.0s 等后:0.0s) | ST5 ADAS(开:27584.5s 加:107.0s 等前:0.0s 等后:0.0s) | ST6 ARHUD+慢充(开:27691.5s 加:143.5s 等前:0.0s 等后:0.0s) | ST7 转毂(开:27835.0s 加:114.5s 等前:0.0s 等后:0.0s) | ST8 制动(开:27949.5s 加:114.0s 等前:0.0s 等后:0.0s) | ST9 EG漏液/底盘漏液(开:28063.5s 加:112.5s 等前:0.0s 等后:0.0s) | ST10 全景/空调检查(开:28176.0s 加:0.0s 等前:0.0s 等后:0.0s) | ST11 气囊安装+绝缘(开:28176.0s 加:116.0s 等前:0.0s 等后:0.0s) | ST12 L2++(开:28292.0s 加:88.0s 等前:0.0s 等后:0.0s) | ST13 电检1(开:28380.0s 加:84.5s 等前:0.0s 等后:0.0s) | ST14 电检2(开:28464.5s 加:97.5s 等前:0.0s 等后:0.0s) | ST15 小跑道(开:28562.0s 加:50.0s 等前:0.0s 等后:0.0s)</t>
        </is>
      </c>
    </row>
    <row r="420">
      <c r="A420" s="13" t="n">
        <v>419</v>
      </c>
      <c r="B420" s="13" t="inlineStr">
        <is>
          <t>Car#418</t>
        </is>
      </c>
      <c r="C420" s="13" t="inlineStr">
        <is>
          <t>C</t>
        </is>
      </c>
      <c r="D420" s="14" t="n">
        <v>27123</v>
      </c>
      <c r="E420" s="14" t="n">
        <v>28662</v>
      </c>
      <c r="F420" s="14" t="n">
        <v>1539</v>
      </c>
      <c r="G420" s="14" t="n">
        <v>3052.5</v>
      </c>
      <c r="H420" s="13" t="inlineStr">
        <is>
          <t>Car#419</t>
        </is>
      </c>
      <c r="I420" s="14">
        <f>E420-E419</f>
        <v/>
      </c>
      <c r="J420" s="14">
        <f>I420-58</f>
        <v/>
      </c>
      <c r="K420" s="14">
        <f>MAX(0,J420)</f>
        <v/>
      </c>
      <c r="L420" s="14">
        <f>MAX(0,-J420)</f>
        <v/>
      </c>
      <c r="M420" s="14">
        <f>M419+I420</f>
        <v/>
      </c>
      <c r="N420" s="14">
        <f>D420+F420-E420</f>
        <v/>
      </c>
      <c r="O420" s="13" t="inlineStr">
        <is>
          <t>能力超目标：四轮定位上、下、ARHUD+慢充</t>
        </is>
      </c>
      <c r="P420" s="13" t="inlineStr">
        <is>
          <t>ST1 引取(开:27123.0s 加:56.0s 等前:2937.0s 等后:9.5s) | ST2 集约(开:27188.5s 加:111.0s 等前:0.0s 等后:9.5s) | ST3 空气悬挂+快充(开:27309.0s 加:108.5s 等前:0.0s 等后:24.5s) | ST4 四轮定位上、下(开:27442.0s 加:120.5s 等前:0.0s 等后:23.0s) | ST5 ADAS(开:27585.5s 加:107.0s 等前:0.0s 等后:7.5s) | ST6 ARHUD+慢充(开:27700.0s 加:143.5s 等前:0.0s 等后:0.0s) | ST7 转毂(开:27843.5s 加:114.5s 等前:0.0s 等后:0.0s) | ST8 制动(开:27958.0s 加:114.0s 等前:0.0s 等后:0.0s) | ST9 EG漏液/底盘漏液(开:28072.0s 加:112.5s 等前:0.0s 等后:0.0s) | ST10 全景/空调检查(开:28184.5s 加:0.0s 等前:0.0s 等后:0.0s) | ST11 气囊安装+绝缘(开:28184.5s 加:116.0s 等前:0.0s 等后:0.0s) | ST12 L2++(开:28300.5s 加:88.0s 等前:0.0s 等后:10.5s) | ST13 电检1(开:28399.0s 加:84.5s 等前:0.0s 等后:0.0s) | ST14 电检2(开:28483.5s 加:97.5s 等前:0.0s 等后:31.0s) | ST15 小跑道(开:28612.0s 加:50.0s 等前:0.0s 等后:0.0s)</t>
        </is>
      </c>
    </row>
    <row r="421">
      <c r="A421" s="15" t="n">
        <v>420</v>
      </c>
      <c r="B421" s="15" t="inlineStr">
        <is>
          <t>Car#421</t>
        </is>
      </c>
      <c r="C421" s="15" t="inlineStr">
        <is>
          <t>B</t>
        </is>
      </c>
      <c r="D421" s="16" t="n">
        <v>27309</v>
      </c>
      <c r="E421" s="16" t="n">
        <v>28728</v>
      </c>
      <c r="F421" s="16" t="n">
        <v>1419</v>
      </c>
      <c r="G421" s="16" t="n">
        <v>3036.5</v>
      </c>
      <c r="H421" s="15" t="inlineStr">
        <is>
          <t>Car#418</t>
        </is>
      </c>
      <c r="I421" s="16">
        <f>E421-E420</f>
        <v/>
      </c>
      <c r="J421" s="16">
        <f>I421-58</f>
        <v/>
      </c>
      <c r="K421" s="16">
        <f>MAX(0,J421)</f>
        <v/>
      </c>
      <c r="L421" s="16">
        <f>MAX(0,-J421)</f>
        <v/>
      </c>
      <c r="M421" s="16">
        <f>M420+I421</f>
        <v/>
      </c>
      <c r="N421" s="16">
        <f>D421+F421-E421</f>
        <v/>
      </c>
      <c r="O421" s="15" t="inlineStr">
        <is>
          <t>能力超目标：四轮定位上、下</t>
        </is>
      </c>
      <c r="P421" s="15" t="inlineStr">
        <is>
          <t>ST1 引取(开:27309.0s 加:56.0s 等前:2949.0s 等后:0.0s) | ST2 集约(开:27365.0s 加:111.0s 等前:0.0s 等后:0.0s) | ST3 空气悬挂+快充(开:27476.0s 加:108.5s 等前:0.0s 等后:0.0s) | ST4 四轮定位上、下(开:27584.5s 加:120.5s 等前:0.0s 等后:0.0s) | ST5 ADAS(开:27705.0s 加:107.0s 等前:0.0s 等后:23.0s) | ST6 ARHUD+慢充(开:27835.0s 加:51.5s 等前:0.0s 等后:63.0s) | ST7 转毂(开:27949.5s 加:114.5s 等前:0.0s 等后:0.0s) | ST8 制动(开:28064.0s 加:114.0s 等前:0.0s 等后:0.0s) | ST9 EG漏液/底盘漏液(开:28178.0s 加:112.5s 等前:0.0s 等后:0.0s) | ST10 全景/空调检查(开:28290.5s 加:0.0s 等前:0.0s 等后:1.5s) | ST11 气囊安装+绝缘(开:28292.0s 加:116.0s 等前:0.0s 等后:0.0s) | ST12 L2++(开:28408.0s 加:88.0s 等前:0.0s 等后:0.0s) | ST13 电检1(开:28496.0s 加:84.5s 等前:0.0s 等后:0.0s) | ST14 电检2(开:28580.5s 加:97.5s 等前:0.0s 等后:0.0s) | ST15 小跑道(开:28678.0s 加:50.0s 等前:0.0s 等后:0.0s)</t>
        </is>
      </c>
    </row>
    <row r="422">
      <c r="A422" s="13" t="n">
        <v>421</v>
      </c>
      <c r="B422" s="13" t="inlineStr">
        <is>
          <t>Car#420</t>
        </is>
      </c>
      <c r="C422" s="13" t="inlineStr">
        <is>
          <t>C</t>
        </is>
      </c>
      <c r="D422" s="14" t="n">
        <v>27244.5</v>
      </c>
      <c r="E422" s="14" t="n">
        <v>28778</v>
      </c>
      <c r="F422" s="14" t="n">
        <v>1533.5</v>
      </c>
      <c r="G422" s="14" t="n">
        <v>3052.5</v>
      </c>
      <c r="H422" s="13" t="inlineStr">
        <is>
          <t>Car#421</t>
        </is>
      </c>
      <c r="I422" s="14">
        <f>E422-E421</f>
        <v/>
      </c>
      <c r="J422" s="14">
        <f>I422-58</f>
        <v/>
      </c>
      <c r="K422" s="14">
        <f>MAX(0,J422)</f>
        <v/>
      </c>
      <c r="L422" s="14">
        <f>MAX(0,-J422)</f>
        <v/>
      </c>
      <c r="M422" s="14">
        <f>M421+I422</f>
        <v/>
      </c>
      <c r="N422" s="14">
        <f>D422+F422-E422</f>
        <v/>
      </c>
      <c r="O422" s="13" t="inlineStr">
        <is>
          <t>能力超目标：四轮定位上、下、ARHUD+慢充</t>
        </is>
      </c>
      <c r="P422" s="13" t="inlineStr">
        <is>
          <t>ST1 引取(开:27244.5s 加:56.0s 等前:2942.5s 等后:8.5s) | ST2 集约(开:27309.0s 加:111.0s 等前:0.0s 等后:22.0s) | ST3 空气悬挂+快充(开:27442.0s 加:108.5s 等前:0.0s 等后:35.0s) | ST4 四轮定位上、下(开:27585.5s 加:120.5s 等前:0.0s 等后:0.0s) | ST5 ADAS(开:27706.0s 加:107.0s 等前:0.0s 等后:30.5s) | ST6 ARHUD+慢充(开:27843.5s 加:143.5s 等前:0.0s 等后:0.0s) | ST7 转毂(开:27987.0s 加:114.5s 等前:0.0s 等后:0.0s) | ST8 制动(开:28101.5s 加:114.0s 等前:0.0s 等后:0.0s) | ST9 EG漏液/底盘漏液(开:28215.5s 加:112.5s 等前:0.0s 等后:0.0s) | ST10 全景/空调检查(开:28328.0s 加:0.0s 等前:0.0s 等后:0.0s) | ST11 气囊安装+绝缘(开:28328.0s 加:116.0s 等前:0.0s 等后:0.0s) | ST12 L2++(开:28444.0s 加:88.0s 等前:0.0s 等后:0.0s) | ST13 电检1(开:28532.0s 加:84.5s 等前:0.0s 等后:0.0s) | ST14 电检2(开:28616.5s 加:97.5s 等前:0.0s 等后:14.0s) | ST15 小跑道(开:28728.0s 加:50.0s 等前:0.0s 等后:0.0s)</t>
        </is>
      </c>
    </row>
    <row r="423">
      <c r="A423" s="15" t="n">
        <v>422</v>
      </c>
      <c r="B423" s="15" t="inlineStr">
        <is>
          <t>Car#423</t>
        </is>
      </c>
      <c r="C423" s="15" t="inlineStr">
        <is>
          <t>B</t>
        </is>
      </c>
      <c r="D423" s="16" t="n">
        <v>27442</v>
      </c>
      <c r="E423" s="16" t="n">
        <v>28844</v>
      </c>
      <c r="F423" s="16" t="n">
        <v>1402</v>
      </c>
      <c r="G423" s="16" t="n">
        <v>3036.5</v>
      </c>
      <c r="H423" s="15" t="inlineStr">
        <is>
          <t>Car#420</t>
        </is>
      </c>
      <c r="I423" s="16">
        <f>E423-E422</f>
        <v/>
      </c>
      <c r="J423" s="16">
        <f>I423-58</f>
        <v/>
      </c>
      <c r="K423" s="16">
        <f>MAX(0,J423)</f>
        <v/>
      </c>
      <c r="L423" s="16">
        <f>MAX(0,-J423)</f>
        <v/>
      </c>
      <c r="M423" s="16">
        <f>M422+I423</f>
        <v/>
      </c>
      <c r="N423" s="16">
        <f>D423+F423-E423</f>
        <v/>
      </c>
      <c r="O423" s="15" t="inlineStr">
        <is>
          <t>能力超目标：四轮定位上、下</t>
        </is>
      </c>
      <c r="P423" s="15" t="inlineStr">
        <is>
          <t>ST1 引取(开:27442.0s 加:56.0s 等前:2966.0s 等后:0.0s) | ST2 集约(开:27498.0s 加:111.0s 等前:0.0s 等后:0.0s) | ST3 空气悬挂+快充(开:27609.0s 加:108.5s 等前:0.0s 等后:0.0s) | ST4 四轮定位上、下(开:27717.5s 加:120.5s 等前:0.0s 等后:0.0s) | ST5 ADAS(开:27838.0s 加:107.0s 等前:0.0s 等后:4.5s) | ST6 ARHUD+慢充(开:27949.5s 加:51.5s 等前:0.0s 等后:63.0s) | ST7 转毂(开:28064.0s 加:114.5s 等前:0.0s 等后:0.0s) | ST8 制动(开:28178.5s 加:114.0s 等前:0.0s 等后:0.0s) | ST9 EG漏液/底盘漏液(开:28292.5s 加:112.5s 等前:0.0s 等后:0.0s) | ST10 全景/空调检查(开:28405.0s 加:0.0s 等前:0.0s 等后:3.0s) | ST11 气囊安装+绝缘(开:28408.0s 加:116.0s 等前:0.0s 等后:0.0s) | ST12 L2++(开:28524.0s 加:88.0s 等前:0.0s 等后:0.0s) | ST13 电检1(开:28612.0s 加:84.5s 等前:0.0s 等后:0.0s) | ST14 电检2(开:28696.5s 加:97.5s 等前:0.0s 等后:0.0s) | ST15 小跑道(开:28794.0s 加:50.0s 等前:0.0s 等后:0.0s)</t>
        </is>
      </c>
    </row>
    <row r="424">
      <c r="A424" s="13" t="n">
        <v>423</v>
      </c>
      <c r="B424" s="13" t="inlineStr">
        <is>
          <t>Car#425</t>
        </is>
      </c>
      <c r="C424" s="13" t="inlineStr">
        <is>
          <t>A</t>
        </is>
      </c>
      <c r="D424" s="14" t="n">
        <v>27585.5</v>
      </c>
      <c r="E424" s="14" t="n">
        <v>28895</v>
      </c>
      <c r="F424" s="14" t="n">
        <v>1309.5</v>
      </c>
      <c r="G424" s="14" t="n">
        <v>3442</v>
      </c>
      <c r="H424" s="13" t="inlineStr">
        <is>
          <t>Car#423</t>
        </is>
      </c>
      <c r="I424" s="14">
        <f>E424-E423</f>
        <v/>
      </c>
      <c r="J424" s="14">
        <f>I424-58</f>
        <v/>
      </c>
      <c r="K424" s="14">
        <f>MAX(0,J424)</f>
        <v/>
      </c>
      <c r="L424" s="14">
        <f>MAX(0,-J424)</f>
        <v/>
      </c>
      <c r="M424" s="14">
        <f>M423+I424</f>
        <v/>
      </c>
      <c r="N424" s="14">
        <f>D424+F424-E424</f>
        <v/>
      </c>
      <c r="O424" s="13" t="inlineStr">
        <is>
          <t>能力满足</t>
        </is>
      </c>
      <c r="P424" s="13" t="inlineStr">
        <is>
          <t>ST1 引取(开:27585.5s 加:55.0s 等前:2993.5s 等后:0.0s) | ST2 集约(开:27640.5s 加:106.0s 等前:0.0s 等后:0.0s) | ST3 空气悬挂+快充(开:27746.5s 加:0.0s 等前:0.0s 等后:91.5s) | ST4 四轮定位上、下(开:27838.0s 加:115.0s 等前:0.0s 等后:0.0s) | ST5 ADAS(开:27953.0s 加:97.0s 等前:0.0s 等后:14.0s) | ST6 ARHUD+慢充(开:28064.0s 加:0.0s 等前:0.0s 等后:114.5s) | ST7 转毂(开:28178.5s 加:116.0s 等前:0.0s 等后:0.0s) | ST8 制动(开:28294.5s 加:108.0s 等前:0.0s 等后:2.5s) | ST9 EG漏液/底盘漏液(开:28405.0s 加:115.0s 等前:0.0s 等后:0.0s) | ST10 全景/空调检查(开:28520.0s 加:98.0s 等前:0.0s 等后:0.0s) | ST11 气囊安装+绝缘(开:28618.0s 加:0.0s 等前:0.0s 等后:0.0s) | ST12 L2++(开:28618.0s 加:0.0s 等前:0.0s 等后:78.5s) | ST13 电检1(开:28696.5s 加:0.0s 等前:0.0s 等后:97.5s) | ST14 电检2(开:28794.0s 加:0.0s 等前:0.0s 等后:50.0s) | ST15 小跑道(开:28844.0s 加:51.0s 等前:0.0s 等后:0.0s)</t>
        </is>
      </c>
    </row>
    <row r="425">
      <c r="A425" s="15" t="n">
        <v>424</v>
      </c>
      <c r="B425" s="15" t="inlineStr">
        <is>
          <t>Car#422</t>
        </is>
      </c>
      <c r="C425" s="15" t="inlineStr">
        <is>
          <t>B</t>
        </is>
      </c>
      <c r="D425" s="16" t="n">
        <v>27365</v>
      </c>
      <c r="E425" s="16" t="n">
        <v>28945</v>
      </c>
      <c r="F425" s="16" t="n">
        <v>1580</v>
      </c>
      <c r="G425" s="16" t="n">
        <v>3195.5</v>
      </c>
      <c r="H425" s="15" t="inlineStr">
        <is>
          <t>Car#425</t>
        </is>
      </c>
      <c r="I425" s="16">
        <f>E425-E424</f>
        <v/>
      </c>
      <c r="J425" s="16">
        <f>I425-58</f>
        <v/>
      </c>
      <c r="K425" s="16">
        <f>MAX(0,J425)</f>
        <v/>
      </c>
      <c r="L425" s="16">
        <f>MAX(0,-J425)</f>
        <v/>
      </c>
      <c r="M425" s="16">
        <f>M424+I425</f>
        <v/>
      </c>
      <c r="N425" s="16">
        <f>D425+F425-E425</f>
        <v/>
      </c>
      <c r="O425" s="15" t="inlineStr">
        <is>
          <t>能力超目标：四轮定位上、下</t>
        </is>
      </c>
      <c r="P425" s="15" t="inlineStr">
        <is>
          <t>ST1 引取(开:27365.0s 加:56.0s 等前:2947.0s 等后:21.0s) | ST2 集约(开:27442.0s 加:111.0s 等前:0.0s 等后:32.5s) | ST3 空气悬挂+快充(开:27585.5s 加:108.5s 等前:0.0s 等后:12.0s) | ST4 四轮定位上、下(开:27706.0s 加:120.5s 等前:0.0s 等后:17.0s) | ST5 ADAS(开:27843.5s 加:107.0s 等前:0.0s 等后:36.5s) | ST6 ARHUD+慢充(开:27987.0s 加:51.5s 等前:0.0s 等后:63.0s) | ST7 转毂(开:28101.5s 加:114.5s 等前:0.0s 等后:0.0s) | ST8 制动(开:28216.0s 加:114.0s 等前:0.0s 等后:0.0s) | ST9 EG漏液/底盘漏液(开:28330.0s 加:112.5s 等前:0.0s 等后:0.0s) | ST10 全景/空调检查(开:28442.5s 加:0.0s 等前:0.0s 等后:1.5s) | ST11 气囊安装+绝缘(开:28444.0s 加:116.0s 等前:0.0s 等后:0.0s) | ST12 L2++(开:28560.0s 加:88.0s 等前:0.0s 等后:0.0s) | ST13 电检1(开:28648.0s 加:84.5s 等前:0.0s 等后:0.0s) | ST14 电检2(开:28732.5s 加:97.5s 等前:0.0s 等后:65.0s) | ST15 小跑道(开:28895.0s 加:50.0s 等前:0.0s 等后:0.0s)</t>
        </is>
      </c>
    </row>
    <row r="426">
      <c r="A426" s="13" t="n">
        <v>425</v>
      </c>
      <c r="B426" s="13" t="inlineStr">
        <is>
          <t>Car#424</t>
        </is>
      </c>
      <c r="C426" s="13" t="inlineStr">
        <is>
          <t>C</t>
        </is>
      </c>
      <c r="D426" s="14" t="n">
        <v>27498</v>
      </c>
      <c r="E426" s="14" t="n">
        <v>29042.5</v>
      </c>
      <c r="F426" s="14" t="n">
        <v>1544.5</v>
      </c>
      <c r="G426" s="14" t="n">
        <v>3085</v>
      </c>
      <c r="H426" s="13" t="inlineStr">
        <is>
          <t>Car#422</t>
        </is>
      </c>
      <c r="I426" s="14">
        <f>E426-E425</f>
        <v/>
      </c>
      <c r="J426" s="14">
        <f>I426-58</f>
        <v/>
      </c>
      <c r="K426" s="14">
        <f>MAX(0,J426)</f>
        <v/>
      </c>
      <c r="L426" s="14">
        <f>MAX(0,-J426)</f>
        <v/>
      </c>
      <c r="M426" s="14">
        <f>M425+I426</f>
        <v/>
      </c>
      <c r="N426" s="14">
        <f>D426+F426-E426</f>
        <v/>
      </c>
      <c r="O426" s="13" t="inlineStr">
        <is>
          <t>能力超目标：四轮定位上、下、ARHUD+慢充</t>
        </is>
      </c>
      <c r="P426" s="13" t="inlineStr">
        <is>
          <t>ST1 引取(开:27498.0s 加:56.0s 等前:2964.0s 等后:31.5s) | ST2 集约(开:27585.5s 加:111.0s 等前:0.0s 等后:9.5s) | ST3 空气悬挂+快充(开:27706.0s 加:108.5s 等前:0.0s 等后:29.0s) | ST4 四轮定位上、下(开:27843.5s 加:120.5s 等前:0.0s 等后:23.0s) | ST5 ADAS(开:27987.0s 加:107.0s 等前:0.0s 等后:7.5s) | ST6 ARHUD+慢充(开:28101.5s 加:143.5s 等前:0.0s 等后:0.0s) | ST7 转毂(开:28245.0s 加:114.5s 等前:0.0s 等后:0.0s) | ST8 制动(开:28359.5s 加:114.0s 等前:0.0s 等后:0.0s) | ST9 EG漏液/底盘漏液(开:28473.5s 加:112.5s 等前:0.0s 等后:0.0s) | ST10 全景/空调检查(开:28586.0s 加:0.0s 等前:0.0s 等后:0.0s) | ST11 气囊安装+绝缘(开:28586.0s 加:116.0s 等前:0.0s 等后:0.0s) | ST12 L2++(开:28702.0s 加:88.0s 等前:0.0s 等后:0.0s) | ST13 电检1(开:28790.0s 加:84.5s 等前:0.0s 等后:20.5s) | ST14 电检2(开:28895.0s 加:97.5s 等前:0.0s 等后:0.0s) | ST15 小跑道(开:28992.5s 加:50.0s 等前:0.0s 等后:0.0s)</t>
        </is>
      </c>
    </row>
    <row r="427">
      <c r="A427" s="15" t="n">
        <v>426</v>
      </c>
      <c r="B427" s="15" t="inlineStr">
        <is>
          <t>Car#427</t>
        </is>
      </c>
      <c r="C427" s="15" t="inlineStr">
        <is>
          <t>C</t>
        </is>
      </c>
      <c r="D427" s="16" t="n">
        <v>27706</v>
      </c>
      <c r="E427" s="16" t="n">
        <v>29129.5</v>
      </c>
      <c r="F427" s="16" t="n">
        <v>1423.5</v>
      </c>
      <c r="G427" s="16" t="n">
        <v>2998</v>
      </c>
      <c r="H427" s="15" t="inlineStr">
        <is>
          <t>Car#424</t>
        </is>
      </c>
      <c r="I427" s="16">
        <f>E427-E426</f>
        <v/>
      </c>
      <c r="J427" s="16">
        <f>I427-58</f>
        <v/>
      </c>
      <c r="K427" s="16">
        <f>MAX(0,J427)</f>
        <v/>
      </c>
      <c r="L427" s="16">
        <f>MAX(0,-J427)</f>
        <v/>
      </c>
      <c r="M427" s="16">
        <f>M426+I427</f>
        <v/>
      </c>
      <c r="N427" s="16">
        <f>D427+F427-E427</f>
        <v/>
      </c>
      <c r="O427" s="15" t="inlineStr">
        <is>
          <t>能力超目标：四轮定位上、下、ARHUD+慢充</t>
        </is>
      </c>
      <c r="P427" s="15" t="inlineStr">
        <is>
          <t>ST1 引取(开:27706.0s 加:56.0s 等前:2998.0s 等后:0.0s) | ST2 集约(开:27762.0s 加:111.0s 等前:0.0s 等后:0.0s) | ST3 空气悬挂+快充(开:27873.0s 加:108.5s 等前:0.0s 等后:0.0s) | ST4 四轮定位上、下(开:27981.5s 加:120.5s 等前:0.0s 等后:0.0s) | ST5 ADAS(开:28102.0s 加:107.0s 等前:0.0s 等后:0.0s) | ST6 ARHUD+慢充(开:28209.0s 加:143.5s 等前:0.0s 等后:0.0s) | ST7 转毂(开:28352.5s 加:114.5s 等前:0.0s 等后:0.0s) | ST8 制动(开:28467.0s 加:114.0s 等前:0.0s 等后:0.0s) | ST9 EG漏液/底盘漏液(开:28581.0s 加:112.5s 等前:0.0s 等后:0.0s) | ST10 全景/空调检查(开:28693.5s 加:0.0s 等前:0.0s 等后:0.0s) | ST11 气囊安装+绝缘(开:28693.5s 加:116.0s 等前:0.0s 等后:0.0s) | ST12 L2++(开:28809.5s 加:88.0s 等前:0.0s 等后:0.0s) | ST13 电检1(开:28897.5s 加:84.5s 等前:0.0s 等后:0.0s) | ST14 电检2(开:28982.0s 加:97.5s 等前:0.0s 等后:0.0s) | ST15 小跑道(开:29079.5s 加:50.0s 等前:0.0s 等后:0.0s)</t>
        </is>
      </c>
    </row>
    <row r="428">
      <c r="A428" s="13" t="n">
        <v>427</v>
      </c>
      <c r="B428" s="13" t="inlineStr">
        <is>
          <t>Car#429</t>
        </is>
      </c>
      <c r="C428" s="13" t="inlineStr">
        <is>
          <t>A</t>
        </is>
      </c>
      <c r="D428" s="14" t="n">
        <v>27843.5</v>
      </c>
      <c r="E428" s="14" t="n">
        <v>29180.5</v>
      </c>
      <c r="F428" s="14" t="n">
        <v>1337</v>
      </c>
      <c r="G428" s="14" t="n">
        <v>3495.5</v>
      </c>
      <c r="H428" s="13" t="inlineStr">
        <is>
          <t>Car#427</t>
        </is>
      </c>
      <c r="I428" s="14">
        <f>E428-E427</f>
        <v/>
      </c>
      <c r="J428" s="14">
        <f>I428-58</f>
        <v/>
      </c>
      <c r="K428" s="14">
        <f>MAX(0,J428)</f>
        <v/>
      </c>
      <c r="L428" s="14">
        <f>MAX(0,-J428)</f>
        <v/>
      </c>
      <c r="M428" s="14">
        <f>M427+I428</f>
        <v/>
      </c>
      <c r="N428" s="14">
        <f>D428+F428-E428</f>
        <v/>
      </c>
      <c r="O428" s="13" t="inlineStr">
        <is>
          <t>能力满足</t>
        </is>
      </c>
      <c r="P428" s="13" t="inlineStr">
        <is>
          <t>ST1 引取(开:27843.5s 加:55.0s 等前:3019.5s 等后:0.0s) | ST2 集约(开:27898.5s 加:106.0s 等前:0.0s 等后:0.0s) | ST3 空气悬挂+快充(开:28004.5s 加:0.0s 等前:0.0s 等后:97.5s) | ST4 四轮定位上、下(开:28102.0s 加:115.0s 等前:0.0s 等后:0.0s) | ST5 ADAS(开:28217.0s 加:97.0s 等前:0.0s 等后:38.5s) | ST6 ARHUD+慢充(开:28352.5s 加:0.0s 等前:0.0s 等后:114.5s) | ST7 转毂(开:28467.0s 加:116.0s 等前:0.0s 等后:0.0s) | ST8 制动(开:28583.0s 加:108.0s 等前:0.0s 等后:2.5s) | ST9 EG漏液/底盘漏液(开:28693.5s 加:115.0s 等前:0.0s 等后:0.0s) | ST10 全景/空调检查(开:28808.5s 加:98.0s 等前:0.0s 等后:0.0s) | ST11 气囊安装+绝缘(开:28906.5s 加:0.0s 等前:0.0s 等后:0.0s) | ST12 L2++(开:28906.5s 加:0.0s 等前:0.0s 等后:75.5s) | ST13 电检1(开:28982.0s 加:0.0s 等前:0.0s 等后:97.5s) | ST14 电检2(开:29079.5s 加:0.0s 等前:0.0s 等后:50.0s) | ST15 小跑道(开:29129.5s 加:51.0s 等前:0.0s 等后:0.0s)</t>
        </is>
      </c>
    </row>
    <row r="429">
      <c r="A429" s="15" t="n">
        <v>428</v>
      </c>
      <c r="B429" s="15" t="inlineStr">
        <is>
          <t>Car#426</t>
        </is>
      </c>
      <c r="C429" s="15" t="inlineStr">
        <is>
          <t>C</t>
        </is>
      </c>
      <c r="D429" s="16" t="n">
        <v>27640.5</v>
      </c>
      <c r="E429" s="16" t="n">
        <v>29230.5</v>
      </c>
      <c r="F429" s="16" t="n">
        <v>1590</v>
      </c>
      <c r="G429" s="16" t="n">
        <v>3157</v>
      </c>
      <c r="H429" s="15" t="inlineStr">
        <is>
          <t>Car#429</t>
        </is>
      </c>
      <c r="I429" s="16">
        <f>E429-E428</f>
        <v/>
      </c>
      <c r="J429" s="16">
        <f>I429-58</f>
        <v/>
      </c>
      <c r="K429" s="16">
        <f>MAX(0,J429)</f>
        <v/>
      </c>
      <c r="L429" s="16">
        <f>MAX(0,-J429)</f>
        <v/>
      </c>
      <c r="M429" s="16">
        <f>M428+I429</f>
        <v/>
      </c>
      <c r="N429" s="16">
        <f>D429+F429-E429</f>
        <v/>
      </c>
      <c r="O429" s="15" t="inlineStr">
        <is>
          <t>能力超目标：四轮定位上、下、ARHUD+慢充</t>
        </is>
      </c>
      <c r="P429" s="15" t="inlineStr">
        <is>
          <t>ST1 引取(开:27640.5s 加:56.0s 等前:2990.5s 等后:9.5s) | ST2 集约(开:27706.0s 加:111.0s 等前:0.0s 等后:26.5s) | ST3 空气悬挂+快充(开:27843.5s 加:108.5s 等前:0.0s 等后:35.0s) | ST4 四轮定位上、下(开:27987.0s 加:120.5s 等前:0.0s 等后:0.0s) | ST5 ADAS(开:28107.5s 加:107.0s 等前:0.0s 等后:30.5s) | ST6 ARHUD+慢充(开:28245.0s 加:143.5s 等前:0.0s 等后:0.0s) | ST7 转毂(开:28388.5s 加:114.5s 等前:0.0s 等后:0.0s) | ST8 制动(开:28503.0s 加:114.0s 等前:0.0s 等后:0.0s) | ST9 EG漏液/底盘漏液(开:28617.0s 加:112.5s 等前:0.0s 等后:0.0s) | ST10 全景/空调检查(开:28729.5s 加:0.0s 等前:0.0s 等后:0.0s) | ST11 气囊安装+绝缘(开:28729.5s 加:116.0s 等前:0.0s 等后:0.0s) | ST12 L2++(开:28845.5s 加:88.0s 等前:0.0s 等后:0.0s) | ST13 电检1(开:28933.5s 加:84.5s 等前:0.0s 等后:0.0s) | ST14 电检2(开:29018.0s 加:97.5s 等前:0.0s 等后:65.0s) | ST15 小跑道(开:29180.5s 加:50.0s 等前:0.0s 等后:0.0s)</t>
        </is>
      </c>
    </row>
    <row r="430">
      <c r="A430" s="13" t="n">
        <v>429</v>
      </c>
      <c r="B430" s="13" t="inlineStr">
        <is>
          <t>Car#431</t>
        </is>
      </c>
      <c r="C430" s="13" t="inlineStr">
        <is>
          <t>A</t>
        </is>
      </c>
      <c r="D430" s="14" t="n">
        <v>27987</v>
      </c>
      <c r="E430" s="14" t="n">
        <v>29281.5</v>
      </c>
      <c r="F430" s="14" t="n">
        <v>1294.5</v>
      </c>
      <c r="G430" s="14" t="n">
        <v>3480.5</v>
      </c>
      <c r="H430" s="13" t="inlineStr">
        <is>
          <t>Car#426</t>
        </is>
      </c>
      <c r="I430" s="14">
        <f>E430-E429</f>
        <v/>
      </c>
      <c r="J430" s="14">
        <f>I430-58</f>
        <v/>
      </c>
      <c r="K430" s="14">
        <f>MAX(0,J430)</f>
        <v/>
      </c>
      <c r="L430" s="14">
        <f>MAX(0,-J430)</f>
        <v/>
      </c>
      <c r="M430" s="14">
        <f>M429+I430</f>
        <v/>
      </c>
      <c r="N430" s="14">
        <f>D430+F430-E430</f>
        <v/>
      </c>
      <c r="O430" s="13" t="inlineStr">
        <is>
          <t>能力满足</t>
        </is>
      </c>
      <c r="P430" s="13" t="inlineStr">
        <is>
          <t>ST1 引取(开:27987.0s 加:55.0s 等前:3047.0s 等后:0.0s) | ST2 集约(开:28042.0s 加:106.0s 等前:0.0s 等后:0.0s) | ST3 空气悬挂+快充(开:28148.0s 加:0.0s 等前:0.0s 等后:69.0s) | ST4 四轮定位上、下(开:28217.0s 加:115.0s 等前:0.0s 等后:20.5s) | ST5 ADAS(开:28352.5s 加:97.0s 等前:0.0s 等后:17.5s) | ST6 ARHUD+慢充(开:28467.0s 加:0.0s 等前:0.0s 等后:116.0s) | ST7 转毂(开:28583.0s 加:116.0s 等前:0.0s 等后:0.0s) | ST8 制动(开:28699.0s 加:108.0s 等前:0.0s 等后:1.5s) | ST9 EG漏液/底盘漏液(开:28808.5s 加:115.0s 等前:0.0s 等后:0.0s) | ST10 全景/空调检查(开:28923.5s 加:98.0s 等前:0.0s 等后:0.0s) | ST11 气囊安装+绝缘(开:29021.5s 加:0.0s 等前:0.0s 等后:0.0s) | ST12 L2++(开:29021.5s 加:0.0s 等前:0.0s 等后:58.0s) | ST13 电检1(开:29079.5s 加:0.0s 等前:0.0s 等后:50.0s) | ST14 电检2(开:29129.5s 加:0.0s 等前:0.0s 等后:101.0s) | ST15 小跑道(开:29230.5s 加:51.0s 等前:0.0s 等后:0.0s)</t>
        </is>
      </c>
    </row>
    <row r="431">
      <c r="A431" s="15" t="n">
        <v>430</v>
      </c>
      <c r="B431" s="15" t="inlineStr">
        <is>
          <t>Car#428</t>
        </is>
      </c>
      <c r="C431" s="15" t="inlineStr">
        <is>
          <t>C</t>
        </is>
      </c>
      <c r="D431" s="16" t="n">
        <v>27762</v>
      </c>
      <c r="E431" s="16" t="n">
        <v>29331.5</v>
      </c>
      <c r="F431" s="16" t="n">
        <v>1569.5</v>
      </c>
      <c r="G431" s="16" t="n">
        <v>3142</v>
      </c>
      <c r="H431" s="15" t="inlineStr">
        <is>
          <t>Car#431</t>
        </is>
      </c>
      <c r="I431" s="16">
        <f>E431-E430</f>
        <v/>
      </c>
      <c r="J431" s="16">
        <f>I431-58</f>
        <v/>
      </c>
      <c r="K431" s="16">
        <f>MAX(0,J431)</f>
        <v/>
      </c>
      <c r="L431" s="16">
        <f>MAX(0,-J431)</f>
        <v/>
      </c>
      <c r="M431" s="16">
        <f>M430+I431</f>
        <v/>
      </c>
      <c r="N431" s="16">
        <f>D431+F431-E431</f>
        <v/>
      </c>
      <c r="O431" s="15" t="inlineStr">
        <is>
          <t>能力超目标：四轮定位上、下、ARHUD+慢充</t>
        </is>
      </c>
      <c r="P431" s="15" t="inlineStr">
        <is>
          <t>ST1 引取(开:27762.0s 加:56.0s 等前:2996.0s 等后:25.5s) | ST2 集约(开:27843.5s 加:111.0s 等前:0.0s 等后:32.5s) | ST3 空气悬挂+快充(开:27987.0s 加:108.5s 等前:0.0s 等后:12.0s) | ST4 四轮定位上、下(开:28107.5s 加:120.5s 等前:0.0s 等后:17.0s) | ST5 ADAS(开:28245.0s 加:107.0s 等前:0.0s 等后:36.5s) | ST6 ARHUD+慢充(开:28388.5s 加:143.5s 等前:0.0s 等后:0.0s) | ST7 转毂(开:28532.0s 加:114.5s 等前:0.0s 等后:0.0s) | ST8 制动(开:28646.5s 加:114.0s 等前:0.0s 等后:0.0s) | ST9 EG漏液/底盘漏液(开:28760.5s 加:112.5s 等前:0.0s 等后:0.0s) | ST10 全景/空调检查(开:28873.0s 加:0.0s 等前:0.0s 等后:0.0s) | ST11 气囊安装+绝缘(开:28873.0s 加:116.0s 等前:0.0s 等后:0.0s) | ST12 L2++(开:28989.0s 加:88.0s 等前:0.0s 等后:0.0s) | ST13 电检1(开:29077.0s 加:84.5s 等前:0.0s 等后:19.0s) | ST14 电检2(开:29180.5s 加:97.5s 等前:0.0s 等后:3.5s) | ST15 小跑道(开:29281.5s 加:50.0s 等前:0.0s 等后:0.0s)</t>
        </is>
      </c>
    </row>
    <row r="432">
      <c r="A432" s="13" t="n">
        <v>431</v>
      </c>
      <c r="B432" s="13" t="inlineStr">
        <is>
          <t>Car#430</t>
        </is>
      </c>
      <c r="C432" s="13" t="inlineStr">
        <is>
          <t>A</t>
        </is>
      </c>
      <c r="D432" s="14" t="n">
        <v>27898.5</v>
      </c>
      <c r="E432" s="14" t="n">
        <v>29382.5</v>
      </c>
      <c r="F432" s="14" t="n">
        <v>1484</v>
      </c>
      <c r="G432" s="14" t="n">
        <v>3639.5</v>
      </c>
      <c r="H432" s="13" t="inlineStr">
        <is>
          <t>Car#428</t>
        </is>
      </c>
      <c r="I432" s="14">
        <f>E432-E431</f>
        <v/>
      </c>
      <c r="J432" s="14">
        <f>I432-58</f>
        <v/>
      </c>
      <c r="K432" s="14">
        <f>MAX(0,J432)</f>
        <v/>
      </c>
      <c r="L432" s="14">
        <f>MAX(0,-J432)</f>
        <v/>
      </c>
      <c r="M432" s="14">
        <f>M431+I432</f>
        <v/>
      </c>
      <c r="N432" s="14">
        <f>D432+F432-E432</f>
        <v/>
      </c>
      <c r="O432" s="13" t="inlineStr">
        <is>
          <t>能力满足</t>
        </is>
      </c>
      <c r="P432" s="13" t="inlineStr">
        <is>
          <t>ST1 引取(开:27898.5s 加:55.0s 等前:3016.5s 等后:33.5s) | ST2 集约(开:27987.0s 加:106.0s 等前:0.0s 等后:14.5s) | ST3 空气悬挂+快充(开:28107.5s 加:0.0s 等前:0.0s 等后:137.5s) | ST4 四轮定位上、下(开:28245.0s 加:115.0s 等前:0.0s 等后:28.5s) | ST5 ADAS(开:28388.5s 加:97.0s 等前:0.0s 等后:46.5s) | ST6 ARHUD+慢充(开:28532.0s 加:0.0s 等前:0.0s 等后:114.5s) | ST7 转毂(开:28646.5s 加:116.0s 等前:0.0s 等后:0.0s) | ST8 制动(开:28762.5s 加:108.0s 等前:0.0s 等后:2.5s) | ST9 EG漏液/底盘漏液(开:28873.0s 加:115.0s 等前:0.0s 等后:0.0s) | ST10 全景/空调检查(开:28988.0s 加:98.0s 等前:0.0s 等后:0.0s) | ST11 气囊安装+绝缘(开:29086.0s 加:0.0s 等前:0.0s 等后:0.0s) | ST12 L2++(开:29086.0s 加:0.0s 等前:0.0s 等后:94.5s) | ST13 电检1(开:29180.5s 加:0.0s 等前:0.0s 等后:101.0s) | ST14 电检2(开:29281.5s 加:0.0s 等前:0.0s 等后:50.0s) | ST15 小跑道(开:29331.5s 加:51.0s 等前:0.0s 等后:0.0s)</t>
        </is>
      </c>
    </row>
    <row r="433">
      <c r="A433" s="15" t="n">
        <v>432</v>
      </c>
      <c r="B433" s="15" t="inlineStr">
        <is>
          <t>Car#433</t>
        </is>
      </c>
      <c r="C433" s="15" t="inlineStr">
        <is>
          <t>C</t>
        </is>
      </c>
      <c r="D433" s="16" t="n">
        <v>28107.5</v>
      </c>
      <c r="E433" s="16" t="n">
        <v>29531</v>
      </c>
      <c r="F433" s="16" t="n">
        <v>1423.5</v>
      </c>
      <c r="G433" s="16" t="n">
        <v>3051.5</v>
      </c>
      <c r="H433" s="15" t="inlineStr">
        <is>
          <t>Car#430</t>
        </is>
      </c>
      <c r="I433" s="16">
        <f>E433-E432</f>
        <v/>
      </c>
      <c r="J433" s="16">
        <f>I433-58</f>
        <v/>
      </c>
      <c r="K433" s="16">
        <f>MAX(0,J433)</f>
        <v/>
      </c>
      <c r="L433" s="16">
        <f>MAX(0,-J433)</f>
        <v/>
      </c>
      <c r="M433" s="16">
        <f>M432+I433</f>
        <v/>
      </c>
      <c r="N433" s="16">
        <f>D433+F433-E433</f>
        <v/>
      </c>
      <c r="O433" s="15" t="inlineStr">
        <is>
          <t>能力超目标：四轮定位上、下、ARHUD+慢充</t>
        </is>
      </c>
      <c r="P433" s="15" t="inlineStr">
        <is>
          <t>ST1 引取(开:28107.5s 加:56.0s 等前:3051.5s 等后:0.0s) | ST2 集约(开:28163.5s 加:111.0s 等前:0.0s 等后:0.0s) | ST3 空气悬挂+快充(开:28274.5s 加:108.5s 等前:0.0s 等后:0.0s) | ST4 四轮定位上、下(开:28383.0s 加:120.5s 等前:0.0s 等后:0.0s) | ST5 ADAS(开:28503.5s 加:107.0s 等前:0.0s 等后:0.0s) | ST6 ARHUD+慢充(开:28610.5s 加:143.5s 等前:0.0s 等后:0.0s) | ST7 转毂(开:28754.0s 加:114.5s 等前:0.0s 等后:0.0s) | ST8 制动(开:28868.5s 加:114.0s 等前:0.0s 等后:0.0s) | ST9 EG漏液/底盘漏液(开:28982.5s 加:112.5s 等前:0.0s 等后:0.0s) | ST10 全景/空调检查(开:29095.0s 加:0.0s 等前:0.0s 等后:0.0s) | ST11 气囊安装+绝缘(开:29095.0s 加:116.0s 等前:0.0s 等后:0.0s) | ST12 L2++(开:29211.0s 加:88.0s 等前:0.0s 等后:0.0s) | ST13 电检1(开:29299.0s 加:84.5s 等前:0.0s 等后:0.0s) | ST14 电检2(开:29383.5s 加:97.5s 等前:0.0s 等后:0.0s) | ST15 小跑道(开:29481.0s 加:50.0s 等前:0.0s 等后:0.0s)</t>
        </is>
      </c>
    </row>
    <row r="434">
      <c r="A434" s="13" t="n">
        <v>433</v>
      </c>
      <c r="B434" s="13" t="inlineStr">
        <is>
          <t>Car#432</t>
        </is>
      </c>
      <c r="C434" s="13" t="inlineStr">
        <is>
          <t>B</t>
        </is>
      </c>
      <c r="D434" s="14" t="n">
        <v>28042</v>
      </c>
      <c r="E434" s="14" t="n">
        <v>29581</v>
      </c>
      <c r="F434" s="14" t="n">
        <v>1539</v>
      </c>
      <c r="G434" s="14" t="n">
        <v>3251.5</v>
      </c>
      <c r="H434" s="13" t="inlineStr">
        <is>
          <t>Car#433</t>
        </is>
      </c>
      <c r="I434" s="14">
        <f>E434-E433</f>
        <v/>
      </c>
      <c r="J434" s="14">
        <f>I434-58</f>
        <v/>
      </c>
      <c r="K434" s="14">
        <f>MAX(0,J434)</f>
        <v/>
      </c>
      <c r="L434" s="14">
        <f>MAX(0,-J434)</f>
        <v/>
      </c>
      <c r="M434" s="14">
        <f>M433+I434</f>
        <v/>
      </c>
      <c r="N434" s="14">
        <f>D434+F434-E434</f>
        <v/>
      </c>
      <c r="O434" s="13" t="inlineStr">
        <is>
          <t>能力超目标：四轮定位上、下</t>
        </is>
      </c>
      <c r="P434" s="13" t="inlineStr">
        <is>
          <t>ST1 引取(开:28042.0s 加:56.0s 等前:3044.0s 等后:9.5s) | ST2 集约(开:28107.5s 加:111.0s 等前:0.0s 等后:26.5s) | ST3 空气悬挂+快充(开:28245.0s 加:108.5s 等前:0.0s 等后:35.0s) | ST4 四轮定位上、下(开:28388.5s 加:120.5s 等前:0.0s 等后:23.0s) | ST5 ADAS(开:28532.0s 加:107.0s 等前:0.0s 等后:7.5s) | ST6 ARHUD+慢充(开:28646.5s 加:51.5s 等前:0.0s 等后:64.5s) | ST7 转毂(开:28762.5s 加:114.5s 等前:0.0s 等后:0.0s) | ST8 制动(开:28877.0s 加:114.0s 等前:0.0s 等后:0.0s) | ST9 EG漏液/底盘漏液(开:28991.0s 加:112.5s 等前:0.0s 等后:0.0s) | ST10 全景/空调检查(开:29103.5s 加:0.0s 等前:0.0s 等后:0.0s) | ST11 气囊安装+绝缘(开:29103.5s 加:116.0s 等前:0.0s 等后:0.0s) | ST12 L2++(开:29219.5s 加:88.0s 等前:0.0s 等后:0.0s) | ST13 电检1(开:29307.5s 加:84.5s 等前:0.0s 等后:0.0s) | ST14 电检2(开:29392.0s 加:97.5s 等前:0.0s 等后:41.5s) | ST15 小跑道(开:29531.0s 加:50.0s 等前:0.0s 等后:0.0s)</t>
        </is>
      </c>
    </row>
    <row r="435">
      <c r="A435" s="15" t="n">
        <v>434</v>
      </c>
      <c r="B435" s="15" t="inlineStr">
        <is>
          <t>Car#435</t>
        </is>
      </c>
      <c r="C435" s="15" t="inlineStr">
        <is>
          <t>C</t>
        </is>
      </c>
      <c r="D435" s="16" t="n">
        <v>28245</v>
      </c>
      <c r="E435" s="16" t="n">
        <v>29674.5</v>
      </c>
      <c r="F435" s="16" t="n">
        <v>1429.5</v>
      </c>
      <c r="G435" s="16" t="n">
        <v>3079</v>
      </c>
      <c r="H435" s="15" t="inlineStr">
        <is>
          <t>Car#432</t>
        </is>
      </c>
      <c r="I435" s="16">
        <f>E435-E434</f>
        <v/>
      </c>
      <c r="J435" s="16">
        <f>I435-58</f>
        <v/>
      </c>
      <c r="K435" s="16">
        <f>MAX(0,J435)</f>
        <v/>
      </c>
      <c r="L435" s="16">
        <f>MAX(0,-J435)</f>
        <v/>
      </c>
      <c r="M435" s="16">
        <f>M434+I435</f>
        <v/>
      </c>
      <c r="N435" s="16">
        <f>D435+F435-E435</f>
        <v/>
      </c>
      <c r="O435" s="15" t="inlineStr">
        <is>
          <t>能力超目标：四轮定位上、下、ARHUD+慢充</t>
        </is>
      </c>
      <c r="P435" s="15" t="inlineStr">
        <is>
          <t>ST1 引取(开:28245.0s 加:56.0s 等前:3073.0s 等后:0.0s) | ST2 集约(开:28301.0s 加:111.0s 等前:0.0s 等后:0.0s) | ST3 空气悬挂+快充(开:28412.0s 加:108.5s 等前:0.0s 等后:0.0s) | ST4 四轮定位上、下(开:28520.5s 加:120.5s 等前:0.0s 等后:0.0s) | ST5 ADAS(开:28641.0s 加:107.0s 等前:0.0s 等后:6.0s) | ST6 ARHUD+慢充(开:28754.0s 加:143.5s 等前:0.0s 等后:0.0s) | ST7 转毂(开:28897.5s 加:114.5s 等前:0.0s 等后:0.0s) | ST8 制动(开:29012.0s 加:114.0s 等前:0.0s 等后:0.0s) | ST9 EG漏液/底盘漏液(开:29126.0s 加:112.5s 等前:0.0s 等后:0.0s) | ST10 全景/空调检查(开:29238.5s 加:0.0s 等前:0.0s 等后:0.0s) | ST11 气囊安装+绝缘(开:29238.5s 加:116.0s 等前:0.0s 等后:0.0s) | ST12 L2++(开:29354.5s 加:88.0s 等前:0.0s 等后:0.0s) | ST13 电检1(开:29442.5s 加:84.5s 等前:0.0s 等后:0.0s) | ST14 电检2(开:29527.0s 加:97.5s 等前:0.0s 等后:0.0s) | ST15 小跑道(开:29624.5s 加:50.0s 等前:0.0s 等后:0.0s)</t>
        </is>
      </c>
    </row>
    <row r="436">
      <c r="A436" s="13" t="n">
        <v>435</v>
      </c>
      <c r="B436" s="13" t="inlineStr">
        <is>
          <t>Car#434</t>
        </is>
      </c>
      <c r="C436" s="13" t="inlineStr">
        <is>
          <t>C</t>
        </is>
      </c>
      <c r="D436" s="14" t="n">
        <v>28163.5</v>
      </c>
      <c r="E436" s="14" t="n">
        <v>29724.5</v>
      </c>
      <c r="F436" s="14" t="n">
        <v>1561</v>
      </c>
      <c r="G436" s="14" t="n">
        <v>3187</v>
      </c>
      <c r="H436" s="13" t="inlineStr">
        <is>
          <t>Car#435</t>
        </is>
      </c>
      <c r="I436" s="14">
        <f>E436-E435</f>
        <v/>
      </c>
      <c r="J436" s="14">
        <f>I436-58</f>
        <v/>
      </c>
      <c r="K436" s="14">
        <f>MAX(0,J436)</f>
        <v/>
      </c>
      <c r="L436" s="14">
        <f>MAX(0,-J436)</f>
        <v/>
      </c>
      <c r="M436" s="14">
        <f>M435+I436</f>
        <v/>
      </c>
      <c r="N436" s="14">
        <f>D436+F436-E436</f>
        <v/>
      </c>
      <c r="O436" s="13" t="inlineStr">
        <is>
          <t>能力超目标：四轮定位上、下、ARHUD+慢充</t>
        </is>
      </c>
      <c r="P436" s="13" t="inlineStr">
        <is>
          <t>ST1 引取(开:28163.5s 加:56.0s 等前:3049.5s 等后:25.5s) | ST2 集约(开:28245.0s 加:111.0s 等前:0.0s 等后:32.5s) | ST3 空气悬挂+快充(开:28388.5s 加:108.5s 等前:0.0s 等后:35.0s) | ST4 四轮定位上、下(开:28532.0s 加:120.5s 等前:0.0s 等后:0.0s) | ST5 ADAS(开:28652.5s 加:107.0s 等前:0.0s 等后:3.0s) | ST6 ARHUD+慢充(开:28762.5s 加:143.5s 等前:0.0s 等后:0.0s) | ST7 转毂(开:28906.0s 加:114.5s 等前:0.0s 等后:0.0s) | ST8 制动(开:29020.5s 加:114.0s 等前:0.0s 等后:0.0s) | ST9 EG漏液/底盘漏液(开:29134.5s 加:112.5s 等前:0.0s 等后:0.0s) | ST10 全景/空调检查(开:29247.0s 加:0.0s 等前:0.0s 等后:0.0s) | ST11 气囊安装+绝缘(开:29247.0s 加:116.0s 等前:0.0s 等后:0.0s) | ST12 L2++(开:29363.0s 加:88.0s 等前:0.0s 等后:0.0s) | ST13 电检1(开:29451.0s 加:84.5s 等前:0.0s 等后:0.0s) | ST14 电检2(开:29535.5s 加:97.5s 等前:0.0s 等后:41.5s) | ST15 小跑道(开:29674.5s 加:50.0s 等前:0.0s 等后:0.0s)</t>
        </is>
      </c>
    </row>
    <row r="437">
      <c r="A437" s="15" t="n">
        <v>436</v>
      </c>
      <c r="B437" s="15" t="inlineStr">
        <is>
          <t>Car#437</t>
        </is>
      </c>
      <c r="C437" s="15" t="inlineStr">
        <is>
          <t>B</t>
        </is>
      </c>
      <c r="D437" s="16" t="n">
        <v>28388.5</v>
      </c>
      <c r="E437" s="16" t="n">
        <v>29790.5</v>
      </c>
      <c r="F437" s="16" t="n">
        <v>1402</v>
      </c>
      <c r="G437" s="16" t="n">
        <v>3171</v>
      </c>
      <c r="H437" s="15" t="inlineStr">
        <is>
          <t>Car#434</t>
        </is>
      </c>
      <c r="I437" s="16">
        <f>E437-E436</f>
        <v/>
      </c>
      <c r="J437" s="16">
        <f>I437-58</f>
        <v/>
      </c>
      <c r="K437" s="16">
        <f>MAX(0,J437)</f>
        <v/>
      </c>
      <c r="L437" s="16">
        <f>MAX(0,-J437)</f>
        <v/>
      </c>
      <c r="M437" s="16">
        <f>M436+I437</f>
        <v/>
      </c>
      <c r="N437" s="16">
        <f>D437+F437-E437</f>
        <v/>
      </c>
      <c r="O437" s="15" t="inlineStr">
        <is>
          <t>能力超目标：四轮定位上、下</t>
        </is>
      </c>
      <c r="P437" s="15" t="inlineStr">
        <is>
          <t>ST1 引取(开:28388.5s 加:56.0s 等前:3100.5s 等后:0.0s) | ST2 集约(开:28444.5s 加:111.0s 等前:0.0s 等后:0.0s) | ST3 空气悬挂+快充(开:28555.5s 加:108.5s 等前:0.0s 等后:0.0s) | ST4 四轮定位上、下(开:28664.0s 加:120.5s 等前:0.0s 等后:0.0s) | ST5 ADAS(开:28784.5s 加:107.0s 等前:0.0s 等后:6.0s) | ST6 ARHUD+慢充(开:28897.5s 加:51.5s 等前:0.0s 等后:63.0s) | ST7 转毂(开:29012.0s 加:114.5s 等前:0.0s 等后:0.0s) | ST8 制动(开:29126.5s 加:114.0s 等前:0.0s 等后:0.0s) | ST9 EG漏液/底盘漏液(开:29240.5s 加:112.5s 等前:0.0s 等后:0.0s) | ST10 全景/空调检查(开:29353.0s 加:0.0s 等前:0.0s 等后:1.5s) | ST11 气囊安装+绝缘(开:29354.5s 加:116.0s 等前:0.0s 等后:0.0s) | ST12 L2++(开:29470.5s 加:88.0s 等前:0.0s 等后:0.0s) | ST13 电检1(开:29558.5s 加:84.5s 等前:0.0s 等后:0.0s) | ST14 电检2(开:29643.0s 加:97.5s 等前:0.0s 等后:0.0s) | ST15 小跑道(开:29740.5s 加:50.0s 等前:0.0s 等后:0.0s)</t>
        </is>
      </c>
    </row>
    <row r="438">
      <c r="A438" s="13" t="n">
        <v>437</v>
      </c>
      <c r="B438" s="13" t="inlineStr">
        <is>
          <t>Car#436</t>
        </is>
      </c>
      <c r="C438" s="13" t="inlineStr">
        <is>
          <t>B</t>
        </is>
      </c>
      <c r="D438" s="14" t="n">
        <v>28301</v>
      </c>
      <c r="E438" s="14" t="n">
        <v>29840.5</v>
      </c>
      <c r="F438" s="14" t="n">
        <v>1539.5</v>
      </c>
      <c r="G438" s="14" t="n">
        <v>3279</v>
      </c>
      <c r="H438" s="13" t="inlineStr">
        <is>
          <t>Car#437</t>
        </is>
      </c>
      <c r="I438" s="14">
        <f>E438-E437</f>
        <v/>
      </c>
      <c r="J438" s="14">
        <f>I438-58</f>
        <v/>
      </c>
      <c r="K438" s="14">
        <f>MAX(0,J438)</f>
        <v/>
      </c>
      <c r="L438" s="14">
        <f>MAX(0,-J438)</f>
        <v/>
      </c>
      <c r="M438" s="14">
        <f>M437+I438</f>
        <v/>
      </c>
      <c r="N438" s="14">
        <f>D438+F438-E438</f>
        <v/>
      </c>
      <c r="O438" s="13" t="inlineStr">
        <is>
          <t>能力超目标：四轮定位上、下</t>
        </is>
      </c>
      <c r="P438" s="13" t="inlineStr">
        <is>
          <t>ST1 引取(开:28301.0s 加:56.0s 等前:3071.0s 等后:31.5s) | ST2 集约(开:28388.5s 加:111.0s 等前:0.0s 等后:32.5s) | ST3 空气悬挂+快充(开:28532.0s 加:108.5s 等前:0.0s 等后:12.0s) | ST4 四轮定位上、下(开:28652.5s 加:120.5s 等前:0.0s 等后:0.0s) | ST5 ADAS(开:28773.0s 加:107.0s 等前:0.0s 等后:26.0s) | ST6 ARHUD+慢充(开:28906.0s 加:51.5s 等前:0.0s 等后:63.0s) | ST7 转毂(开:29020.5s 加:114.5s 等前:0.0s 等后:0.0s) | ST8 制动(开:29135.0s 加:114.0s 等前:0.0s 等后:0.0s) | ST9 EG漏液/底盘漏液(开:29249.0s 加:112.5s 等前:0.0s 等后:0.0s) | ST10 全景/空调检查(开:29361.5s 加:0.0s 等前:0.0s 等后:1.5s) | ST11 气囊安装+绝缘(开:29363.0s 加:116.0s 等前:0.0s 等后:0.0s) | ST12 L2++(开:29479.0s 加:88.0s 等前:0.0s 等后:0.0s) | ST13 电检1(开:29567.0s 加:84.5s 等前:0.0s 等后:23.0s) | ST14 电检2(开:29674.5s 加:97.5s 等前:0.0s 等后:18.5s) | ST15 小跑道(开:29790.5s 加:50.0s 等前:0.0s 等后:0.0s)</t>
        </is>
      </c>
    </row>
    <row r="439">
      <c r="A439" s="15" t="n">
        <v>438</v>
      </c>
      <c r="B439" s="15" t="inlineStr">
        <is>
          <t>Car#438</t>
        </is>
      </c>
      <c r="C439" s="15" t="inlineStr">
        <is>
          <t>B</t>
        </is>
      </c>
      <c r="D439" s="16" t="n">
        <v>28444.5</v>
      </c>
      <c r="E439" s="16" t="n">
        <v>29938</v>
      </c>
      <c r="F439" s="16" t="n">
        <v>1493.5</v>
      </c>
      <c r="G439" s="16" t="n">
        <v>3260.5</v>
      </c>
      <c r="H439" s="15" t="inlineStr">
        <is>
          <t>Car#436</t>
        </is>
      </c>
      <c r="I439" s="16">
        <f>E439-E438</f>
        <v/>
      </c>
      <c r="J439" s="16">
        <f>I439-58</f>
        <v/>
      </c>
      <c r="K439" s="16">
        <f>MAX(0,J439)</f>
        <v/>
      </c>
      <c r="L439" s="16">
        <f>MAX(0,-J439)</f>
        <v/>
      </c>
      <c r="M439" s="16">
        <f>M438+I439</f>
        <v/>
      </c>
      <c r="N439" s="16">
        <f>D439+F439-E439</f>
        <v/>
      </c>
      <c r="O439" s="15" t="inlineStr">
        <is>
          <t>能力超目标：四轮定位上、下</t>
        </is>
      </c>
      <c r="P439" s="15" t="inlineStr">
        <is>
          <t>ST1 引取(开:28444.5s 加:56.0s 等前:3098.5s 等后:31.5s) | ST2 集约(开:28532.0s 加:111.0s 等前:0.0s 等后:9.5s) | ST3 空气悬挂+快充(开:28652.5s 加:108.5s 等前:0.0s 等后:12.0s) | ST4 四轮定位上、下(开:28773.0s 加:120.5s 等前:0.0s 等后:12.5s) | ST5 ADAS(开:28906.0s 加:107.0s 等前:0.0s 等后:7.5s) | ST6 ARHUD+慢充(开:29020.5s 加:51.5s 等前:0.0s 等后:63.0s) | ST7 转毂(开:29135.0s 加:114.5s 等前:0.0s 等后:0.0s) | ST8 制动(开:29249.5s 加:114.0s 等前:0.0s 等后:0.0s) | ST9 EG漏液/底盘漏液(开:29363.5s 加:112.5s 等前:0.0s 等后:0.0s) | ST10 全景/空调检查(开:29476.0s 加:0.0s 等前:0.0s 等后:3.0s) | ST11 气囊安装+绝缘(开:29479.0s 加:116.0s 等前:0.0s 等后:0.0s) | ST12 L2++(开:29595.0s 加:88.0s 等前:0.0s 等后:0.0s) | ST13 电检1(开:29683.0s 加:84.5s 等前:0.0s 等后:23.0s) | ST14 电检2(开:29790.5s 加:97.5s 等前:0.0s 等后:0.0s) | ST15 小跑道(开:29888.0s 加:50.0s 等前:0.0s 等后:0.0s)</t>
        </is>
      </c>
    </row>
    <row r="440">
      <c r="A440" s="13" t="n">
        <v>439</v>
      </c>
      <c r="B440" s="13" t="inlineStr">
        <is>
          <t>Car#439</t>
        </is>
      </c>
      <c r="C440" s="13" t="inlineStr">
        <is>
          <t>C</t>
        </is>
      </c>
      <c r="D440" s="14" t="n">
        <v>28532</v>
      </c>
      <c r="E440" s="14" t="n">
        <v>29988</v>
      </c>
      <c r="F440" s="14" t="n">
        <v>1456</v>
      </c>
      <c r="G440" s="14" t="n">
        <v>3160.5</v>
      </c>
      <c r="H440" s="13" t="inlineStr">
        <is>
          <t>Car#438</t>
        </is>
      </c>
      <c r="I440" s="14">
        <f>E440-E439</f>
        <v/>
      </c>
      <c r="J440" s="14">
        <f>I440-58</f>
        <v/>
      </c>
      <c r="K440" s="14">
        <f>MAX(0,J440)</f>
        <v/>
      </c>
      <c r="L440" s="14">
        <f>MAX(0,-J440)</f>
        <v/>
      </c>
      <c r="M440" s="14">
        <f>M439+I440</f>
        <v/>
      </c>
      <c r="N440" s="14">
        <f>D440+F440-E440</f>
        <v/>
      </c>
      <c r="O440" s="13" t="inlineStr">
        <is>
          <t>能力超目标：四轮定位上、下、ARHUD+慢充</t>
        </is>
      </c>
      <c r="P440" s="13" t="inlineStr">
        <is>
          <t>ST1 引取(开:28532.0s 加:56.0s 等前:3128.0s 等后:0.0s) | ST2 集约(开:28588.0s 加:111.0s 等前:0.0s 等后:0.0s) | ST3 空气悬挂+快充(开:28699.0s 加:108.5s 等前:0.0s 等后:0.0s) | ST4 四轮定位上、下(开:28807.5s 加:120.5s 等前:0.0s 等后:0.0s) | ST5 ADAS(开:28928.0s 加:107.0s 等前:0.0s 等后:0.0s) | ST6 ARHUD+慢充(开:29035.0s 加:143.5s 等前:0.0s 等后:0.0s) | ST7 转毂(开:29178.5s 加:114.5s 等前:0.0s 等后:0.0s) | ST8 制动(开:29293.0s 加:114.0s 等前:0.0s 等后:0.0s) | ST9 EG漏液/底盘漏液(开:29407.0s 加:112.5s 等前:0.0s 等后:0.0s) | ST10 全景/空调检查(开:29519.5s 加:0.0s 等前:0.0s 等后:0.0s) | ST11 气囊安装+绝缘(开:29519.5s 加:116.0s 等前:0.0s 等后:0.0s) | ST12 L2++(开:29635.5s 加:88.0s 等前:0.0s 等后:0.0s) | ST13 电检1(开:29723.5s 加:84.5s 等前:0.0s 等后:0.0s) | ST14 电检2(开:29808.0s 加:97.5s 等前:0.0s 等后:32.5s) | ST15 小跑道(开:29938.0s 加:50.0s 等前:0.0s 等后:0.0s)</t>
        </is>
      </c>
    </row>
    <row r="441">
      <c r="A441" s="15" t="n">
        <v>440</v>
      </c>
      <c r="B441" s="15" t="inlineStr">
        <is>
          <t>Car#441</t>
        </is>
      </c>
      <c r="C441" s="15" t="inlineStr">
        <is>
          <t>A</t>
        </is>
      </c>
      <c r="D441" s="16" t="n">
        <v>28652.5</v>
      </c>
      <c r="E441" s="16" t="n">
        <v>30039</v>
      </c>
      <c r="F441" s="16" t="n">
        <v>1386.5</v>
      </c>
      <c r="G441" s="16" t="n">
        <v>3658</v>
      </c>
      <c r="H441" s="15" t="inlineStr">
        <is>
          <t>Car#439</t>
        </is>
      </c>
      <c r="I441" s="16">
        <f>E441-E440</f>
        <v/>
      </c>
      <c r="J441" s="16">
        <f>I441-58</f>
        <v/>
      </c>
      <c r="K441" s="16">
        <f>MAX(0,J441)</f>
        <v/>
      </c>
      <c r="L441" s="16">
        <f>MAX(0,-J441)</f>
        <v/>
      </c>
      <c r="M441" s="16">
        <f>M440+I441</f>
        <v/>
      </c>
      <c r="N441" s="16">
        <f>D441+F441-E441</f>
        <v/>
      </c>
      <c r="O441" s="15" t="inlineStr">
        <is>
          <t>能力满足</t>
        </is>
      </c>
      <c r="P441" s="15" t="inlineStr">
        <is>
          <t>ST1 引取(开:28652.5s 加:55.0s 等前:3132.5s 等后:0.0s) | ST2 集约(开:28707.5s 加:106.0s 等前:0.0s 等后:0.0s) | ST3 空气悬挂+快充(开:28813.5s 加:0.0s 等前:0.0s 等后:114.5s) | ST4 四轮定位上、下(开:28928.0s 加:115.0s 等前:0.0s 等后:0.0s) | ST5 ADAS(开:29043.0s 加:97.0s 等前:0.0s 等后:38.5s) | ST6 ARHUD+慢充(开:29178.5s 加:0.0s 等前:0.0s 等后:114.5s) | ST7 转毂(开:29293.0s 加:116.0s 等前:0.0s 等后:0.0s) | ST8 制动(开:29409.0s 加:108.0s 等前:0.0s 等后:2.5s) | ST9 EG漏液/底盘漏液(开:29519.5s 加:115.0s 等前:0.0s 等后:0.0s) | ST10 全景/空调检查(开:29634.5s 加:98.0s 等前:0.0s 等后:0.0s) | ST11 气囊安装+绝缘(开:29732.5s 加:0.0s 等前:0.0s 等后:0.0s) | ST12 L2++(开:29732.5s 加:0.0s 等前:0.0s 等后:75.5s) | ST13 电检1(开:29808.0s 加:0.0s 等前:0.0s 等后:130.0s) | ST14 电检2(开:29938.0s 加:0.0s 等前:0.0s 等后:50.0s) | ST15 小跑道(开:29988.0s 加:51.0s 等前:0.0s 等后:0.0s)</t>
        </is>
      </c>
    </row>
    <row r="442">
      <c r="A442" s="13" t="n">
        <v>441</v>
      </c>
      <c r="B442" s="13" t="inlineStr">
        <is>
          <t>Car#440</t>
        </is>
      </c>
      <c r="C442" s="13" t="inlineStr">
        <is>
          <t>C</t>
        </is>
      </c>
      <c r="D442" s="14" t="n">
        <v>28588</v>
      </c>
      <c r="E442" s="14" t="n">
        <v>30089</v>
      </c>
      <c r="F442" s="14" t="n">
        <v>1501</v>
      </c>
      <c r="G442" s="14" t="n">
        <v>3203.5</v>
      </c>
      <c r="H442" s="13" t="inlineStr">
        <is>
          <t>Car#441</t>
        </is>
      </c>
      <c r="I442" s="14">
        <f>E442-E441</f>
        <v/>
      </c>
      <c r="J442" s="14">
        <f>I442-58</f>
        <v/>
      </c>
      <c r="K442" s="14">
        <f>MAX(0,J442)</f>
        <v/>
      </c>
      <c r="L442" s="14">
        <f>MAX(0,-J442)</f>
        <v/>
      </c>
      <c r="M442" s="14">
        <f>M441+I442</f>
        <v/>
      </c>
      <c r="N442" s="14">
        <f>D442+F442-E442</f>
        <v/>
      </c>
      <c r="O442" s="13" t="inlineStr">
        <is>
          <t>能力超目标：四轮定位上、下、ARHUD+慢充</t>
        </is>
      </c>
      <c r="P442" s="13" t="inlineStr">
        <is>
          <t>ST1 引取(开:28588.0s 加:56.0s 等前:3126.0s 等后:8.5s) | ST2 集约(开:28652.5s 加:111.0s 等前:0.0s 等后:9.5s) | ST3 空气悬挂+快充(开:28773.0s 加:108.5s 等前:0.0s 等后:24.5s) | ST4 四轮定位上、下(开:28906.0s 加:120.5s 等前:0.0s 等后:0.0s) | ST5 ADAS(开:29026.5s 加:107.0s 等前:0.0s 等后:1.5s) | ST6 ARHUD+慢充(开:29135.0s 加:143.5s 等前:0.0s 等后:0.0s) | ST7 转毂(开:29278.5s 加:114.5s 等前:0.0s 等后:0.0s) | ST8 制动(开:29393.0s 加:114.0s 等前:0.0s 等后:0.0s) | ST9 EG漏液/底盘漏液(开:29507.0s 加:112.5s 等前:0.0s 等后:0.0s) | ST10 全景/空调检查(开:29619.5s 加:0.0s 等前:0.0s 等后:0.0s) | ST11 气囊安装+绝缘(开:29619.5s 加:116.0s 等前:0.0s 等后:0.0s) | ST12 L2++(开:29735.5s 加:88.0s 等前:0.0s 等后:0.0s) | ST13 电检1(开:29823.5s 加:84.5s 等前:0.0s 等后:0.0s) | ST14 电检2(开:29908.0s 加:97.5s 等前:0.0s 等后:33.5s) | ST15 小跑道(开:30039.0s 加:50.0s 等前:0.0s 等后:0.0s)</t>
        </is>
      </c>
    </row>
    <row r="443">
      <c r="A443" s="15" t="n">
        <v>442</v>
      </c>
      <c r="B443" s="15" t="inlineStr">
        <is>
          <t>Car#442</t>
        </is>
      </c>
      <c r="C443" s="15" t="inlineStr">
        <is>
          <t>A</t>
        </is>
      </c>
      <c r="D443" s="16" t="n">
        <v>28707.5</v>
      </c>
      <c r="E443" s="16" t="n">
        <v>30140</v>
      </c>
      <c r="F443" s="16" t="n">
        <v>1432.5</v>
      </c>
      <c r="G443" s="16" t="n">
        <v>3701</v>
      </c>
      <c r="H443" s="15" t="inlineStr">
        <is>
          <t>Car#440</t>
        </is>
      </c>
      <c r="I443" s="16">
        <f>E443-E442</f>
        <v/>
      </c>
      <c r="J443" s="16">
        <f>I443-58</f>
        <v/>
      </c>
      <c r="K443" s="16">
        <f>MAX(0,J443)</f>
        <v/>
      </c>
      <c r="L443" s="16">
        <f>MAX(0,-J443)</f>
        <v/>
      </c>
      <c r="M443" s="16">
        <f>M442+I443</f>
        <v/>
      </c>
      <c r="N443" s="16">
        <f>D443+F443-E443</f>
        <v/>
      </c>
      <c r="O443" s="15" t="inlineStr">
        <is>
          <t>能力满足</t>
        </is>
      </c>
      <c r="P443" s="15" t="inlineStr">
        <is>
          <t>ST1 引取(开:28707.5s 加:55.0s 等前:3129.5s 等后:10.5s) | ST2 集约(开:28773.0s 加:106.0s 等前:0.0s 等后:27.0s) | ST3 空气悬挂+快充(开:28906.0s 加:0.0s 等前:0.0s 等后:120.5s) | ST4 四轮定位上、下(开:29026.5s 加:115.0s 等前:0.0s 等后:0.0s) | ST5 ADAS(开:29141.5s 加:97.0s 等前:0.0s 等后:40.0s) | ST6 ARHUD+慢充(开:29278.5s 加:0.0s 等前:0.0s 等后:114.5s) | ST7 转毂(开:29393.0s 加:116.0s 等前:0.0s 等后:0.0s) | ST8 制动(开:29509.0s 加:108.0s 等前:0.0s 等后:2.5s) | ST9 EG漏液/底盘漏液(开:29619.5s 加:115.0s 等前:0.0s 等后:0.0s) | ST10 全景/空调检查(开:29734.5s 加:98.0s 等前:0.0s 等后:0.0s) | ST11 气囊安装+绝缘(开:29832.5s 加:0.0s 等前:0.0s 等后:0.0s) | ST12 L2++(开:29832.5s 加:0.0s 等前:0.0s 等后:75.5s) | ST13 电检1(开:29908.0s 加:0.0s 等前:0.0s 等后:131.0s) | ST14 电检2(开:30039.0s 加:0.0s 等前:0.0s 等后:50.0s) | ST15 小跑道(开:30089.0s 加:51.0s 等前:0.0s 等后:0.0s)</t>
        </is>
      </c>
    </row>
    <row r="444">
      <c r="A444" s="13" t="n">
        <v>443</v>
      </c>
      <c r="B444" s="13" t="inlineStr">
        <is>
          <t>Car#443</t>
        </is>
      </c>
      <c r="C444" s="13" t="inlineStr">
        <is>
          <t>C</t>
        </is>
      </c>
      <c r="D444" s="14" t="n">
        <v>28773</v>
      </c>
      <c r="E444" s="14" t="n">
        <v>30213.5</v>
      </c>
      <c r="F444" s="14" t="n">
        <v>1440.5</v>
      </c>
      <c r="G444" s="14" t="n">
        <v>3154</v>
      </c>
      <c r="H444" s="13" t="inlineStr">
        <is>
          <t>Car#442</t>
        </is>
      </c>
      <c r="I444" s="14">
        <f>E444-E443</f>
        <v/>
      </c>
      <c r="J444" s="14">
        <f>I444-58</f>
        <v/>
      </c>
      <c r="K444" s="14">
        <f>MAX(0,J444)</f>
        <v/>
      </c>
      <c r="L444" s="14">
        <f>MAX(0,-J444)</f>
        <v/>
      </c>
      <c r="M444" s="14">
        <f>M443+I444</f>
        <v/>
      </c>
      <c r="N444" s="14">
        <f>D444+F444-E444</f>
        <v/>
      </c>
      <c r="O444" s="13" t="inlineStr">
        <is>
          <t>能力超目标：四轮定位上、下、ARHUD+慢充</t>
        </is>
      </c>
      <c r="P444" s="13" t="inlineStr">
        <is>
          <t>ST1 引取(开:28773.0s 加:56.0s 等前:3137.0s 等后:0.0s) | ST2 集约(开:28829.0s 加:111.0s 等前:0.0s 等后:0.0s) | ST3 空气悬挂+快充(开:28940.0s 加:108.5s 等前:0.0s 等后:0.0s) | ST4 四轮定位上、下(开:29048.5s 加:120.5s 等前:0.0s 等后:9.5s) | ST5 ADAS(开:29178.5s 加:107.0s 等前:0.0s 等后:7.5s) | ST6 ARHUD+慢充(开:29293.0s 加:143.5s 等前:0.0s 等后:0.0s) | ST7 转毂(开:29436.5s 加:114.5s 等前:0.0s 等后:0.0s) | ST8 制动(开:29551.0s 加:114.0s 等前:0.0s 等后:0.0s) | ST9 EG漏液/底盘漏液(开:29665.0s 加:112.5s 等前:0.0s 等后:0.0s) | ST10 全景/空调检查(开:29777.5s 加:0.0s 等前:0.0s 等后:0.0s) | ST11 气囊安装+绝缘(开:29777.5s 加:116.0s 等前:0.0s 等后:0.0s) | ST12 L2++(开:29893.5s 加:88.0s 等前:0.0s 等后:0.0s) | ST13 电检1(开:29981.5s 加:84.5s 等前:0.0s 等后:0.0s) | ST14 电检2(开:30066.0s 加:97.5s 等前:0.0s 等后:0.0s) | ST15 小跑道(开:30163.5s 加:50.0s 等前:0.0s 等后:0.0s)</t>
        </is>
      </c>
    </row>
    <row r="445">
      <c r="A445" s="15" t="n">
        <v>444</v>
      </c>
      <c r="B445" s="15" t="inlineStr">
        <is>
          <t>Car#444</t>
        </is>
      </c>
      <c r="C445" s="15" t="inlineStr">
        <is>
          <t>C</t>
        </is>
      </c>
      <c r="D445" s="16" t="n">
        <v>28829</v>
      </c>
      <c r="E445" s="16" t="n">
        <v>30313.5</v>
      </c>
      <c r="F445" s="16" t="n">
        <v>1484.5</v>
      </c>
      <c r="G445" s="16" t="n">
        <v>3196</v>
      </c>
      <c r="H445" s="15" t="inlineStr">
        <is>
          <t>Car#443</t>
        </is>
      </c>
      <c r="I445" s="16">
        <f>E445-E444</f>
        <v/>
      </c>
      <c r="J445" s="16">
        <f>I445-58</f>
        <v/>
      </c>
      <c r="K445" s="16">
        <f>MAX(0,J445)</f>
        <v/>
      </c>
      <c r="L445" s="16">
        <f>MAX(0,-J445)</f>
        <v/>
      </c>
      <c r="M445" s="16">
        <f>M444+I445</f>
        <v/>
      </c>
      <c r="N445" s="16">
        <f>D445+F445-E445</f>
        <v/>
      </c>
      <c r="O445" s="15" t="inlineStr">
        <is>
          <t>能力超目标：四轮定位上、下、ARHUD+慢充</t>
        </is>
      </c>
      <c r="P445" s="15" t="inlineStr">
        <is>
          <t>ST1 引取(开:28829.0s 加:56.0s 等前:3135.0s 等后:21.0s) | ST2 集约(开:28906.0s 加:111.0s 等前:0.0s 等后:9.5s) | ST3 空气悬挂+快充(开:29026.5s 加:108.5s 等前:0.0s 等后:6.5s) | ST4 四轮定位上、下(开:29141.5s 加:120.5s 等前:0.0s 等后:16.5s) | ST5 ADAS(开:29278.5s 加:107.0s 等前:0.0s 等后:7.5s) | ST6 ARHUD+慢充(开:29393.0s 加:143.5s 等前:0.0s 等后:0.0s) | ST7 转毂(开:29536.5s 加:114.5s 等前:0.0s 等后:0.0s) | ST8 制动(开:29651.0s 加:114.0s 等前:0.0s 等后:0.0s) | ST9 EG漏液/底盘漏液(开:29765.0s 加:112.5s 等前:0.0s 等后:0.0s) | ST10 全景/空调检查(开:29877.5s 加:0.0s 等前:0.0s 等后:0.0s) | ST11 气囊安装+绝缘(开:29877.5s 加:116.0s 等前:0.0s 等后:0.0s) | ST12 L2++(开:29993.5s 加:88.0s 等前:0.0s 等后:0.0s) | ST13 电检1(开:30081.5s 加:84.5s 等前:0.0s 等后:0.0s) | ST14 电检2(开:30166.0s 加:97.5s 等前:0.0s 等后:0.0s) | ST15 小跑道(开:30263.5s 加:50.0s 等前:0.0s 等后:0.0s)</t>
        </is>
      </c>
    </row>
    <row r="446">
      <c r="A446" s="13" t="n">
        <v>445</v>
      </c>
      <c r="B446" s="13" t="inlineStr">
        <is>
          <t>Car#445</t>
        </is>
      </c>
      <c r="C446" s="13" t="inlineStr">
        <is>
          <t>C</t>
        </is>
      </c>
      <c r="D446" s="14" t="n">
        <v>28906</v>
      </c>
      <c r="E446" s="14" t="n">
        <v>30363.5</v>
      </c>
      <c r="F446" s="14" t="n">
        <v>1457.5</v>
      </c>
      <c r="G446" s="14" t="n">
        <v>3188</v>
      </c>
      <c r="H446" s="13" t="inlineStr">
        <is>
          <t>Car#444</t>
        </is>
      </c>
      <c r="I446" s="14">
        <f>E446-E445</f>
        <v/>
      </c>
      <c r="J446" s="14">
        <f>I446-58</f>
        <v/>
      </c>
      <c r="K446" s="14">
        <f>MAX(0,J446)</f>
        <v/>
      </c>
      <c r="L446" s="14">
        <f>MAX(0,-J446)</f>
        <v/>
      </c>
      <c r="M446" s="14">
        <f>M445+I446</f>
        <v/>
      </c>
      <c r="N446" s="14">
        <f>D446+F446-E446</f>
        <v/>
      </c>
      <c r="O446" s="13" t="inlineStr">
        <is>
          <t>能力超目标：四轮定位上、下、ARHUD+慢充</t>
        </is>
      </c>
      <c r="P446" s="13" t="inlineStr">
        <is>
          <t>ST1 引取(开:28906.0s 加:56.0s 等前:3154.0s 等后:0.0s) | ST2 集约(开:28962.0s 加:111.0s 等前:0.0s 等后:0.0s) | ST3 空气悬挂+快充(开:29073.0s 加:108.5s 等前:0.0s 等后:0.0s) | ST4 四轮定位上、下(开:29181.5s 加:120.5s 等前:0.0s 等后:0.0s) | ST5 ADAS(开:29302.0s 加:107.0s 等前:0.0s 等后:27.5s) | ST6 ARHUD+慢充(开:29436.5s 加:143.5s 等前:0.0s 等后:0.0s) | ST7 转毂(开:29580.0s 加:114.5s 等前:0.0s 等后:0.0s) | ST8 制动(开:29694.5s 加:114.0s 等前:0.0s 等后:0.0s) | ST9 EG漏液/底盘漏液(开:29808.5s 加:112.5s 等前:0.0s 等后:0.0s) | ST10 全景/空调检查(开:29921.0s 加:0.0s 等前:0.0s 等后:0.0s) | ST11 气囊安装+绝缘(开:29921.0s 加:116.0s 等前:0.0s 等后:0.0s) | ST12 L2++(开:30037.0s 加:88.0s 等前:0.0s 等后:0.0s) | ST13 电检1(开:30125.0s 加:84.5s 等前:0.0s 等后:0.0s) | ST14 电检2(开:30209.5s 加:97.5s 等前:0.0s 等后:6.5s) | ST15 小跑道(开:30313.5s 加:50.0s 等前:0.0s 等后:0.0s)</t>
        </is>
      </c>
    </row>
    <row r="447">
      <c r="A447" s="15" t="n">
        <v>446</v>
      </c>
      <c r="B447" s="15" t="inlineStr">
        <is>
          <t>Car#446</t>
        </is>
      </c>
      <c r="C447" s="15" t="inlineStr">
        <is>
          <t>C</t>
        </is>
      </c>
      <c r="D447" s="16" t="n">
        <v>28962</v>
      </c>
      <c r="E447" s="16" t="n">
        <v>30457</v>
      </c>
      <c r="F447" s="16" t="n">
        <v>1495</v>
      </c>
      <c r="G447" s="16" t="n">
        <v>3223.5</v>
      </c>
      <c r="H447" s="15" t="inlineStr">
        <is>
          <t>Car#445</t>
        </is>
      </c>
      <c r="I447" s="16">
        <f>E447-E446</f>
        <v/>
      </c>
      <c r="J447" s="16">
        <f>I447-58</f>
        <v/>
      </c>
      <c r="K447" s="16">
        <f>MAX(0,J447)</f>
        <v/>
      </c>
      <c r="L447" s="16">
        <f>MAX(0,-J447)</f>
        <v/>
      </c>
      <c r="M447" s="16">
        <f>M446+I447</f>
        <v/>
      </c>
      <c r="N447" s="16">
        <f>D447+F447-E447</f>
        <v/>
      </c>
      <c r="O447" s="15" t="inlineStr">
        <is>
          <t>能力超目标：四轮定位上、下、ARHUD+慢充</t>
        </is>
      </c>
      <c r="P447" s="15" t="inlineStr">
        <is>
          <t>ST1 引取(开:28962.0s 加:56.0s 等前:3152.0s 等后:8.5s) | ST2 集约(开:29026.5s 加:111.0s 等前:0.0s 等后:4.0s) | ST3 空气悬挂+快充(开:29141.5s 加:108.5s 等前:0.0s 等后:28.5s) | ST4 四轮定位上、下(开:29278.5s 加:120.5s 等前:0.0s 等后:0.0s) | ST5 ADAS(开:29399.0s 加:107.0s 等前:0.0s 等后:30.5s) | ST6 ARHUD+慢充(开:29536.5s 加:143.5s 等前:0.0s 等后:0.0s) | ST7 转毂(开:29680.0s 加:114.5s 等前:0.0s 等后:0.0s) | ST8 制动(开:29794.5s 加:114.0s 等前:0.0s 等后:0.0s) | ST9 EG漏液/底盘漏液(开:29908.5s 加:112.5s 等前:0.0s 等后:0.0s) | ST10 全景/空调检查(开:30021.0s 加:0.0s 等前:0.0s 等后:0.0s) | ST11 气囊安装+绝缘(开:30021.0s 加:116.0s 等前:0.0s 等后:0.0s) | ST12 L2++(开:30137.0s 加:88.0s 等前:0.0s 等后:0.0s) | ST13 电检1(开:30225.0s 加:84.5s 等前:0.0s 等后:0.0s) | ST14 电检2(开:30309.5s 加:97.5s 等前:0.0s 等后:0.0s) | ST15 小跑道(开:30407.0s 加:50.0s 等前:0.0s 等后:0.0s)</t>
        </is>
      </c>
    </row>
    <row r="448">
      <c r="A448" s="13" t="n">
        <v>447</v>
      </c>
      <c r="B448" s="13" t="inlineStr">
        <is>
          <t>Car#447</t>
        </is>
      </c>
      <c r="C448" s="13" t="inlineStr">
        <is>
          <t>B</t>
        </is>
      </c>
      <c r="D448" s="14" t="n">
        <v>29026.5</v>
      </c>
      <c r="E448" s="14" t="n">
        <v>30507</v>
      </c>
      <c r="F448" s="14" t="n">
        <v>1480.5</v>
      </c>
      <c r="G448" s="14" t="n">
        <v>3307.5</v>
      </c>
      <c r="H448" s="13" t="inlineStr">
        <is>
          <t>Car#446</t>
        </is>
      </c>
      <c r="I448" s="14">
        <f>E448-E447</f>
        <v/>
      </c>
      <c r="J448" s="14">
        <f>I448-58</f>
        <v/>
      </c>
      <c r="K448" s="14">
        <f>MAX(0,J448)</f>
        <v/>
      </c>
      <c r="L448" s="14">
        <f>MAX(0,-J448)</f>
        <v/>
      </c>
      <c r="M448" s="14">
        <f>M447+I448</f>
        <v/>
      </c>
      <c r="N448" s="14">
        <f>D448+F448-E448</f>
        <v/>
      </c>
      <c r="O448" s="13" t="inlineStr">
        <is>
          <t>能力超目标：四轮定位上、下</t>
        </is>
      </c>
      <c r="P448" s="13" t="inlineStr">
        <is>
          <t>ST1 引取(开:29026.5s 加:56.0s 等前:3158.5s 等后:0.0s) | ST2 集约(开:29082.5s 加:111.0s 等前:0.0s 等后:0.0s) | ST3 空气悬挂+快充(开:29193.5s 加:108.5s 等前:0.0s 等后:0.0s) | ST4 四轮定位上、下(开:29302.0s 加:120.5s 等前:0.0s 等后:14.0s) | ST5 ADAS(开:29436.5s 加:107.0s 等前:0.0s 等后:36.5s) | ST6 ARHUD+慢充(开:29580.0s 加:51.5s 等前:0.0s 等后:63.0s) | ST7 转毂(开:29694.5s 加:114.5s 等前:0.0s 等后:0.0s) | ST8 制动(开:29809.0s 加:114.0s 等前:0.0s 等后:0.0s) | ST9 EG漏液/底盘漏液(开:29923.0s 加:112.5s 等前:0.0s 等后:0.0s) | ST10 全景/空调检查(开:30035.5s 加:0.0s 等前:0.0s 等后:1.5s) | ST11 气囊安装+绝缘(开:30037.0s 加:116.0s 等前:0.0s 等后:0.0s) | ST12 L2++(开:30153.0s 加:88.0s 等前:0.0s 等后:0.0s) | ST13 电检1(开:30241.0s 加:84.5s 等前:0.0s 等后:0.0s) | ST14 电检2(开:30325.5s 加:97.5s 等前:0.0s 等后:34.0s) | ST15 小跑道(开:30457.0s 加:50.0s 等前:0.0s 等后:0.0s)</t>
        </is>
      </c>
    </row>
    <row r="449">
      <c r="A449" s="15" t="n">
        <v>448</v>
      </c>
      <c r="B449" s="15" t="inlineStr">
        <is>
          <t>Car#448</t>
        </is>
      </c>
      <c r="C449" s="15" t="inlineStr">
        <is>
          <t>B</t>
        </is>
      </c>
      <c r="D449" s="16" t="n">
        <v>29082.5</v>
      </c>
      <c r="E449" s="16" t="n">
        <v>30573</v>
      </c>
      <c r="F449" s="16" t="n">
        <v>1490.5</v>
      </c>
      <c r="G449" s="16" t="n">
        <v>3315.5</v>
      </c>
      <c r="H449" s="15" t="inlineStr">
        <is>
          <t>Car#447</t>
        </is>
      </c>
      <c r="I449" s="16">
        <f>E449-E448</f>
        <v/>
      </c>
      <c r="J449" s="16">
        <f>I449-58</f>
        <v/>
      </c>
      <c r="K449" s="16">
        <f>MAX(0,J449)</f>
        <v/>
      </c>
      <c r="L449" s="16">
        <f>MAX(0,-J449)</f>
        <v/>
      </c>
      <c r="M449" s="16">
        <f>M448+I449</f>
        <v/>
      </c>
      <c r="N449" s="16">
        <f>D449+F449-E449</f>
        <v/>
      </c>
      <c r="O449" s="15" t="inlineStr">
        <is>
          <t>能力超目标：四轮定位上、下</t>
        </is>
      </c>
      <c r="P449" s="15" t="inlineStr">
        <is>
          <t>ST1 引取(开:29082.5s 加:56.0s 等前:3156.5s 等后:3.0s) | ST2 集约(开:29141.5s 加:111.0s 等前:0.0s 等后:26.0s) | ST3 空气悬挂+快充(开:29278.5s 加:108.5s 等前:0.0s 等后:12.0s) | ST4 四轮定位上、下(开:29399.0s 加:120.5s 等前:0.0s 等后:17.0s) | ST5 ADAS(开:29536.5s 加:107.0s 等前:0.0s 等后:36.5s) | ST6 ARHUD+慢充(开:29680.0s 加:51.5s 等前:0.0s 等后:63.0s) | ST7 转毂(开:29794.5s 加:114.5s 等前:0.0s 等后:0.0s) | ST8 制动(开:29909.0s 加:114.0s 等前:0.0s 等后:0.0s) | ST9 EG漏液/底盘漏液(开:30023.0s 加:112.5s 等前:0.0s 等后:0.0s) | ST10 全景/空调检查(开:30135.5s 加:0.0s 等前:0.0s 等后:1.5s) | ST11 气囊安装+绝缘(开:30137.0s 加:116.0s 等前:0.0s 等后:0.0s) | ST12 L2++(开:30253.0s 加:88.0s 等前:0.0s 等后:0.0s) | ST13 电检1(开:30341.0s 加:84.5s 等前:0.0s 等后:0.0s) | ST14 电检2(开:30425.5s 加:97.5s 等前:0.0s 等后:0.0s) | ST15 小跑道(开:30523.0s 加:50.0s 等前:0.0s 等后:0.0s)</t>
        </is>
      </c>
    </row>
    <row r="450">
      <c r="A450" s="13" t="n">
        <v>449</v>
      </c>
      <c r="B450" s="13" t="inlineStr">
        <is>
          <t>Car#450</t>
        </is>
      </c>
      <c r="C450" s="13" t="inlineStr">
        <is>
          <t>A</t>
        </is>
      </c>
      <c r="D450" s="14" t="n">
        <v>29197.5</v>
      </c>
      <c r="E450" s="14" t="n">
        <v>30624</v>
      </c>
      <c r="F450" s="14" t="n">
        <v>1426.5</v>
      </c>
      <c r="G450" s="14" t="n">
        <v>3721</v>
      </c>
      <c r="H450" s="13" t="inlineStr">
        <is>
          <t>Car#448</t>
        </is>
      </c>
      <c r="I450" s="14">
        <f>E450-E449</f>
        <v/>
      </c>
      <c r="J450" s="14">
        <f>I450-58</f>
        <v/>
      </c>
      <c r="K450" s="14">
        <f>MAX(0,J450)</f>
        <v/>
      </c>
      <c r="L450" s="14">
        <f>MAX(0,-J450)</f>
        <v/>
      </c>
      <c r="M450" s="14">
        <f>M449+I450</f>
        <v/>
      </c>
      <c r="N450" s="14">
        <f>D450+F450-E450</f>
        <v/>
      </c>
      <c r="O450" s="13" t="inlineStr">
        <is>
          <t>能力满足</t>
        </is>
      </c>
      <c r="P450" s="13" t="inlineStr">
        <is>
          <t>ST1 引取(开:29197.5s 加:55.0s 等前:3155.5s 等后:26.0s) | ST2 集约(开:29278.5s 加:106.0s 等前:0.0s 等后:14.5s) | ST3 空气悬挂+快充(开:29399.0s 加:0.0s 等前:0.0s 等后:137.5s) | ST4 四轮定位上、下(开:29536.5s 加:115.0s 等前:0.0s 等后:28.5s) | ST5 ADAS(开:29680.0s 加:97.0s 等前:0.0s 等后:17.5s) | ST6 ARHUD+慢充(开:29794.5s 加:0.0s 等前:0.0s 等后:114.5s) | ST7 转毂(开:29909.0s 加:116.0s 等前:0.0s 等后:0.0s) | ST8 制动(开:30025.0s 加:108.0s 等前:0.0s 等后:2.5s) | ST9 EG漏液/底盘漏液(开:30135.5s 加:115.0s 等前:0.0s 等后:0.0s) | ST10 全景/空调检查(开:30250.5s 加:98.0s 等前:0.0s 等后:0.0s) | ST11 气囊安装+绝缘(开:30348.5s 加:0.0s 等前:0.0s 等后:0.0s) | ST12 L2++(开:30348.5s 加:0.0s 等前:0.0s 等后:77.0s) | ST13 电检1(开:30425.5s 加:0.0s 等前:0.0s 等后:97.5s) | ST14 电检2(开:30523.0s 加:0.0s 等前:0.0s 等后:50.0s) | ST15 小跑道(开:30573.0s 加:51.0s 等前:0.0s 等后:0.0s)</t>
        </is>
      </c>
    </row>
    <row r="451">
      <c r="A451" s="15" t="n">
        <v>450</v>
      </c>
      <c r="B451" s="15" t="inlineStr">
        <is>
          <t>Car#449</t>
        </is>
      </c>
      <c r="C451" s="15" t="inlineStr">
        <is>
          <t>B</t>
        </is>
      </c>
      <c r="D451" s="16" t="n">
        <v>29141.5</v>
      </c>
      <c r="E451" s="16" t="n">
        <v>30674</v>
      </c>
      <c r="F451" s="16" t="n">
        <v>1532.5</v>
      </c>
      <c r="G451" s="16" t="n">
        <v>3358.5</v>
      </c>
      <c r="H451" s="15" t="inlineStr">
        <is>
          <t>Car#450</t>
        </is>
      </c>
      <c r="I451" s="16">
        <f>E451-E450</f>
        <v/>
      </c>
      <c r="J451" s="16">
        <f>I451-58</f>
        <v/>
      </c>
      <c r="K451" s="16">
        <f>MAX(0,J451)</f>
        <v/>
      </c>
      <c r="L451" s="16">
        <f>MAX(0,-J451)</f>
        <v/>
      </c>
      <c r="M451" s="16">
        <f>M450+I451</f>
        <v/>
      </c>
      <c r="N451" s="16">
        <f>D451+F451-E451</f>
        <v/>
      </c>
      <c r="O451" s="15" t="inlineStr">
        <is>
          <t>能力超目标：四轮定位上、下</t>
        </is>
      </c>
      <c r="P451" s="15" t="inlineStr">
        <is>
          <t>ST1 引取(开:29141.5s 加:56.0s 等前:3157.5s 等后:0.0s) | ST2 集约(开:29197.5s 加:111.0s 等前:0.0s 等后:0.0s) | ST3 空气悬挂+快充(开:29308.5s 加:108.5s 等前:0.0s 等后:19.5s) | ST4 四轮定位上、下(开:29436.5s 加:120.5s 等前:0.0s 等后:23.0s) | ST5 ADAS(开:29580.0s 加:107.0s 等前:0.0s 等后:7.5s) | ST6 ARHUD+慢充(开:29694.5s 加:51.5s 等前:0.0s 等后:63.0s) | ST7 转毂(开:29809.0s 加:114.5s 等前:0.0s 等后:0.0s) | ST8 制动(开:29923.5s 加:114.0s 等前:0.0s 等后:0.0s) | ST9 EG漏液/底盘漏液(开:30037.5s 加:112.5s 等前:0.0s 等后:0.0s) | ST10 全景/空调检查(开:30150.0s 加:0.0s 等前:0.0s 等后:3.0s) | ST11 气囊安装+绝缘(开:30153.0s 加:116.0s 等前:0.0s 等后:0.0s) | ST12 L2++(开:30269.0s 加:88.0s 等前:0.0s 等后:0.0s) | ST13 电检1(开:30357.0s 加:84.5s 等前:0.0s 等后:15.5s) | ST14 电检2(开:30457.0s 加:97.5s 等前:0.0s 等后:69.5s) | ST15 小跑道(开:30624.0s 加:50.0s 等前:0.0s 等后:0.0s)</t>
        </is>
      </c>
    </row>
    <row r="452">
      <c r="A452" s="13" t="n">
        <v>451</v>
      </c>
      <c r="B452" s="13" t="inlineStr">
        <is>
          <t>Car#451</t>
        </is>
      </c>
      <c r="C452" s="13" t="inlineStr">
        <is>
          <t>C</t>
        </is>
      </c>
      <c r="D452" s="14" t="n">
        <v>29278.5</v>
      </c>
      <c r="E452" s="14" t="n">
        <v>30771.5</v>
      </c>
      <c r="F452" s="14" t="n">
        <v>1493</v>
      </c>
      <c r="G452" s="14" t="n">
        <v>3248</v>
      </c>
      <c r="H452" s="13" t="inlineStr">
        <is>
          <t>Car#449</t>
        </is>
      </c>
      <c r="I452" s="14">
        <f>E452-E451</f>
        <v/>
      </c>
      <c r="J452" s="14">
        <f>I452-58</f>
        <v/>
      </c>
      <c r="K452" s="14">
        <f>MAX(0,J452)</f>
        <v/>
      </c>
      <c r="L452" s="14">
        <f>MAX(0,-J452)</f>
        <v/>
      </c>
      <c r="M452" s="14">
        <f>M451+I452</f>
        <v/>
      </c>
      <c r="N452" s="14">
        <f>D452+F452-E452</f>
        <v/>
      </c>
      <c r="O452" s="13" t="inlineStr">
        <is>
          <t>能力超目标：四轮定位上、下、ARHUD+慢充</t>
        </is>
      </c>
      <c r="P452" s="13" t="inlineStr">
        <is>
          <t>ST1 引取(开:29278.5s 加:56.0s 等前:3178.5s 等后:0.0s) | ST2 集约(开:29334.5s 加:111.0s 等前:0.0s 等后:0.0s) | ST3 空气悬挂+快充(开:29445.5s 加:108.5s 等前:0.0s 等后:26.0s) | ST4 四轮定位上、下(开:29580.0s 加:120.5s 等前:0.0s 等后:0.0s) | ST5 ADAS(开:29700.5s 加:107.0s 等前:0.0s 等后:1.5s) | ST6 ARHUD+慢充(开:29809.0s 加:143.5s 等前:0.0s 等后:0.0s) | ST7 转毂(开:29952.5s 加:114.5s 等前:0.0s 等后:0.0s) | ST8 制动(开:30067.0s 加:114.0s 等前:0.0s 等后:0.0s) | ST9 EG漏液/底盘漏液(开:30181.0s 加:112.5s 等前:0.0s 等后:0.0s) | ST10 全景/空调检查(开:30293.5s 加:0.0s 等前:0.0s 等后:0.0s) | ST11 气囊安装+绝缘(开:30293.5s 加:116.0s 等前:0.0s 等后:0.0s) | ST12 L2++(开:30409.5s 加:88.0s 等前:0.0s 等后:0.0s) | ST13 电检1(开:30497.5s 加:84.5s 等前:0.0s 等后:42.0s) | ST14 电检2(开:30624.0s 加:97.5s 等前:0.0s 等后:0.0s) | ST15 小跑道(开:30721.5s 加:50.0s 等前:0.0s 等后:0.0s)</t>
        </is>
      </c>
    </row>
    <row r="453">
      <c r="A453" s="15" t="n">
        <v>452</v>
      </c>
      <c r="B453" s="15" t="inlineStr">
        <is>
          <t>Car#452</t>
        </is>
      </c>
      <c r="C453" s="15" t="inlineStr">
        <is>
          <t>C</t>
        </is>
      </c>
      <c r="D453" s="16" t="n">
        <v>29334.5</v>
      </c>
      <c r="E453" s="16" t="n">
        <v>30829.5</v>
      </c>
      <c r="F453" s="16" t="n">
        <v>1495</v>
      </c>
      <c r="G453" s="16" t="n">
        <v>3248</v>
      </c>
      <c r="H453" s="15" t="inlineStr">
        <is>
          <t>Car#451</t>
        </is>
      </c>
      <c r="I453" s="16">
        <f>E453-E452</f>
        <v/>
      </c>
      <c r="J453" s="16">
        <f>I453-58</f>
        <v/>
      </c>
      <c r="K453" s="16">
        <f>MAX(0,J453)</f>
        <v/>
      </c>
      <c r="L453" s="16">
        <f>MAX(0,-J453)</f>
        <v/>
      </c>
      <c r="M453" s="16">
        <f>M452+I453</f>
        <v/>
      </c>
      <c r="N453" s="16">
        <f>D453+F453-E453</f>
        <v/>
      </c>
      <c r="O453" s="15" t="inlineStr">
        <is>
          <t>能力超目标：四轮定位上、下、ARHUD+慢充</t>
        </is>
      </c>
      <c r="P453" s="15" t="inlineStr">
        <is>
          <t>ST1 引取(开:29334.5s 加:56.0s 等前:3176.5s 等后:8.5s) | ST2 集约(开:29399.0s 加:111.0s 等前:0.0s 等后:26.5s) | ST3 空气悬挂+快充(开:29536.5s 加:108.5s 等前:0.0s 等后:35.0s) | ST4 四轮定位上、下(开:29680.0s 加:120.5s 等前:0.0s 等后:0.0s) | ST5 ADAS(开:29800.5s 加:107.0s 等前:0.0s 等后:1.5s) | ST6 ARHUD+慢充(开:29909.0s 加:143.5s 等前:0.0s 等后:0.0s) | ST7 转毂(开:30052.5s 加:114.5s 等前:0.0s 等后:0.0s) | ST8 制动(开:30167.0s 加:114.0s 等前:0.0s 等后:0.0s) | ST9 EG漏液/底盘漏液(开:30281.0s 加:112.5s 等前:0.0s 等后:0.0s) | ST10 全景/空调检查(开:30393.5s 加:0.0s 等前:0.0s 等后:0.0s) | ST11 气囊安装+绝缘(开:30393.5s 加:116.0s 等前:0.0s 等后:0.0s) | ST12 L2++(开:30509.5s 加:88.0s 等前:0.0s 等后:0.0s) | ST13 电检1(开:30597.5s 加:84.5s 等前:0.0s 等后:0.0s) | ST14 电检2(开:30682.0s 加:97.5s 等前:0.0s 等后:0.0s) | ST15 小跑道(开:30779.5s 加:50.0s 等前:0.0s 等后:0.0s)</t>
        </is>
      </c>
    </row>
    <row r="454">
      <c r="A454" s="13" t="n">
        <v>453</v>
      </c>
      <c r="B454" s="13" t="inlineStr">
        <is>
          <t>Car#454</t>
        </is>
      </c>
      <c r="C454" s="13" t="inlineStr">
        <is>
          <t>A</t>
        </is>
      </c>
      <c r="D454" s="14" t="n">
        <v>29455</v>
      </c>
      <c r="E454" s="14" t="n">
        <v>30880.5</v>
      </c>
      <c r="F454" s="14" t="n">
        <v>1425.5</v>
      </c>
      <c r="G454" s="14" t="n">
        <v>3745.5</v>
      </c>
      <c r="H454" s="13" t="inlineStr">
        <is>
          <t>Car#452</t>
        </is>
      </c>
      <c r="I454" s="14">
        <f>E454-E453</f>
        <v/>
      </c>
      <c r="J454" s="14">
        <f>I454-58</f>
        <v/>
      </c>
      <c r="K454" s="14">
        <f>MAX(0,J454)</f>
        <v/>
      </c>
      <c r="L454" s="14">
        <f>MAX(0,-J454)</f>
        <v/>
      </c>
      <c r="M454" s="14">
        <f>M453+I454</f>
        <v/>
      </c>
      <c r="N454" s="14">
        <f>D454+F454-E454</f>
        <v/>
      </c>
      <c r="O454" s="13" t="inlineStr">
        <is>
          <t>能力满足</t>
        </is>
      </c>
      <c r="P454" s="13" t="inlineStr">
        <is>
          <t>ST1 引取(开:29455.0s 加:55.0s 等前:3181.0s 等后:26.5s) | ST2 集约(开:29536.5s 加:106.0s 等前:0.0s 等后:37.5s) | ST3 空气悬挂+快充(开:29680.0s 加:0.0s 等前:0.0s 等后:120.5s) | ST4 四轮定位上、下(开:29800.5s 加:115.0s 等前:0.0s 等后:0.0s) | ST5 ADAS(开:29915.5s 加:97.0s 等前:0.0s 等后:40.0s) | ST6 ARHUD+慢充(开:30052.5s 加:0.0s 等前:0.0s 等后:114.5s) | ST7 转毂(开:30167.0s 加:116.0s 等前:0.0s 等后:0.0s) | ST8 制动(开:30283.0s 加:108.0s 等前:0.0s 等后:2.5s) | ST9 EG漏液/底盘漏液(开:30393.5s 加:115.0s 等前:0.0s 等后:0.0s) | ST10 全景/空调检查(开:30508.5s 加:98.0s 等前:0.0s 等后:0.0s) | ST11 气囊安装+绝缘(开:30606.5s 加:0.0s 等前:0.0s 等后:0.0s) | ST12 L2++(开:30606.5s 加:0.0s 等前:0.0s 等后:75.5s) | ST13 电检1(开:30682.0s 加:0.0s 等前:0.0s 等后:97.5s) | ST14 电检2(开:30779.5s 加:0.0s 等前:0.0s 等后:50.0s) | ST15 小跑道(开:30829.5s 加:51.0s 等前:0.0s 等后:0.0s)</t>
        </is>
      </c>
    </row>
    <row r="455">
      <c r="A455" s="15" t="n">
        <v>454</v>
      </c>
      <c r="B455" s="15" t="inlineStr">
        <is>
          <t>Car#453</t>
        </is>
      </c>
      <c r="C455" s="15" t="inlineStr">
        <is>
          <t>C</t>
        </is>
      </c>
      <c r="D455" s="16" t="n">
        <v>29399</v>
      </c>
      <c r="E455" s="16" t="n">
        <v>30930.5</v>
      </c>
      <c r="F455" s="16" t="n">
        <v>1531.5</v>
      </c>
      <c r="G455" s="16" t="n">
        <v>3291</v>
      </c>
      <c r="H455" s="15" t="inlineStr">
        <is>
          <t>Car#454</t>
        </is>
      </c>
      <c r="I455" s="16">
        <f>E455-E454</f>
        <v/>
      </c>
      <c r="J455" s="16">
        <f>I455-58</f>
        <v/>
      </c>
      <c r="K455" s="16">
        <f>MAX(0,J455)</f>
        <v/>
      </c>
      <c r="L455" s="16">
        <f>MAX(0,-J455)</f>
        <v/>
      </c>
      <c r="M455" s="16">
        <f>M454+I455</f>
        <v/>
      </c>
      <c r="N455" s="16">
        <f>D455+F455-E455</f>
        <v/>
      </c>
      <c r="O455" s="15" t="inlineStr">
        <is>
          <t>能力超目标：四轮定位上、下、ARHUD+慢充</t>
        </is>
      </c>
      <c r="P455" s="15" t="inlineStr">
        <is>
          <t>ST1 引取(开:29399.0s 加:56.0s 等前:3183.0s 等后:0.0s) | ST2 集约(开:29455.0s 加:111.0s 等前:0.0s 等后:14.0s) | ST3 空气悬挂+快充(开:29580.0s 加:108.5s 等前:0.0s 等后:12.0s) | ST4 四轮定位上、下(开:29700.5s 加:120.5s 等前:0.0s 等后:0.0s) | ST5 ADAS(开:29821.0s 加:107.0s 等前:0.0s 等后:24.5s) | ST6 ARHUD+慢充(开:29952.5s 加:143.5s 等前:0.0s 等后:0.0s) | ST7 转毂(开:30096.0s 加:114.5s 等前:0.0s 等后:0.0s) | ST8 制动(开:30210.5s 加:114.0s 等前:0.0s 等后:0.0s) | ST9 EG漏液/底盘漏液(开:30324.5s 加:112.5s 等前:0.0s 等后:0.0s) | ST10 全景/空调检查(开:30437.0s 加:0.0s 等前:0.0s 等后:0.0s) | ST11 气囊安装+绝缘(开:30437.0s 加:116.0s 等前:0.0s 等后:0.0s) | ST12 L2++(开:30553.0s 加:88.0s 等前:0.0s 等后:0.0s) | ST13 电检1(开:30641.0s 加:84.5s 等前:0.0s 等后:0.0s) | ST14 电检2(开:30725.5s 加:97.5s 等前:0.0s 等后:57.5s) | ST15 小跑道(开:30880.5s 加:50.0s 等前:0.0s 等后:0.0s)</t>
        </is>
      </c>
    </row>
    <row r="456">
      <c r="A456" s="13" t="n">
        <v>455</v>
      </c>
      <c r="B456" s="13" t="inlineStr">
        <is>
          <t>Car#456</t>
        </is>
      </c>
      <c r="C456" s="13" t="inlineStr">
        <is>
          <t>A</t>
        </is>
      </c>
      <c r="D456" s="14" t="n">
        <v>29591.5</v>
      </c>
      <c r="E456" s="14" t="n">
        <v>30981.5</v>
      </c>
      <c r="F456" s="14" t="n">
        <v>1390</v>
      </c>
      <c r="G456" s="14" t="n">
        <v>3730.5</v>
      </c>
      <c r="H456" s="13" t="inlineStr">
        <is>
          <t>Car#453</t>
        </is>
      </c>
      <c r="I456" s="14">
        <f>E456-E455</f>
        <v/>
      </c>
      <c r="J456" s="14">
        <f>I456-58</f>
        <v/>
      </c>
      <c r="K456" s="14">
        <f>MAX(0,J456)</f>
        <v/>
      </c>
      <c r="L456" s="14">
        <f>MAX(0,-J456)</f>
        <v/>
      </c>
      <c r="M456" s="14">
        <f>M455+I456</f>
        <v/>
      </c>
      <c r="N456" s="14">
        <f>D456+F456-E456</f>
        <v/>
      </c>
      <c r="O456" s="13" t="inlineStr">
        <is>
          <t>能力满足</t>
        </is>
      </c>
      <c r="P456" s="13" t="inlineStr">
        <is>
          <t>ST1 引取(开:29591.5s 加:55.0s 等前:3201.5s 等后:33.5s) | ST2 集约(开:29680.0s 加:106.0s 等前:0.0s 等后:14.5s) | ST3 空气悬挂+快充(开:29800.5s 加:0.0s 等前:0.0s 等后:115.0s) | ST4 四轮定位上、下(开:29915.5s 加:115.0s 等前:0.0s 等后:22.0s) | ST5 ADAS(开:30052.5s 加:97.0s 等前:0.0s 等后:17.5s) | ST6 ARHUD+慢充(开:30167.0s 加:0.0s 等前:0.0s 等后:116.0s) | ST7 转毂(开:30283.0s 加:116.0s 等前:0.0s 等后:0.0s) | ST8 制动(开:30399.0s 加:108.0s 等前:0.0s 等后:1.5s) | ST9 EG漏液/底盘漏液(开:30508.5s 加:115.0s 等前:0.0s 等后:0.0s) | ST10 全景/空调检查(开:30623.5s 加:98.0s 等前:0.0s 等后:0.0s) | ST11 气囊安装+绝缘(开:30721.5s 加:0.0s 等前:0.0s 等后:0.0s) | ST12 L2++(开:30721.5s 加:0.0s 等前:0.0s 等后:58.0s) | ST13 电检1(开:30779.5s 加:0.0s 等前:0.0s 等后:50.0s) | ST14 电检2(开:30829.5s 加:0.0s 等前:0.0s 等后:101.0s) | ST15 小跑道(开:30930.5s 加:51.0s 等前:0.0s 等后:0.0s)</t>
        </is>
      </c>
    </row>
    <row r="457">
      <c r="A457" s="15" t="n">
        <v>456</v>
      </c>
      <c r="B457" s="15" t="inlineStr">
        <is>
          <t>Car#455</t>
        </is>
      </c>
      <c r="C457" s="15" t="inlineStr">
        <is>
          <t>A</t>
        </is>
      </c>
      <c r="D457" s="16" t="n">
        <v>29536.5</v>
      </c>
      <c r="E457" s="16" t="n">
        <v>31032.5</v>
      </c>
      <c r="F457" s="16" t="n">
        <v>1496</v>
      </c>
      <c r="G457" s="16" t="n">
        <v>3839.5</v>
      </c>
      <c r="H457" s="15" t="inlineStr">
        <is>
          <t>Car#456</t>
        </is>
      </c>
      <c r="I457" s="16">
        <f>E457-E456</f>
        <v/>
      </c>
      <c r="J457" s="16">
        <f>I457-58</f>
        <v/>
      </c>
      <c r="K457" s="16">
        <f>MAX(0,J457)</f>
        <v/>
      </c>
      <c r="L457" s="16">
        <f>MAX(0,-J457)</f>
        <v/>
      </c>
      <c r="M457" s="16">
        <f>M456+I457</f>
        <v/>
      </c>
      <c r="N457" s="16">
        <f>D457+F457-E457</f>
        <v/>
      </c>
      <c r="O457" s="15" t="inlineStr">
        <is>
          <t>能力满足</t>
        </is>
      </c>
      <c r="P457" s="15" t="inlineStr">
        <is>
          <t>ST1 引取(开:29536.5s 加:55.0s 等前:3204.5s 等后:0.0s) | ST2 集约(开:29591.5s 加:106.0s 等前:0.0s 等后:3.0s) | ST3 空气悬挂+快充(开:29700.5s 加:0.0s 等前:0.0s 等后:120.5s) | ST4 四轮定位上、下(开:29821.0s 加:115.0s 等前:0.0s 等后:16.5s) | ST5 ADAS(开:29952.5s 加:97.0s 等前:0.0s 等后:46.5s) | ST6 ARHUD+慢充(开:30096.0s 加:0.0s 等前:0.0s 等后:114.5s) | ST7 转毂(开:30210.5s 加:116.0s 等前:0.0s 等后:0.0s) | ST8 制动(开:30326.5s 加:108.0s 等前:0.0s 等后:2.5s) | ST9 EG漏液/底盘漏液(开:30437.0s 加:115.0s 等前:0.0s 等后:0.0s) | ST10 全景/空调检查(开:30552.0s 加:98.0s 等前:0.0s 等后:0.0s) | ST11 气囊安装+绝缘(开:30650.0s 加:0.0s 等前:0.0s 等后:0.0s) | ST12 L2++(开:30650.0s 加:0.0s 等前:0.0s 等后:75.5s) | ST13 电检1(开:30725.5s 加:0.0s 等前:0.0s 等后:155.0s) | ST14 电检2(开:30880.5s 加:0.0s 等前:0.0s 等后:101.0s) | ST15 小跑道(开:30981.5s 加:51.0s 等前:0.0s 等后:0.0s)</t>
        </is>
      </c>
    </row>
    <row r="458">
      <c r="A458" s="13" t="n">
        <v>457</v>
      </c>
      <c r="B458" s="13" t="inlineStr">
        <is>
          <t>Car#457</t>
        </is>
      </c>
      <c r="C458" s="13" t="inlineStr">
        <is>
          <t>C</t>
        </is>
      </c>
      <c r="D458" s="14" t="n">
        <v>29680</v>
      </c>
      <c r="E458" s="14" t="n">
        <v>31131</v>
      </c>
      <c r="F458" s="14" t="n">
        <v>1451</v>
      </c>
      <c r="G458" s="14" t="n">
        <v>3259.5</v>
      </c>
      <c r="H458" s="13" t="inlineStr">
        <is>
          <t>Car#455</t>
        </is>
      </c>
      <c r="I458" s="14">
        <f>E458-E457</f>
        <v/>
      </c>
      <c r="J458" s="14">
        <f>I458-58</f>
        <v/>
      </c>
      <c r="K458" s="14">
        <f>MAX(0,J458)</f>
        <v/>
      </c>
      <c r="L458" s="14">
        <f>MAX(0,-J458)</f>
        <v/>
      </c>
      <c r="M458" s="14">
        <f>M457+I458</f>
        <v/>
      </c>
      <c r="N458" s="14">
        <f>D458+F458-E458</f>
        <v/>
      </c>
      <c r="O458" s="13" t="inlineStr">
        <is>
          <t>能力超目标：四轮定位上、下、ARHUD+慢充</t>
        </is>
      </c>
      <c r="P458" s="13" t="inlineStr">
        <is>
          <t>ST1 引取(开:29680.0s 加:56.0s 等前:3232.0s 等后:0.0s) | ST2 集约(开:29736.0s 加:111.0s 等前:0.0s 等后:0.0s) | ST3 空气悬挂+快充(开:29847.0s 加:108.5s 等前:0.0s 等后:0.0s) | ST4 四轮定位上、下(开:29955.5s 加:120.5s 等前:0.0s 等后:20.0s) | ST5 ADAS(开:30096.0s 加:107.0s 等前:0.0s 等后:7.5s) | ST6 ARHUD+慢充(开:30210.5s 加:143.5s 等前:0.0s 等后:0.0s) | ST7 转毂(开:30354.0s 加:114.5s 等前:0.0s 等后:0.0s) | ST8 制动(开:30468.5s 加:114.0s 等前:0.0s 等后:0.0s) | ST9 EG漏液/底盘漏液(开:30582.5s 加:112.5s 等前:0.0s 等后:0.0s) | ST10 全景/空调检查(开:30695.0s 加:0.0s 等前:0.0s 等后:0.0s) | ST11 气囊安装+绝缘(开:30695.0s 加:116.0s 等前:0.0s 等后:0.0s) | ST12 L2++(开:30811.0s 加:88.0s 等前:0.0s 等后:0.0s) | ST13 电检1(开:30899.0s 加:84.5s 等前:0.0s 等后:0.0s) | ST14 电检2(开:30983.5s 加:97.5s 等前:0.0s 等后:0.0s) | ST15 小跑道(开:31081.0s 加:50.0s 等前:0.0s 等后:0.0s)</t>
        </is>
      </c>
    </row>
    <row r="459">
      <c r="A459" s="15" t="n">
        <v>458</v>
      </c>
      <c r="B459" s="15" t="inlineStr">
        <is>
          <t>Car#458</t>
        </is>
      </c>
      <c r="C459" s="15" t="inlineStr">
        <is>
          <t>B</t>
        </is>
      </c>
      <c r="D459" s="16" t="n">
        <v>29736</v>
      </c>
      <c r="E459" s="16" t="n">
        <v>31181</v>
      </c>
      <c r="F459" s="16" t="n">
        <v>1445</v>
      </c>
      <c r="G459" s="16" t="n">
        <v>3343.5</v>
      </c>
      <c r="H459" s="15" t="inlineStr">
        <is>
          <t>Car#457</t>
        </is>
      </c>
      <c r="I459" s="16">
        <f>E459-E458</f>
        <v/>
      </c>
      <c r="J459" s="16">
        <f>I459-58</f>
        <v/>
      </c>
      <c r="K459" s="16">
        <f>MAX(0,J459)</f>
        <v/>
      </c>
      <c r="L459" s="16">
        <f>MAX(0,-J459)</f>
        <v/>
      </c>
      <c r="M459" s="16">
        <f>M458+I459</f>
        <v/>
      </c>
      <c r="N459" s="16">
        <f>D459+F459-E459</f>
        <v/>
      </c>
      <c r="O459" s="15" t="inlineStr">
        <is>
          <t>能力超目标：四轮定位上、下</t>
        </is>
      </c>
      <c r="P459" s="15" t="inlineStr">
        <is>
          <t>ST1 引取(开:29736.0s 加:56.0s 等前:3230.0s 等后:8.5s) | ST2 集约(开:29800.5s 加:111.0s 等前:0.0s 等后:4.0s) | ST3 空气悬挂+快充(开:29915.5s 加:108.5s 等前:0.0s 等后:28.5s) | ST4 四轮定位上、下(开:30052.5s 加:120.5s 等前:0.0s 等后:0.0s) | ST5 ADAS(开:30173.0s 加:107.0s 等前:0.0s 等后:3.0s) | ST6 ARHUD+慢充(开:30283.0s 加:51.5s 等前:0.0s 等后:64.5s) | ST7 转毂(开:30399.0s 加:114.5s 等前:0.0s 等后:0.0s) | ST8 制动(开:30513.5s 加:114.0s 等前:0.0s 等后:0.0s) | ST9 EG漏液/底盘漏液(开:30627.5s 加:112.5s 等前:0.0s 等后:0.0s) | ST10 全景/空调检查(开:30740.0s 加:0.0s 等前:0.0s 等后:0.0s) | ST11 气囊安装+绝缘(开:30740.0s 加:116.0s 等前:0.0s 等后:0.0s) | ST12 L2++(开:30856.0s 加:88.0s 等前:0.0s 等后:0.0s) | ST13 电检1(开:30944.0s 加:84.5s 等前:0.0s 等后:0.0s) | ST14 电检2(开:31028.5s 加:97.5s 等前:0.0s 等后:5.0s) | ST15 小跑道(开:31131.0s 加:50.0s 等前:0.0s 等后:0.0s)</t>
        </is>
      </c>
    </row>
    <row r="460">
      <c r="A460" s="13" t="n">
        <v>459</v>
      </c>
      <c r="B460" s="13" t="inlineStr">
        <is>
          <t>Car#459</t>
        </is>
      </c>
      <c r="C460" s="13" t="inlineStr">
        <is>
          <t>C</t>
        </is>
      </c>
      <c r="D460" s="14" t="n">
        <v>29800.5</v>
      </c>
      <c r="E460" s="14" t="n">
        <v>31274.5</v>
      </c>
      <c r="F460" s="14" t="n">
        <v>1474</v>
      </c>
      <c r="G460" s="14" t="n">
        <v>3287</v>
      </c>
      <c r="H460" s="13" t="inlineStr">
        <is>
          <t>Car#458</t>
        </is>
      </c>
      <c r="I460" s="14">
        <f>E460-E459</f>
        <v/>
      </c>
      <c r="J460" s="14">
        <f>I460-58</f>
        <v/>
      </c>
      <c r="K460" s="14">
        <f>MAX(0,J460)</f>
        <v/>
      </c>
      <c r="L460" s="14">
        <f>MAX(0,-J460)</f>
        <v/>
      </c>
      <c r="M460" s="14">
        <f>M459+I460</f>
        <v/>
      </c>
      <c r="N460" s="14">
        <f>D460+F460-E460</f>
        <v/>
      </c>
      <c r="O460" s="13" t="inlineStr">
        <is>
          <t>能力超目标：四轮定位上、下、ARHUD+慢充</t>
        </is>
      </c>
      <c r="P460" s="13" t="inlineStr">
        <is>
          <t>ST1 引取(开:29800.5s 加:56.0s 等前:3236.5s 等后:0.0s) | ST2 集约(开:29856.5s 加:111.0s 等前:0.0s 等后:0.0s) | ST3 空气悬挂+快充(开:29967.5s 加:108.5s 等前:0.0s 等后:20.0s) | ST4 四轮定位上、下(开:30096.0s 加:120.5s 等前:0.0s 等后:0.0s) | ST5 ADAS(开:30216.5s 加:107.0s 等前:0.0s 等后:30.5s) | ST6 ARHUD+慢充(开:30354.0s 加:143.5s 等前:0.0s 等后:0.0s) | ST7 转毂(开:30497.5s 加:114.5s 等前:0.0s 等后:0.0s) | ST8 制动(开:30612.0s 加:114.0s 等前:0.0s 等后:0.0s) | ST9 EG漏液/底盘漏液(开:30726.0s 加:112.5s 等前:0.0s 等后:0.0s) | ST10 全景/空调检查(开:30838.5s 加:0.0s 等前:0.0s 等后:0.0s) | ST11 气囊安装+绝缘(开:30838.5s 加:116.0s 等前:0.0s 等后:0.0s) | ST12 L2++(开:30954.5s 加:88.0s 等前:0.0s 等后:0.0s) | ST13 电检1(开:31042.5s 加:84.5s 等前:0.0s 等后:0.0s) | ST14 电检2(开:31127.0s 加:97.5s 等前:0.0s 等后:0.0s) | ST15 小跑道(开:31224.5s 加:50.0s 等前:0.0s 等后:0.0s)</t>
        </is>
      </c>
    </row>
    <row r="461">
      <c r="A461" s="15" t="n">
        <v>460</v>
      </c>
      <c r="B461" s="15" t="inlineStr">
        <is>
          <t>Car#460</t>
        </is>
      </c>
      <c r="C461" s="15" t="inlineStr">
        <is>
          <t>C</t>
        </is>
      </c>
      <c r="D461" s="16" t="n">
        <v>29856.5</v>
      </c>
      <c r="E461" s="16" t="n">
        <v>31324.5</v>
      </c>
      <c r="F461" s="16" t="n">
        <v>1468</v>
      </c>
      <c r="G461" s="16" t="n">
        <v>3279</v>
      </c>
      <c r="H461" s="15" t="inlineStr">
        <is>
          <t>Car#459</t>
        </is>
      </c>
      <c r="I461" s="16">
        <f>E461-E460</f>
        <v/>
      </c>
      <c r="J461" s="16">
        <f>I461-58</f>
        <v/>
      </c>
      <c r="K461" s="16">
        <f>MAX(0,J461)</f>
        <v/>
      </c>
      <c r="L461" s="16">
        <f>MAX(0,-J461)</f>
        <v/>
      </c>
      <c r="M461" s="16">
        <f>M460+I461</f>
        <v/>
      </c>
      <c r="N461" s="16">
        <f>D461+F461-E461</f>
        <v/>
      </c>
      <c r="O461" s="15" t="inlineStr">
        <is>
          <t>能力超目标：四轮定位上、下、ARHUD+慢充</t>
        </is>
      </c>
      <c r="P461" s="15" t="inlineStr">
        <is>
          <t>ST1 引取(开:29856.5s 加:56.0s 等前:3234.5s 等后:3.0s) | ST2 集约(开:29915.5s 加:111.0s 等前:0.0s 等后:26.0s) | ST3 空气悬挂+快充(开:30052.5s 加:108.5s 等前:0.0s 等后:12.0s) | ST4 四轮定位上、下(开:30173.0s 加:120.5s 等前:0.0s 等后:0.0s) | ST5 ADAS(开:30293.5s 加:107.0s 等前:0.0s 等后:0.0s) | ST6 ARHUD+慢充(开:30400.5s 加:143.5s 等前:0.0s 等后:0.0s) | ST7 转毂(开:30544.0s 加:114.5s 等前:0.0s 等后:0.0s) | ST8 制动(开:30658.5s 加:114.0s 等前:0.0s 等后:0.0s) | ST9 EG漏液/底盘漏液(开:30772.5s 加:112.5s 等前:0.0s 等后:0.0s) | ST10 全景/空调检查(开:30885.0s 加:0.0s 等前:0.0s 等后:0.0s) | ST11 气囊安装+绝缘(开:30885.0s 加:116.0s 等前:0.0s 等后:0.0s) | ST12 L2++(开:31001.0s 加:88.0s 等前:0.0s 等后:0.0s) | ST13 电检1(开:31089.0s 加:84.5s 等前:0.0s 等后:0.0s) | ST14 电检2(开:31173.5s 加:97.5s 等前:0.0s 等后:3.5s) | ST15 小跑道(开:31274.5s 加:50.0s 等前:0.0s 等后:0.0s)</t>
        </is>
      </c>
    </row>
    <row r="462">
      <c r="A462" s="13" t="n">
        <v>461</v>
      </c>
      <c r="B462" s="13" t="inlineStr">
        <is>
          <t>Car#461</t>
        </is>
      </c>
      <c r="C462" s="13" t="inlineStr">
        <is>
          <t>C</t>
        </is>
      </c>
      <c r="D462" s="14" t="n">
        <v>29915.5</v>
      </c>
      <c r="E462" s="14" t="n">
        <v>31418</v>
      </c>
      <c r="F462" s="14" t="n">
        <v>1502.5</v>
      </c>
      <c r="G462" s="14" t="n">
        <v>3314.5</v>
      </c>
      <c r="H462" s="13" t="inlineStr">
        <is>
          <t>Car#460</t>
        </is>
      </c>
      <c r="I462" s="14">
        <f>E462-E461</f>
        <v/>
      </c>
      <c r="J462" s="14">
        <f>I462-58</f>
        <v/>
      </c>
      <c r="K462" s="14">
        <f>MAX(0,J462)</f>
        <v/>
      </c>
      <c r="L462" s="14">
        <f>MAX(0,-J462)</f>
        <v/>
      </c>
      <c r="M462" s="14">
        <f>M461+I462</f>
        <v/>
      </c>
      <c r="N462" s="14">
        <f>D462+F462-E462</f>
        <v/>
      </c>
      <c r="O462" s="13" t="inlineStr">
        <is>
          <t>能力超目标：四轮定位上、下、ARHUD+慢充</t>
        </is>
      </c>
      <c r="P462" s="13" t="inlineStr">
        <is>
          <t>ST1 引取(开:29915.5s 加:56.0s 等前:3235.5s 等后:0.0s) | ST2 集约(开:29971.5s 加:111.0s 等前:0.0s 等后:13.5s) | ST3 空气悬挂+快充(开:30096.0s 加:108.5s 等前:0.0s 等后:12.0s) | ST4 四轮定位上、下(开:30216.5s 加:120.5s 等前:0.0s 等后:17.0s) | ST5 ADAS(开:30354.0s 加:107.0s 等前:0.0s 等后:36.5s) | ST6 ARHUD+慢充(开:30497.5s 加:143.5s 等前:0.0s 等后:0.0s) | ST7 转毂(开:30641.0s 加:114.5s 等前:0.0s 等后:0.0s) | ST8 制动(开:30755.5s 加:114.0s 等前:0.0s 等后:0.0s) | ST9 EG漏液/底盘漏液(开:30869.5s 加:112.5s 等前:0.0s 等后:0.0s) | ST10 全景/空调检查(开:30982.0s 加:0.0s 等前:0.0s 等后:0.0s) | ST11 气囊安装+绝缘(开:30982.0s 加:116.0s 等前:0.0s 等后:0.0s) | ST12 L2++(开:31098.0s 加:88.0s 等前:0.0s 等后:0.0s) | ST13 电检1(开:31186.0s 加:84.5s 等前:0.0s 等后:0.0s) | ST14 电检2(开:31270.5s 加:97.5s 等前:0.0s 等后:0.0s) | ST15 小跑道(开:31368.0s 加:50.0s 等前:0.0s 等后:0.0s)</t>
        </is>
      </c>
    </row>
    <row r="463">
      <c r="A463" s="15" t="n">
        <v>462</v>
      </c>
      <c r="B463" s="15" t="inlineStr">
        <is>
          <t>Car#462</t>
        </is>
      </c>
      <c r="C463" s="15" t="inlineStr">
        <is>
          <t>B</t>
        </is>
      </c>
      <c r="D463" s="16" t="n">
        <v>29971.5</v>
      </c>
      <c r="E463" s="16" t="n">
        <v>31468</v>
      </c>
      <c r="F463" s="16" t="n">
        <v>1496.5</v>
      </c>
      <c r="G463" s="16" t="n">
        <v>3398.5</v>
      </c>
      <c r="H463" s="15" t="inlineStr">
        <is>
          <t>Car#461</t>
        </is>
      </c>
      <c r="I463" s="16">
        <f>E463-E462</f>
        <v/>
      </c>
      <c r="J463" s="16">
        <f>I463-58</f>
        <v/>
      </c>
      <c r="K463" s="16">
        <f>MAX(0,J463)</f>
        <v/>
      </c>
      <c r="L463" s="16">
        <f>MAX(0,-J463)</f>
        <v/>
      </c>
      <c r="M463" s="16">
        <f>M462+I463</f>
        <v/>
      </c>
      <c r="N463" s="16">
        <f>D463+F463-E463</f>
        <v/>
      </c>
      <c r="O463" s="15" t="inlineStr">
        <is>
          <t>能力超目标：四轮定位上、下</t>
        </is>
      </c>
      <c r="P463" s="15" t="inlineStr">
        <is>
          <t>ST1 引取(开:29971.5s 加:56.0s 等前:3233.5s 等后:25.0s) | ST2 集约(开:30052.5s 加:111.0s 等前:0.0s 等后:9.5s) | ST3 空气悬挂+快充(开:30173.0s 加:108.5s 等前:0.0s 等后:12.0s) | ST4 四轮定位上、下(开:30293.5s 加:120.5s 等前:0.0s 等后:0.0s) | ST5 ADAS(开:30414.0s 加:107.0s 等前:0.0s 等后:23.0s) | ST6 ARHUD+慢充(开:30544.0s 加:51.5s 等前:0.0s 等后:63.0s) | ST7 转毂(开:30658.5s 加:114.5s 等前:0.0s 等后:0.0s) | ST8 制动(开:30773.0s 加:114.0s 等前:0.0s 等后:0.0s) | ST9 EG漏液/底盘漏液(开:30887.0s 加:112.5s 等前:0.0s 等后:0.0s) | ST10 全景/空调检查(开:30999.5s 加:0.0s 等前:0.0s 等后:1.5s) | ST11 气囊安装+绝缘(开:31001.0s 加:116.0s 等前:0.0s 等后:0.0s) | ST12 L2++(开:31117.0s 加:88.0s 等前:0.0s 等后:0.0s) | ST13 电检1(开:31205.0s 加:84.5s 等前:0.0s 等后:0.0s) | ST14 电检2(开:31289.5s 加:97.5s 等前:0.0s 等后:31.0s) | ST15 小跑道(开:31418.0s 加:50.0s 等前:0.0s 等后:0.0s)</t>
        </is>
      </c>
    </row>
    <row r="464">
      <c r="A464" s="13" t="n">
        <v>463</v>
      </c>
      <c r="B464" s="13" t="inlineStr">
        <is>
          <t>Car#463</t>
        </is>
      </c>
      <c r="C464" s="13" t="inlineStr">
        <is>
          <t>B</t>
        </is>
      </c>
      <c r="D464" s="14" t="n">
        <v>30052.5</v>
      </c>
      <c r="E464" s="14" t="n">
        <v>31534</v>
      </c>
      <c r="F464" s="14" t="n">
        <v>1481.5</v>
      </c>
      <c r="G464" s="14" t="n">
        <v>3406.5</v>
      </c>
      <c r="H464" s="13" t="inlineStr">
        <is>
          <t>Car#462</t>
        </is>
      </c>
      <c r="I464" s="14">
        <f>E464-E463</f>
        <v/>
      </c>
      <c r="J464" s="14">
        <f>I464-58</f>
        <v/>
      </c>
      <c r="K464" s="14">
        <f>MAX(0,J464)</f>
        <v/>
      </c>
      <c r="L464" s="14">
        <f>MAX(0,-J464)</f>
        <v/>
      </c>
      <c r="M464" s="14">
        <f>M463+I464</f>
        <v/>
      </c>
      <c r="N464" s="14">
        <f>D464+F464-E464</f>
        <v/>
      </c>
      <c r="O464" s="13" t="inlineStr">
        <is>
          <t>能力超目标：四轮定位上、下</t>
        </is>
      </c>
      <c r="P464" s="13" t="inlineStr">
        <is>
          <t>ST1 引取(开:30052.5s 加:56.0s 等前:3256.5s 等后:0.0s) | ST2 集约(开:30108.5s 加:111.0s 等前:0.0s 等后:0.0s) | ST3 空气悬挂+快充(开:30219.5s 加:108.5s 等前:0.0s 等后:26.0s) | ST4 四轮定位上、下(开:30354.0s 加:120.5s 等前:0.0s 等后:23.0s) | ST5 ADAS(开:30497.5s 加:107.0s 等前:0.0s 等后:36.5s) | ST6 ARHUD+慢充(开:30641.0s 加:51.5s 等前:0.0s 等后:63.0s) | ST7 转毂(开:30755.5s 加:114.5s 等前:0.0s 等后:0.0s) | ST8 制动(开:30870.0s 加:114.0s 等前:0.0s 等后:0.0s) | ST9 EG漏液/底盘漏液(开:30984.0s 加:112.5s 等前:0.0s 等后:0.0s) | ST10 全景/空调检查(开:31096.5s 加:0.0s 等前:0.0s 等后:1.5s) | ST11 气囊安装+绝缘(开:31098.0s 加:116.0s 等前:0.0s 等后:0.0s) | ST12 L2++(开:31214.0s 加:88.0s 等前:0.0s 等后:0.0s) | ST13 电检1(开:31302.0s 加:84.5s 等前:0.0s 等后:0.0s) | ST14 电检2(开:31386.5s 加:97.5s 等前:0.0s 等后:0.0s) | ST15 小跑道(开:31484.0s 加:50.0s 等前:0.0s 等后:0.0s)</t>
        </is>
      </c>
    </row>
    <row r="465">
      <c r="A465" s="15" t="n">
        <v>464</v>
      </c>
      <c r="B465" s="15" t="inlineStr">
        <is>
          <t>Car#464</t>
        </is>
      </c>
      <c r="C465" s="15" t="inlineStr">
        <is>
          <t>B</t>
        </is>
      </c>
      <c r="D465" s="16" t="n">
        <v>30108.5</v>
      </c>
      <c r="E465" s="16" t="n">
        <v>31584</v>
      </c>
      <c r="F465" s="16" t="n">
        <v>1475.5</v>
      </c>
      <c r="G465" s="16" t="n">
        <v>3398.5</v>
      </c>
      <c r="H465" s="15" t="inlineStr">
        <is>
          <t>Car#463</t>
        </is>
      </c>
      <c r="I465" s="16">
        <f>E465-E464</f>
        <v/>
      </c>
      <c r="J465" s="16">
        <f>I465-58</f>
        <v/>
      </c>
      <c r="K465" s="16">
        <f>MAX(0,J465)</f>
        <v/>
      </c>
      <c r="L465" s="16">
        <f>MAX(0,-J465)</f>
        <v/>
      </c>
      <c r="M465" s="16">
        <f>M464+I465</f>
        <v/>
      </c>
      <c r="N465" s="16">
        <f>D465+F465-E465</f>
        <v/>
      </c>
      <c r="O465" s="15" t="inlineStr">
        <is>
          <t>能力超目标：四轮定位上、下</t>
        </is>
      </c>
      <c r="P465" s="15" t="inlineStr">
        <is>
          <t>ST1 引取(开:30108.5s 加:56.0s 等前:3254.5s 等后:8.5s) | ST2 集约(开:30173.0s 加:111.0s 等前:0.0s 等后:9.5s) | ST3 空气悬挂+快充(开:30293.5s 加:108.5s 等前:0.0s 等后:12.0s) | ST4 四轮定位上、下(开:30414.0s 加:120.5s 等前:0.0s 等后:9.5s) | ST5 ADAS(开:30544.0s 加:107.0s 等前:0.0s 等后:7.5s) | ST6 ARHUD+慢充(开:30658.5s 加:51.5s 等前:0.0s 等后:63.0s) | ST7 转毂(开:30773.0s 加:114.5s 等前:0.0s 等后:0.0s) | ST8 制动(开:30887.5s 加:114.0s 等前:0.0s 等后:0.0s) | ST9 EG漏液/底盘漏液(开:31001.5s 加:112.5s 等前:0.0s 等后:0.0s) | ST10 全景/空调检查(开:31114.0s 加:0.0s 等前:0.0s 等后:3.0s) | ST11 气囊安装+绝缘(开:31117.0s 加:116.0s 等前:0.0s 等后:0.0s) | ST12 L2++(开:31233.0s 加:88.0s 等前:0.0s 等后:0.0s) | ST13 电检1(开:31321.0s 加:84.5s 等前:0.0s 等后:12.5s) | ST14 电检2(开:31418.0s 加:97.5s 等前:0.0s 等后:18.5s) | ST15 小跑道(开:31534.0s 加:50.0s 等前:0.0s 等后:0.0s)</t>
        </is>
      </c>
    </row>
    <row r="466">
      <c r="A466" s="13" t="n">
        <v>465</v>
      </c>
      <c r="B466" s="13" t="inlineStr">
        <is>
          <t>Car#466</t>
        </is>
      </c>
      <c r="C466" s="13" t="inlineStr">
        <is>
          <t>A</t>
        </is>
      </c>
      <c r="D466" s="14" t="n">
        <v>30229</v>
      </c>
      <c r="E466" s="14" t="n">
        <v>31635</v>
      </c>
      <c r="F466" s="14" t="n">
        <v>1406</v>
      </c>
      <c r="G466" s="14" t="n">
        <v>3804</v>
      </c>
      <c r="H466" s="13" t="inlineStr">
        <is>
          <t>Car#464</t>
        </is>
      </c>
      <c r="I466" s="14">
        <f>E466-E465</f>
        <v/>
      </c>
      <c r="J466" s="14">
        <f>I466-58</f>
        <v/>
      </c>
      <c r="K466" s="14">
        <f>MAX(0,J466)</f>
        <v/>
      </c>
      <c r="L466" s="14">
        <f>MAX(0,-J466)</f>
        <v/>
      </c>
      <c r="M466" s="14">
        <f>M465+I466</f>
        <v/>
      </c>
      <c r="N466" s="14">
        <f>D466+F466-E466</f>
        <v/>
      </c>
      <c r="O466" s="13" t="inlineStr">
        <is>
          <t>能力满足</t>
        </is>
      </c>
      <c r="P466" s="13" t="inlineStr">
        <is>
          <t>ST1 引取(开:30229.0s 加:55.0s 等前:3259.0s 等后:9.5s) | ST2 集约(开:30293.5s 加:106.0s 等前:0.0s 等后:14.5s) | ST3 空气悬挂+快充(开:30414.0s 加:0.0s 等前:0.0s 等后:130.0s) | ST4 四轮定位上、下(开:30544.0s 加:115.0s 等前:0.0s 等后:0.0s) | ST5 ADAS(开:30659.0s 加:97.0s 等前:0.0s 等后:17.0s) | ST6 ARHUD+慢充(开:30773.0s 加:0.0s 等前:0.0s 等后:114.5s) | ST7 转毂(开:30887.5s 加:116.0s 等前:0.0s 等后:0.0s) | ST8 制动(开:31003.5s 加:108.0s 等前:0.0s 等后:2.5s) | ST9 EG漏液/底盘漏液(开:31114.0s 加:115.0s 等前:0.0s 等后:0.0s) | ST10 全景/空调检查(开:31229.0s 加:98.0s 等前:0.0s 等后:0.0s) | ST11 气囊安装+绝缘(开:31327.0s 加:0.0s 等前:0.0s 等后:0.0s) | ST12 L2++(开:31327.0s 加:0.0s 等前:0.0s 等后:91.0s) | ST13 电检1(开:31418.0s 加:0.0s 等前:0.0s 等后:116.0s) | ST14 电检2(开:31534.0s 加:0.0s 等前:0.0s 等后:50.0s) | ST15 小跑道(开:31584.0s 加:51.0s 等前:0.0s 等后:0.0s)</t>
        </is>
      </c>
    </row>
    <row r="467">
      <c r="A467" s="15" t="n">
        <v>466</v>
      </c>
      <c r="B467" s="15" t="inlineStr">
        <is>
          <t>Car#465</t>
        </is>
      </c>
      <c r="C467" s="15" t="inlineStr">
        <is>
          <t>C</t>
        </is>
      </c>
      <c r="D467" s="16" t="n">
        <v>30173</v>
      </c>
      <c r="E467" s="16" t="n">
        <v>31685</v>
      </c>
      <c r="F467" s="16" t="n">
        <v>1512</v>
      </c>
      <c r="G467" s="16" t="n">
        <v>3349.5</v>
      </c>
      <c r="H467" s="15" t="inlineStr">
        <is>
          <t>Car#466</t>
        </is>
      </c>
      <c r="I467" s="16">
        <f>E467-E466</f>
        <v/>
      </c>
      <c r="J467" s="16">
        <f>I467-58</f>
        <v/>
      </c>
      <c r="K467" s="16">
        <f>MAX(0,J467)</f>
        <v/>
      </c>
      <c r="L467" s="16">
        <f>MAX(0,-J467)</f>
        <v/>
      </c>
      <c r="M467" s="16">
        <f>M466+I467</f>
        <v/>
      </c>
      <c r="N467" s="16">
        <f>D467+F467-E467</f>
        <v/>
      </c>
      <c r="O467" s="15" t="inlineStr">
        <is>
          <t>能力超目标：四轮定位上、下、ARHUD+慢充</t>
        </is>
      </c>
      <c r="P467" s="15" t="inlineStr">
        <is>
          <t>ST1 引取(开:30173.0s 加:56.0s 等前:3261.0s 等后:0.0s) | ST2 集约(开:30229.0s 加:111.0s 等前:0.0s 等后:14.0s) | ST3 空气悬挂+快充(开:30354.0s 加:108.5s 等前:0.0s 等后:35.0s) | ST4 四轮定位上、下(开:30497.5s 加:120.5s 等前:0.0s 等后:23.0s) | ST5 ADAS(开:30641.0s 加:107.0s 等前:0.0s 等后:7.5s) | ST6 ARHUD+慢充(开:30755.5s 加:143.5s 等前:0.0s 等后:0.0s) | ST7 转毂(开:30899.0s 加:114.5s 等前:0.0s 等后:0.0s) | ST8 制动(开:31013.5s 加:114.0s 等前:0.0s 等后:0.0s) | ST9 EG漏液/底盘漏液(开:31127.5s 加:112.5s 等前:0.0s 等后:0.0s) | ST10 全景/空调检查(开:31240.0s 加:0.0s 等前:0.0s 等后:0.0s) | ST11 气囊安装+绝缘(开:31240.0s 加:116.0s 等前:0.0s 等后:0.0s) | ST12 L2++(开:31356.0s 加:88.0s 等前:0.0s 等后:0.0s) | ST13 电检1(开:31444.0s 加:84.5s 等前:0.0s 等后:0.0s) | ST14 电检2(开:31528.5s 加:97.5s 等前:0.0s 等后:9.0s) | ST15 小跑道(开:31635.0s 加:50.0s 等前:0.0s 等后:0.0s)</t>
        </is>
      </c>
    </row>
    <row r="468">
      <c r="A468" s="13" t="n">
        <v>467</v>
      </c>
      <c r="B468" s="13" t="inlineStr">
        <is>
          <t>Car#468</t>
        </is>
      </c>
      <c r="C468" s="13" t="inlineStr">
        <is>
          <t>C</t>
        </is>
      </c>
      <c r="D468" s="14" t="n">
        <v>30354</v>
      </c>
      <c r="E468" s="14" t="n">
        <v>31808</v>
      </c>
      <c r="F468" s="14" t="n">
        <v>1454</v>
      </c>
      <c r="G468" s="14" t="n">
        <v>3298.5</v>
      </c>
      <c r="H468" s="13" t="inlineStr">
        <is>
          <t>Car#465</t>
        </is>
      </c>
      <c r="I468" s="14">
        <f>E468-E467</f>
        <v/>
      </c>
      <c r="J468" s="14">
        <f>I468-58</f>
        <v/>
      </c>
      <c r="K468" s="14">
        <f>MAX(0,J468)</f>
        <v/>
      </c>
      <c r="L468" s="14">
        <f>MAX(0,-J468)</f>
        <v/>
      </c>
      <c r="M468" s="14">
        <f>M467+I468</f>
        <v/>
      </c>
      <c r="N468" s="14">
        <f>D468+F468-E468</f>
        <v/>
      </c>
      <c r="O468" s="13" t="inlineStr">
        <is>
          <t>能力超目标：四轮定位上、下、ARHUD+慢充</t>
        </is>
      </c>
      <c r="P468" s="13" t="inlineStr">
        <is>
          <t>ST1 引取(开:30354.0s 加:56.0s 等前:3268.0s 等后:4.0s) | ST2 集约(开:30414.0s 加:111.0s 等前:0.0s 等后:19.0s) | ST3 空气悬挂+快充(开:30544.0s 加:108.5s 等前:0.0s 等后:6.5s) | ST4 四轮定位上、下(开:30659.0s 加:120.5s 等前:0.0s 等后:0.0s) | ST5 ADAS(开:30779.5s 加:107.0s 等前:0.0s 等后:1.0s) | ST6 ARHUD+慢充(开:30887.5s 加:143.5s 等前:0.0s 等后:0.0s) | ST7 转毂(开:31031.0s 加:114.5s 等前:0.0s 等后:0.0s) | ST8 制动(开:31145.5s 加:114.0s 等前:0.0s 等后:0.0s) | ST9 EG漏液/底盘漏液(开:31259.5s 加:112.5s 等前:0.0s 等后:0.0s) | ST10 全景/空调检查(开:31372.0s 加:0.0s 等前:0.0s 等后:0.0s) | ST11 气囊安装+绝缘(开:31372.0s 加:116.0s 等前:0.0s 等后:0.0s) | ST12 L2++(开:31488.0s 加:88.0s 等前:0.0s 等后:0.0s) | ST13 电检1(开:31576.0s 加:84.5s 等前:0.0s 等后:0.0s) | ST14 电检2(开:31660.5s 加:97.5s 等前:0.0s 等后:0.0s) | ST15 小跑道(开:31758.0s 加:50.0s 等前:0.0s 等后:0.0s)</t>
        </is>
      </c>
    </row>
    <row r="469">
      <c r="A469" s="15" t="n">
        <v>468</v>
      </c>
      <c r="B469" s="15" t="inlineStr">
        <is>
          <t>Car#467</t>
        </is>
      </c>
      <c r="C469" s="15" t="inlineStr">
        <is>
          <t>C</t>
        </is>
      </c>
      <c r="D469" s="16" t="n">
        <v>30293.5</v>
      </c>
      <c r="E469" s="16" t="n">
        <v>31858</v>
      </c>
      <c r="F469" s="16" t="n">
        <v>1564.5</v>
      </c>
      <c r="G469" s="16" t="n">
        <v>3406.5</v>
      </c>
      <c r="H469" s="15" t="inlineStr">
        <is>
          <t>Car#468</t>
        </is>
      </c>
      <c r="I469" s="16">
        <f>E469-E468</f>
        <v/>
      </c>
      <c r="J469" s="16">
        <f>I469-58</f>
        <v/>
      </c>
      <c r="K469" s="16">
        <f>MAX(0,J469)</f>
        <v/>
      </c>
      <c r="L469" s="16">
        <f>MAX(0,-J469)</f>
        <v/>
      </c>
      <c r="M469" s="16">
        <f>M468+I469</f>
        <v/>
      </c>
      <c r="N469" s="16">
        <f>D469+F469-E469</f>
        <v/>
      </c>
      <c r="O469" s="15" t="inlineStr">
        <is>
          <t>能力超目标：四轮定位上、下、ARHUD+慢充</t>
        </is>
      </c>
      <c r="P469" s="15" t="inlineStr">
        <is>
          <t>ST1 引取(开:30293.5s 加:56.0s 等前:3265.5s 等后:4.5s) | ST2 集约(开:30354.0s 加:111.0s 等前:0.0s 等后:32.5s) | ST3 空气悬挂+快充(开:30497.5s 加:108.5s 等前:0.0s 等后:35.0s) | ST4 四轮定位上、下(开:30641.0s 加:120.5s 等前:0.0s 等后:0.0s) | ST5 ADAS(开:30761.5s 加:107.0s 等前:0.0s 等后:30.5s) | ST6 ARHUD+慢充(开:30899.0s 加:143.5s 等前:0.0s 等后:0.0s) | ST7 转毂(开:31042.5s 加:114.5s 等前:0.0s 等后:0.0s) | ST8 制动(开:31157.0s 加:114.0s 等前:0.0s 等后:0.0s) | ST9 EG漏液/底盘漏液(开:31271.0s 加:112.5s 等前:0.0s 等后:0.0s) | ST10 全景/空调检查(开:31383.5s 加:0.0s 等前:0.0s 等后:0.0s) | ST11 气囊安装+绝缘(开:31383.5s 加:116.0s 等前:0.0s 等后:0.0s) | ST12 L2++(开:31499.5s 加:88.0s 等前:0.0s 等后:0.0s) | ST13 电检1(开:31587.5s 加:84.5s 等前:0.0s 等后:0.0s) | ST14 电检2(开:31672.0s 加:97.5s 等前:0.0s 等后:38.5s) | ST15 小跑道(开:31808.0s 加:50.0s 等前:0.0s 等后:0.0s)</t>
        </is>
      </c>
    </row>
    <row r="470">
      <c r="A470" s="13" t="n">
        <v>469</v>
      </c>
      <c r="B470" s="13" t="inlineStr">
        <is>
          <t>Car#470</t>
        </is>
      </c>
      <c r="C470" s="13" t="inlineStr">
        <is>
          <t>C</t>
        </is>
      </c>
      <c r="D470" s="14" t="n">
        <v>30497.5</v>
      </c>
      <c r="E470" s="14" t="n">
        <v>31951.5</v>
      </c>
      <c r="F470" s="14" t="n">
        <v>1454</v>
      </c>
      <c r="G470" s="14" t="n">
        <v>3326</v>
      </c>
      <c r="H470" s="13" t="inlineStr">
        <is>
          <t>Car#467</t>
        </is>
      </c>
      <c r="I470" s="14">
        <f>E470-E469</f>
        <v/>
      </c>
      <c r="J470" s="14">
        <f>I470-58</f>
        <v/>
      </c>
      <c r="K470" s="14">
        <f>MAX(0,J470)</f>
        <v/>
      </c>
      <c r="L470" s="14">
        <f>MAX(0,-J470)</f>
        <v/>
      </c>
      <c r="M470" s="14">
        <f>M469+I470</f>
        <v/>
      </c>
      <c r="N470" s="14">
        <f>D470+F470-E470</f>
        <v/>
      </c>
      <c r="O470" s="13" t="inlineStr">
        <is>
          <t>能力超目标：四轮定位上、下、ARHUD+慢充</t>
        </is>
      </c>
      <c r="P470" s="13" t="inlineStr">
        <is>
          <t>ST1 引取(开:30497.5s 加:56.0s 等前:3295.5s 等后:0.0s) | ST2 集约(开:30553.5s 加:111.0s 等前:0.0s 等后:0.0s) | ST3 空气悬挂+快充(开:30664.5s 加:108.5s 等前:0.0s 等后:6.5s) | ST4 四轮定位上、下(开:30779.5s 加:120.5s 等前:0.0s 等后:0.0s) | ST5 ADAS(开:30900.0s 加:107.0s 等前:0.0s 等后:24.0s) | ST6 ARHUD+慢充(开:31031.0s 加:143.5s 等前:0.0s 等后:0.0s) | ST7 转毂(开:31174.5s 加:114.5s 等前:0.0s 等后:0.0s) | ST8 制动(开:31289.0s 加:114.0s 等前:0.0s 等后:0.0s) | ST9 EG漏液/底盘漏液(开:31403.0s 加:112.5s 等前:0.0s 等后:0.0s) | ST10 全景/空调检查(开:31515.5s 加:0.0s 等前:0.0s 等后:0.0s) | ST11 气囊安装+绝缘(开:31515.5s 加:116.0s 等前:0.0s 等后:0.0s) | ST12 L2++(开:31631.5s 加:88.0s 等前:0.0s 等后:0.0s) | ST13 电检1(开:31719.5s 加:84.5s 等前:0.0s 等后:0.0s) | ST14 电检2(开:31804.0s 加:97.5s 等前:0.0s 等后:0.0s) | ST15 小跑道(开:31901.5s 加:50.0s 等前:0.0s 等后:0.0s)</t>
        </is>
      </c>
    </row>
    <row r="471">
      <c r="A471" s="15" t="n">
        <v>470</v>
      </c>
      <c r="B471" s="15" t="inlineStr">
        <is>
          <t>Car#472</t>
        </is>
      </c>
      <c r="C471" s="15" t="inlineStr">
        <is>
          <t>A</t>
        </is>
      </c>
      <c r="D471" s="16" t="n">
        <v>30641</v>
      </c>
      <c r="E471" s="16" t="n">
        <v>32002.5</v>
      </c>
      <c r="F471" s="16" t="n">
        <v>1361.5</v>
      </c>
      <c r="G471" s="16" t="n">
        <v>3823.5</v>
      </c>
      <c r="H471" s="15" t="inlineStr">
        <is>
          <t>Car#470</t>
        </is>
      </c>
      <c r="I471" s="16">
        <f>E471-E470</f>
        <v/>
      </c>
      <c r="J471" s="16">
        <f>I471-58</f>
        <v/>
      </c>
      <c r="K471" s="16">
        <f>MAX(0,J471)</f>
        <v/>
      </c>
      <c r="L471" s="16">
        <f>MAX(0,-J471)</f>
        <v/>
      </c>
      <c r="M471" s="16">
        <f>M470+I471</f>
        <v/>
      </c>
      <c r="N471" s="16">
        <f>D471+F471-E471</f>
        <v/>
      </c>
      <c r="O471" s="15" t="inlineStr">
        <is>
          <t>能力满足</t>
        </is>
      </c>
      <c r="P471" s="15" t="inlineStr">
        <is>
          <t>ST1 引取(开:30641.0s 加:55.0s 等前:3323.0s 等后:0.0s) | ST2 集约(开:30696.0s 加:106.0s 等前:0.0s 等后:0.0s) | ST3 空气悬挂+快充(开:30802.0s 加:0.0s 等前:0.0s 等后:98.0s) | ST4 四轮定位上、下(开:30900.0s 加:115.0s 等前:0.0s 等后:16.0s) | ST5 ADAS(开:31031.0s 加:97.0s 等前:0.0s 等后:46.5s) | ST6 ARHUD+慢充(开:31174.5s 加:0.0s 等前:0.0s 等后:114.5s) | ST7 转毂(开:31289.0s 加:116.0s 等前:0.0s 等后:0.0s) | ST8 制动(开:31405.0s 加:108.0s 等前:0.0s 等后:2.5s) | ST9 EG漏液/底盘漏液(开:31515.5s 加:115.0s 等前:0.0s 等后:0.0s) | ST10 全景/空调检查(开:31630.5s 加:98.0s 等前:0.0s 等后:0.0s) | ST11 气囊安装+绝缘(开:31728.5s 加:0.0s 等前:0.0s 等后:0.0s) | ST12 L2++(开:31728.5s 加:0.0s 等前:0.0s 等后:75.5s) | ST13 电检1(开:31804.0s 加:0.0s 等前:0.0s 等后:97.5s) | ST14 电检2(开:31901.5s 加:0.0s 等前:0.0s 等后:50.0s) | ST15 小跑道(开:31951.5s 加:51.0s 等前:0.0s 等后:0.0s)</t>
        </is>
      </c>
    </row>
    <row r="472">
      <c r="A472" s="13" t="n">
        <v>471</v>
      </c>
      <c r="B472" s="13" t="inlineStr">
        <is>
          <t>Car#469</t>
        </is>
      </c>
      <c r="C472" s="13" t="inlineStr">
        <is>
          <t>C</t>
        </is>
      </c>
      <c r="D472" s="14" t="n">
        <v>30414</v>
      </c>
      <c r="E472" s="14" t="n">
        <v>32052.5</v>
      </c>
      <c r="F472" s="14" t="n">
        <v>1638.5</v>
      </c>
      <c r="G472" s="14" t="n">
        <v>3485</v>
      </c>
      <c r="H472" s="13" t="inlineStr">
        <is>
          <t>Car#472</t>
        </is>
      </c>
      <c r="I472" s="14">
        <f>E472-E471</f>
        <v/>
      </c>
      <c r="J472" s="14">
        <f>I472-58</f>
        <v/>
      </c>
      <c r="K472" s="14">
        <f>MAX(0,J472)</f>
        <v/>
      </c>
      <c r="L472" s="14">
        <f>MAX(0,-J472)</f>
        <v/>
      </c>
      <c r="M472" s="14">
        <f>M471+I472</f>
        <v/>
      </c>
      <c r="N472" s="14">
        <f>D472+F472-E472</f>
        <v/>
      </c>
      <c r="O472" s="13" t="inlineStr">
        <is>
          <t>能力超目标：四轮定位上、下、ARHUD+慢充</t>
        </is>
      </c>
      <c r="P472" s="13" t="inlineStr">
        <is>
          <t>ST1 引取(开:30414.0s 加:56.0s 等前:3270.0s 等后:27.5s) | ST2 集约(开:30497.5s 加:111.0s 等前:0.0s 等后:32.5s) | ST3 空气悬挂+快充(开:30641.0s 加:108.5s 等前:0.0s 等后:12.0s) | ST4 四轮定位上、下(开:30761.5s 加:120.5s 等前:0.0s 等后:17.0s) | ST5 ADAS(开:30899.0s 加:107.0s 等前:0.0s 等后:36.5s) | ST6 ARHUD+慢充(开:31042.5s 加:143.5s 等前:0.0s 等后:0.0s) | ST7 转毂(开:31186.0s 加:114.5s 等前:0.0s 等后:0.0s) | ST8 制动(开:31300.5s 加:114.0s 等前:0.0s 等后:0.0s) | ST9 EG漏液/底盘漏液(开:31414.5s 加:112.5s 等前:0.0s 等后:0.0s) | ST10 全景/空调检查(开:31527.0s 加:0.0s 等前:0.0s 等后:0.0s) | ST11 气囊安装+绝缘(开:31527.0s 加:116.0s 等前:0.0s 等后:0.0s) | ST12 L2++(开:31643.0s 加:88.0s 等前:0.0s 等后:0.0s) | ST13 电检1(开:31731.0s 加:84.5s 等前:0.0s 等后:0.0s) | ST14 电检2(开:31815.5s 加:97.5s 等前:0.0s 等后:89.5s) | ST15 小跑道(开:32002.5s 加:50.0s 等前:0.0s 等后:0.0s)</t>
        </is>
      </c>
    </row>
    <row r="473">
      <c r="A473" s="15" t="n">
        <v>472</v>
      </c>
      <c r="B473" s="15" t="inlineStr">
        <is>
          <t>Car#471</t>
        </is>
      </c>
      <c r="C473" s="15" t="inlineStr">
        <is>
          <t>A</t>
        </is>
      </c>
      <c r="D473" s="16" t="n">
        <v>30553.5</v>
      </c>
      <c r="E473" s="16" t="n">
        <v>32103.5</v>
      </c>
      <c r="F473" s="16" t="n">
        <v>1550</v>
      </c>
      <c r="G473" s="16" t="n">
        <v>3982.5</v>
      </c>
      <c r="H473" s="15" t="inlineStr">
        <is>
          <t>Car#469</t>
        </is>
      </c>
      <c r="I473" s="16">
        <f>E473-E472</f>
        <v/>
      </c>
      <c r="J473" s="16">
        <f>I473-58</f>
        <v/>
      </c>
      <c r="K473" s="16">
        <f>MAX(0,J473)</f>
        <v/>
      </c>
      <c r="L473" s="16">
        <f>MAX(0,-J473)</f>
        <v/>
      </c>
      <c r="M473" s="16">
        <f>M472+I473</f>
        <v/>
      </c>
      <c r="N473" s="16">
        <f>D473+F473-E473</f>
        <v/>
      </c>
      <c r="O473" s="15" t="inlineStr">
        <is>
          <t>能力满足</t>
        </is>
      </c>
      <c r="P473" s="15" t="inlineStr">
        <is>
          <t>ST1 引取(开:30553.5s 加:55.0s 等前:3293.5s 等后:32.5s) | ST2 集约(开:30641.0s 加:106.0s 等前:0.0s 等后:14.5s) | ST3 空气悬挂+快充(开:30761.5s 加:0.0s 等前:0.0s 等后:137.5s) | ST4 四轮定位上、下(开:30899.0s 加:115.0s 等前:0.0s 等后:28.5s) | ST5 ADAS(开:31042.5s 加:97.0s 等前:0.0s 等后:46.5s) | ST6 ARHUD+慢充(开:31186.0s 加:0.0s 等前:0.0s 等后:114.5s) | ST7 转毂(开:31300.5s 加:116.0s 等前:0.0s 等后:0.0s) | ST8 制动(开:31416.5s 加:108.0s 等前:0.0s 等后:2.5s) | ST9 EG漏液/底盘漏液(开:31527.0s 加:115.0s 等前:0.0s 等后:0.0s) | ST10 全景/空调检查(开:31642.0s 加:98.0s 等前:0.0s 等后:0.0s) | ST11 气囊安装+绝缘(开:31740.0s 加:0.0s 等前:0.0s 等后:0.0s) | ST12 L2++(开:31740.0s 加:0.0s 等前:0.0s 等后:75.5s) | ST13 电检1(开:31815.5s 加:0.0s 等前:0.0s 等后:187.0s) | ST14 电检2(开:32002.5s 加:0.0s 等前:0.0s 等后:50.0s) | ST15 小跑道(开:32052.5s 加:51.0s 等前:0.0s 等后:0.0s)</t>
        </is>
      </c>
    </row>
    <row r="474">
      <c r="A474" s="13" t="n">
        <v>473</v>
      </c>
      <c r="B474" s="13" t="inlineStr">
        <is>
          <t>Car#474</t>
        </is>
      </c>
      <c r="C474" s="13" t="inlineStr">
        <is>
          <t>B</t>
        </is>
      </c>
      <c r="D474" s="14" t="n">
        <v>30761.5</v>
      </c>
      <c r="E474" s="14" t="n">
        <v>32182</v>
      </c>
      <c r="F474" s="14" t="n">
        <v>1420.5</v>
      </c>
      <c r="G474" s="14" t="n">
        <v>3416.5</v>
      </c>
      <c r="H474" s="13" t="inlineStr">
        <is>
          <t>Car#471</t>
        </is>
      </c>
      <c r="I474" s="14">
        <f>E474-E473</f>
        <v/>
      </c>
      <c r="J474" s="14">
        <f>I474-58</f>
        <v/>
      </c>
      <c r="K474" s="14">
        <f>MAX(0,J474)</f>
        <v/>
      </c>
      <c r="L474" s="14">
        <f>MAX(0,-J474)</f>
        <v/>
      </c>
      <c r="M474" s="14">
        <f>M473+I474</f>
        <v/>
      </c>
      <c r="N474" s="14">
        <f>D474+F474-E474</f>
        <v/>
      </c>
      <c r="O474" s="13" t="inlineStr">
        <is>
          <t>能力超目标：四轮定位上、下</t>
        </is>
      </c>
      <c r="P474" s="13" t="inlineStr">
        <is>
          <t>ST1 引取(开:30761.5s 加:56.0s 等前:3327.5s 等后:0.0s) | ST2 集约(开:30817.5s 加:111.0s 等前:0.0s 等后:0.0s) | ST3 空气悬挂+快充(开:30928.5s 加:108.5s 等前:0.0s 等后:0.0s) | ST4 四轮定位上、下(开:31037.0s 加:120.5s 等前:0.0s 等后:17.0s) | ST5 ADAS(开:31174.5s 加:107.0s 等前:0.0s 等后:7.5s) | ST6 ARHUD+慢充(开:31289.0s 加:51.5s 等前:0.0s 等后:64.5s) | ST7 转毂(开:31405.0s 加:114.5s 等前:0.0s 等后:0.0s) | ST8 制动(开:31519.5s 加:114.0s 等前:0.0s 等后:0.0s) | ST9 EG漏液/底盘漏液(开:31633.5s 加:112.5s 等前:0.0s 等后:0.0s) | ST10 全景/空调检查(开:31746.0s 加:0.0s 等前:0.0s 等后:0.0s) | ST11 气囊安装+绝缘(开:31746.0s 加:116.0s 等前:0.0s 等后:0.0s) | ST12 L2++(开:31862.0s 加:88.0s 等前:0.0s 等后:0.0s) | ST13 电检1(开:31950.0s 加:84.5s 等前:0.0s 等后:0.0s) | ST14 电检2(开:32034.5s 加:97.5s 等前:0.0s 等后:0.0s) | ST15 小跑道(开:32132.0s 加:50.0s 等前:0.0s 等后:0.0s)</t>
        </is>
      </c>
    </row>
    <row r="475">
      <c r="A475" s="15" t="n">
        <v>474</v>
      </c>
      <c r="B475" s="15" t="inlineStr">
        <is>
          <t>Car#473</t>
        </is>
      </c>
      <c r="C475" s="15" t="inlineStr">
        <is>
          <t>B</t>
        </is>
      </c>
      <c r="D475" s="16" t="n">
        <v>30696</v>
      </c>
      <c r="E475" s="16" t="n">
        <v>32234.5</v>
      </c>
      <c r="F475" s="16" t="n">
        <v>1538.5</v>
      </c>
      <c r="G475" s="16" t="n">
        <v>3527</v>
      </c>
      <c r="H475" s="15" t="inlineStr">
        <is>
          <t>Car#474</t>
        </is>
      </c>
      <c r="I475" s="16">
        <f>E475-E474</f>
        <v/>
      </c>
      <c r="J475" s="16">
        <f>I475-58</f>
        <v/>
      </c>
      <c r="K475" s="16">
        <f>MAX(0,J475)</f>
        <v/>
      </c>
      <c r="L475" s="16">
        <f>MAX(0,-J475)</f>
        <v/>
      </c>
      <c r="M475" s="16">
        <f>M474+I475</f>
        <v/>
      </c>
      <c r="N475" s="16">
        <f>D475+F475-E475</f>
        <v/>
      </c>
      <c r="O475" s="15" t="inlineStr">
        <is>
          <t>能力超目标：四轮定位上、下</t>
        </is>
      </c>
      <c r="P475" s="15" t="inlineStr">
        <is>
          <t>ST1 引取(开:30696.0s 加:56.0s 等前:3320.0s 等后:9.5s) | ST2 集约(开:30761.5s 加:111.0s 等前:0.0s 等后:26.5s) | ST3 空气悬挂+快充(开:30899.0s 加:108.5s 等前:0.0s 等后:35.0s) | ST4 四轮定位上、下(开:31042.5s 加:120.5s 等前:0.0s 等后:23.0s) | ST5 ADAS(开:31186.0s 加:107.0s 等前:0.0s 等后:7.5s) | ST6 ARHUD+慢充(开:31300.5s 加:51.5s 等前:0.0s 等后:64.5s) | ST7 转毂(开:31416.5s 加:114.5s 等前:0.0s 等后:0.0s) | ST8 制动(开:31531.0s 加:114.0s 等前:0.0s 等后:0.0s) | ST9 EG漏液/底盘漏液(开:31645.0s 加:112.5s 等前:0.0s 等后:0.0s) | ST10 全景/空调检查(开:31757.5s 加:0.0s 等前:0.0s 等后:0.0s) | ST11 气囊安装+绝缘(开:31757.5s 加:116.0s 等前:0.0s 等后:0.0s) | ST12 L2++(开:31873.5s 加:88.0s 等前:0.0s 等后:41.0s) | ST13 电检1(开:32002.5s 加:84.5s 等前:0.0s 等后:0.0s) | ST14 电检2(开:32087.0s 加:97.5s 等前:0.0s 等后:0.0s) | ST15 小跑道(开:32184.5s 加:50.0s 等前:0.0s 等后:0.0s)</t>
        </is>
      </c>
    </row>
    <row r="476">
      <c r="A476" s="13" t="n">
        <v>475</v>
      </c>
      <c r="B476" s="13" t="inlineStr">
        <is>
          <t>Car#476</t>
        </is>
      </c>
      <c r="C476" s="13" t="inlineStr">
        <is>
          <t>C</t>
        </is>
      </c>
      <c r="D476" s="14" t="n">
        <v>30899</v>
      </c>
      <c r="E476" s="14" t="n">
        <v>32325.5</v>
      </c>
      <c r="F476" s="14" t="n">
        <v>1426.5</v>
      </c>
      <c r="G476" s="14" t="n">
        <v>3352</v>
      </c>
      <c r="H476" s="13" t="inlineStr">
        <is>
          <t>Car#473</t>
        </is>
      </c>
      <c r="I476" s="14">
        <f>E476-E475</f>
        <v/>
      </c>
      <c r="J476" s="14">
        <f>I476-58</f>
        <v/>
      </c>
      <c r="K476" s="14">
        <f>MAX(0,J476)</f>
        <v/>
      </c>
      <c r="L476" s="14">
        <f>MAX(0,-J476)</f>
        <v/>
      </c>
      <c r="M476" s="14">
        <f>M475+I476</f>
        <v/>
      </c>
      <c r="N476" s="14">
        <f>D476+F476-E476</f>
        <v/>
      </c>
      <c r="O476" s="13" t="inlineStr">
        <is>
          <t>能力超目标：四轮定位上、下、ARHUD+慢充</t>
        </is>
      </c>
      <c r="P476" s="13" t="inlineStr">
        <is>
          <t>ST1 引取(开:30899.0s 加:56.0s 等前:3349.0s 等后:0.0s) | ST2 集约(开:30955.0s 加:111.0s 等前:0.0s 等后:0.0s) | ST3 空气悬挂+快充(开:31066.0s 加:108.5s 等前:0.0s 等后:0.0s) | ST4 四轮定位上、下(开:31174.5s 加:120.5s 等前:0.0s 等后:0.0s) | ST5 ADAS(开:31295.0s 加:107.0s 等前:0.0s 等后:3.0s) | ST6 ARHUD+慢充(开:31405.0s 加:143.5s 等前:0.0s 等后:0.0s) | ST7 转毂(开:31548.5s 加:114.5s 等前:0.0s 等后:0.0s) | ST8 制动(开:31663.0s 加:114.0s 等前:0.0s 等后:0.0s) | ST9 EG漏液/底盘漏液(开:31777.0s 加:112.5s 等前:0.0s 等后:0.0s) | ST10 全景/空调检查(开:31889.5s 加:0.0s 等前:0.0s 等后:0.0s) | ST11 气囊安装+绝缘(开:31889.5s 加:116.0s 等前:0.0s 等后:0.0s) | ST12 L2++(开:32005.5s 加:88.0s 等前:0.0s 等后:0.0s) | ST13 电检1(开:32093.5s 加:84.5s 等前:0.0s 等后:0.0s) | ST14 电检2(开:32178.0s 加:97.5s 等前:0.0s 等后:0.0s) | ST15 小跑道(开:32275.5s 加:50.0s 等前:0.0s 等后:0.0s)</t>
        </is>
      </c>
    </row>
    <row r="477">
      <c r="A477" s="15" t="n">
        <v>476</v>
      </c>
      <c r="B477" s="15" t="inlineStr">
        <is>
          <t>Car#475</t>
        </is>
      </c>
      <c r="C477" s="15" t="inlineStr">
        <is>
          <t>C</t>
        </is>
      </c>
      <c r="D477" s="16" t="n">
        <v>30817.5</v>
      </c>
      <c r="E477" s="16" t="n">
        <v>32375.5</v>
      </c>
      <c r="F477" s="16" t="n">
        <v>1558</v>
      </c>
      <c r="G477" s="16" t="n">
        <v>3460</v>
      </c>
      <c r="H477" s="15" t="inlineStr">
        <is>
          <t>Car#476</t>
        </is>
      </c>
      <c r="I477" s="16">
        <f>E477-E476</f>
        <v/>
      </c>
      <c r="J477" s="16">
        <f>I477-58</f>
        <v/>
      </c>
      <c r="K477" s="16">
        <f>MAX(0,J477)</f>
        <v/>
      </c>
      <c r="L477" s="16">
        <f>MAX(0,-J477)</f>
        <v/>
      </c>
      <c r="M477" s="16">
        <f>M476+I477</f>
        <v/>
      </c>
      <c r="N477" s="16">
        <f>D477+F477-E477</f>
        <v/>
      </c>
      <c r="O477" s="15" t="inlineStr">
        <is>
          <t>能力超目标：四轮定位上、下、ARHUD+慢充</t>
        </is>
      </c>
      <c r="P477" s="15" t="inlineStr">
        <is>
          <t>ST1 引取(开:30817.5s 加:56.0s 等前:3325.5s 等后:25.5s) | ST2 集约(开:30899.0s 加:111.0s 等前:0.0s 等后:32.5s) | ST3 空气悬挂+快充(开:31042.5s 加:108.5s 等前:0.0s 等后:35.0s) | ST4 四轮定位上、下(开:31186.0s 加:120.5s 等前:0.0s 等后:0.0s) | ST5 ADAS(开:31306.5s 加:107.0s 等前:0.0s 等后:3.0s) | ST6 ARHUD+慢充(开:31416.5s 加:143.5s 等前:0.0s 等后:0.0s) | ST7 转毂(开:31560.0s 加:114.5s 等前:0.0s 等后:0.0s) | ST8 制动(开:31674.5s 加:114.0s 等前:0.0s 等后:0.0s) | ST9 EG漏液/底盘漏液(开:31788.5s 加:112.5s 等前:0.0s 等后:0.0s) | ST10 全景/空调检查(开:31901.0s 加:0.0s 等前:0.0s 等后:0.0s) | ST11 气囊安装+绝缘(开:31901.0s 加:116.0s 等前:0.0s 等后:0.0s) | ST12 L2++(开:32017.0s 加:88.0s 等前:0.0s 等后:0.0s) | ST13 电检1(开:32105.0s 加:84.5s 等前:0.0s 等后:0.0s) | ST14 电检2(开:32189.5s 加:97.5s 等前:0.0s 等后:38.5s) | ST15 小跑道(开:32325.5s 加:50.0s 等前:0.0s 等后:0.0s)</t>
        </is>
      </c>
    </row>
    <row r="478">
      <c r="A478" s="13" t="n">
        <v>477</v>
      </c>
      <c r="B478" s="13" t="inlineStr">
        <is>
          <t>Car#478</t>
        </is>
      </c>
      <c r="C478" s="13" t="inlineStr">
        <is>
          <t>C</t>
        </is>
      </c>
      <c r="D478" s="14" t="n">
        <v>31042.5</v>
      </c>
      <c r="E478" s="14" t="n">
        <v>32469</v>
      </c>
      <c r="F478" s="14" t="n">
        <v>1426.5</v>
      </c>
      <c r="G478" s="14" t="n">
        <v>3379.5</v>
      </c>
      <c r="H478" s="13" t="inlineStr">
        <is>
          <t>Car#475</t>
        </is>
      </c>
      <c r="I478" s="14">
        <f>E478-E477</f>
        <v/>
      </c>
      <c r="J478" s="14">
        <f>I478-58</f>
        <v/>
      </c>
      <c r="K478" s="14">
        <f>MAX(0,J478)</f>
        <v/>
      </c>
      <c r="L478" s="14">
        <f>MAX(0,-J478)</f>
        <v/>
      </c>
      <c r="M478" s="14">
        <f>M477+I478</f>
        <v/>
      </c>
      <c r="N478" s="14">
        <f>D478+F478-E478</f>
        <v/>
      </c>
      <c r="O478" s="13" t="inlineStr">
        <is>
          <t>能力超目标：四轮定位上、下、ARHUD+慢充</t>
        </is>
      </c>
      <c r="P478" s="13" t="inlineStr">
        <is>
          <t>ST1 引取(开:31042.5s 加:56.0s 等前:3376.5s 等后:0.0s) | ST2 集约(开:31098.5s 加:111.0s 等前:0.0s 等后:0.0s) | ST3 空气悬挂+快充(开:31209.5s 加:108.5s 等前:0.0s 等后:0.0s) | ST4 四轮定位上、下(开:31318.0s 加:120.5s 等前:0.0s 等后:0.0s) | ST5 ADAS(开:31438.5s 加:107.0s 等前:0.0s 等后:3.0s) | ST6 ARHUD+慢充(开:31548.5s 加:143.5s 等前:0.0s 等后:0.0s) | ST7 转毂(开:31692.0s 加:114.5s 等前:0.0s 等后:0.0s) | ST8 制动(开:31806.5s 加:114.0s 等前:0.0s 等后:0.0s) | ST9 EG漏液/底盘漏液(开:31920.5s 加:112.5s 等前:0.0s 等后:0.0s) | ST10 全景/空调检查(开:32033.0s 加:0.0s 等前:0.0s 等后:0.0s) | ST11 气囊安装+绝缘(开:32033.0s 加:116.0s 等前:0.0s 等后:0.0s) | ST12 L2++(开:32149.0s 加:88.0s 等前:0.0s 等后:0.0s) | ST13 电检1(开:32237.0s 加:84.5s 等前:0.0s 等后:0.0s) | ST14 电检2(开:32321.5s 加:97.5s 等前:0.0s 等后:0.0s) | ST15 小跑道(开:32419.0s 加:50.0s 等前:0.0s 等后:0.0s)</t>
        </is>
      </c>
    </row>
    <row r="479">
      <c r="A479" s="15" t="n">
        <v>478</v>
      </c>
      <c r="B479" s="15" t="inlineStr">
        <is>
          <t>Car#480</t>
        </is>
      </c>
      <c r="C479" s="15" t="inlineStr">
        <is>
          <t>A</t>
        </is>
      </c>
      <c r="D479" s="16" t="n">
        <v>31186</v>
      </c>
      <c r="E479" s="16" t="n">
        <v>32520</v>
      </c>
      <c r="F479" s="16" t="n">
        <v>1334</v>
      </c>
      <c r="G479" s="16" t="n">
        <v>3877</v>
      </c>
      <c r="H479" s="15" t="inlineStr">
        <is>
          <t>Car#478</t>
        </is>
      </c>
      <c r="I479" s="16">
        <f>E479-E478</f>
        <v/>
      </c>
      <c r="J479" s="16">
        <f>I479-58</f>
        <v/>
      </c>
      <c r="K479" s="16">
        <f>MAX(0,J479)</f>
        <v/>
      </c>
      <c r="L479" s="16">
        <f>MAX(0,-J479)</f>
        <v/>
      </c>
      <c r="M479" s="16">
        <f>M478+I479</f>
        <v/>
      </c>
      <c r="N479" s="16">
        <f>D479+F479-E479</f>
        <v/>
      </c>
      <c r="O479" s="15" t="inlineStr">
        <is>
          <t>能力满足</t>
        </is>
      </c>
      <c r="P479" s="15" t="inlineStr">
        <is>
          <t>ST1 引取(开:31186.0s 加:55.0s 等前:3404.0s 等后:0.0s) | ST2 集约(开:31241.0s 加:106.0s 等前:0.0s 等后:0.0s) | ST3 空气悬挂+快充(开:31347.0s 加:0.0s 等前:0.0s 等后:91.5s) | ST4 四轮定位上、下(开:31438.5s 加:115.0s 等前:0.0s 等后:0.0s) | ST5 ADAS(开:31553.5s 加:97.0s 等前:0.0s 等后:41.5s) | ST6 ARHUD+慢充(开:31692.0s 加:0.0s 等前:0.0s 等后:114.5s) | ST7 转毂(开:31806.5s 加:116.0s 等前:0.0s 等后:0.0s) | ST8 制动(开:31922.5s 加:108.0s 等前:0.0s 等后:2.5s) | ST9 EG漏液/底盘漏液(开:32033.0s 加:115.0s 等前:0.0s 等后:0.0s) | ST10 全景/空调检查(开:32148.0s 加:98.0s 等前:0.0s 等后:0.0s) | ST11 气囊安装+绝缘(开:32246.0s 加:0.0s 等前:0.0s 等后:0.0s) | ST12 L2++(开:32246.0s 加:0.0s 等前:0.0s 等后:75.5s) | ST13 电检1(开:32321.5s 加:0.0s 等前:0.0s 等后:97.5s) | ST14 电检2(开:32419.0s 加:0.0s 等前:0.0s 等后:50.0s) | ST15 小跑道(开:32469.0s 加:51.0s 等前:0.0s 等后:0.0s)</t>
        </is>
      </c>
    </row>
    <row r="480">
      <c r="A480" s="13" t="n">
        <v>479</v>
      </c>
      <c r="B480" s="13" t="inlineStr">
        <is>
          <t>Car#477</t>
        </is>
      </c>
      <c r="C480" s="13" t="inlineStr">
        <is>
          <t>C</t>
        </is>
      </c>
      <c r="D480" s="14" t="n">
        <v>30955</v>
      </c>
      <c r="E480" s="14" t="n">
        <v>32570</v>
      </c>
      <c r="F480" s="14" t="n">
        <v>1615</v>
      </c>
      <c r="G480" s="14" t="n">
        <v>3538.5</v>
      </c>
      <c r="H480" s="13" t="inlineStr">
        <is>
          <t>Car#480</t>
        </is>
      </c>
      <c r="I480" s="14">
        <f>E480-E479</f>
        <v/>
      </c>
      <c r="J480" s="14">
        <f>I480-58</f>
        <v/>
      </c>
      <c r="K480" s="14">
        <f>MAX(0,J480)</f>
        <v/>
      </c>
      <c r="L480" s="14">
        <f>MAX(0,-J480)</f>
        <v/>
      </c>
      <c r="M480" s="14">
        <f>M479+I480</f>
        <v/>
      </c>
      <c r="N480" s="14">
        <f>D480+F480-E480</f>
        <v/>
      </c>
      <c r="O480" s="13" t="inlineStr">
        <is>
          <t>能力超目标：四轮定位上、下、ARHUD+慢充</t>
        </is>
      </c>
      <c r="P480" s="13" t="inlineStr">
        <is>
          <t>ST1 引取(开:30955.0s 加:56.0s 等前:3347.0s 等后:31.5s) | ST2 集约(开:31042.5s 加:111.0s 等前:0.0s 等后:32.5s) | ST3 空气悬挂+快充(开:31186.0s 加:108.5s 等前:0.0s 等后:12.0s) | ST4 四轮定位上、下(开:31306.5s 加:120.5s 等前:0.0s 等后:0.0s) | ST5 ADAS(开:31427.0s 加:107.0s 等前:0.0s 等后:26.0s) | ST6 ARHUD+慢充(开:31560.0s 加:143.5s 等前:0.0s 等后:0.0s) | ST7 转毂(开:31703.5s 加:114.5s 等前:0.0s 等后:0.0s) | ST8 制动(开:31818.0s 加:114.0s 等前:0.0s 等后:0.0s) | ST9 EG漏液/底盘漏液(开:31932.0s 加:112.5s 等前:0.0s 等后:0.0s) | ST10 全景/空调检查(开:32044.5s 加:0.0s 等前:0.0s 等后:0.0s) | ST11 气囊安装+绝缘(开:32044.5s 加:116.0s 等前:0.0s 等后:0.0s) | ST12 L2++(开:32160.5s 加:88.0s 等前:0.0s 等后:0.0s) | ST13 电检1(开:32248.5s 加:84.5s 等前:0.0s 等后:0.0s) | ST14 电检2(开:32333.0s 加:97.5s 等前:0.0s 等后:89.5s) | ST15 小跑道(开:32520.0s 加:50.0s 等前:0.0s 等后:0.0s)</t>
        </is>
      </c>
    </row>
    <row r="481">
      <c r="A481" s="15" t="n">
        <v>480</v>
      </c>
      <c r="B481" s="15" t="inlineStr">
        <is>
          <t>Car#479</t>
        </is>
      </c>
      <c r="C481" s="15" t="inlineStr">
        <is>
          <t>A</t>
        </is>
      </c>
      <c r="D481" s="16" t="n">
        <v>31098.5</v>
      </c>
      <c r="E481" s="16" t="n">
        <v>32621</v>
      </c>
      <c r="F481" s="16" t="n">
        <v>1522.5</v>
      </c>
      <c r="G481" s="16" t="n">
        <v>4036</v>
      </c>
      <c r="H481" s="15" t="inlineStr">
        <is>
          <t>Car#477</t>
        </is>
      </c>
      <c r="I481" s="16">
        <f>E481-E480</f>
        <v/>
      </c>
      <c r="J481" s="16">
        <f>I481-58</f>
        <v/>
      </c>
      <c r="K481" s="16">
        <f>MAX(0,J481)</f>
        <v/>
      </c>
      <c r="L481" s="16">
        <f>MAX(0,-J481)</f>
        <v/>
      </c>
      <c r="M481" s="16">
        <f>M480+I481</f>
        <v/>
      </c>
      <c r="N481" s="16">
        <f>D481+F481-E481</f>
        <v/>
      </c>
      <c r="O481" s="15" t="inlineStr">
        <is>
          <t>能力满足</t>
        </is>
      </c>
      <c r="P481" s="15" t="inlineStr">
        <is>
          <t>ST1 引取(开:31098.5s 加:55.0s 等前:3374.5s 等后:32.5s) | ST2 集约(开:31186.0s 加:106.0s 等前:0.0s 等后:14.5s) | ST3 空气悬挂+快充(开:31306.5s 加:0.0s 等前:0.0s 等后:120.5s) | ST4 四轮定位上、下(开:31427.0s 加:115.0s 等前:0.0s 等后:18.0s) | ST5 ADAS(开:31560.0s 加:97.0s 等前:0.0s 等后:46.5s) | ST6 ARHUD+慢充(开:31703.5s 加:0.0s 等前:0.0s 等后:114.5s) | ST7 转毂(开:31818.0s 加:116.0s 等前:0.0s 等后:0.0s) | ST8 制动(开:31934.0s 加:108.0s 等前:0.0s 等后:2.5s) | ST9 EG漏液/底盘漏液(开:32044.5s 加:115.0s 等前:0.0s 等后:0.0s) | ST10 全景/空调检查(开:32159.5s 加:98.0s 等前:0.0s 等后:0.0s) | ST11 气囊安装+绝缘(开:32257.5s 加:0.0s 等前:0.0s 等后:0.0s) | ST12 L2++(开:32257.5s 加:0.0s 等前:0.0s 等后:75.5s) | ST13 电检1(开:32333.0s 加:0.0s 等前:0.0s 等后:187.0s) | ST14 电检2(开:32520.0s 加:0.0s 等前:0.0s 等后:50.0s) | ST15 小跑道(开:32570.0s 加:51.0s 等前:0.0s 等后:0.0s)</t>
        </is>
      </c>
    </row>
    <row r="482">
      <c r="A482" s="13" t="n">
        <v>481</v>
      </c>
      <c r="B482" s="13" t="inlineStr">
        <is>
          <t>Car#482</t>
        </is>
      </c>
      <c r="C482" s="13" t="inlineStr">
        <is>
          <t>B</t>
        </is>
      </c>
      <c r="D482" s="14" t="n">
        <v>31306.5</v>
      </c>
      <c r="E482" s="14" t="n">
        <v>32699.5</v>
      </c>
      <c r="F482" s="14" t="n">
        <v>1393</v>
      </c>
      <c r="G482" s="14" t="n">
        <v>3470</v>
      </c>
      <c r="H482" s="13" t="inlineStr">
        <is>
          <t>Car#479</t>
        </is>
      </c>
      <c r="I482" s="14">
        <f>E482-E481</f>
        <v/>
      </c>
      <c r="J482" s="14">
        <f>I482-58</f>
        <v/>
      </c>
      <c r="K482" s="14">
        <f>MAX(0,J482)</f>
        <v/>
      </c>
      <c r="L482" s="14">
        <f>MAX(0,-J482)</f>
        <v/>
      </c>
      <c r="M482" s="14">
        <f>M481+I482</f>
        <v/>
      </c>
      <c r="N482" s="14">
        <f>D482+F482-E482</f>
        <v/>
      </c>
      <c r="O482" s="13" t="inlineStr">
        <is>
          <t>能力超目标：四轮定位上、下</t>
        </is>
      </c>
      <c r="P482" s="13" t="inlineStr">
        <is>
          <t>ST1 引取(开:31306.5s 加:56.0s 等前:3408.5s 等后:0.0s) | ST2 集约(开:31362.5s 加:111.0s 等前:0.0s 等后:0.0s) | ST3 空气悬挂+快充(开:31473.5s 加:108.5s 等前:0.0s 等后:0.0s) | ST4 四轮定位上、下(开:31582.0s 加:120.5s 等前:0.0s 等后:0.0s) | ST5 ADAS(开:31702.5s 加:107.0s 等前:0.0s 等后:0.0s) | ST6 ARHUD+慢充(开:31809.5s 加:51.5s 等前:0.0s 等后:61.5s) | ST7 转毂(开:31922.5s 加:114.5s 等前:0.0s 等后:0.0s) | ST8 制动(开:32037.0s 加:114.0s 等前:0.0s 等后:0.0s) | ST9 EG漏液/底盘漏液(开:32151.0s 加:112.5s 等前:0.0s 等后:0.0s) | ST10 全景/空调检查(开:32263.5s 加:0.0s 等前:0.0s 等后:0.0s) | ST11 气囊安装+绝缘(开:32263.5s 加:116.0s 等前:0.0s 等后:0.0s) | ST12 L2++(开:32379.5s 加:88.0s 等前:0.0s 等后:0.0s) | ST13 电检1(开:32467.5s 加:84.5s 等前:0.0s 等后:0.0s) | ST14 电检2(开:32552.0s 加:97.5s 等前:0.0s 等后:0.0s) | ST15 小跑道(开:32649.5s 加:50.0s 等前:0.0s 等后:0.0s)</t>
        </is>
      </c>
    </row>
    <row r="483">
      <c r="A483" s="15" t="n">
        <v>482</v>
      </c>
      <c r="B483" s="15" t="inlineStr">
        <is>
          <t>Car#481</t>
        </is>
      </c>
      <c r="C483" s="15" t="inlineStr">
        <is>
          <t>B</t>
        </is>
      </c>
      <c r="D483" s="16" t="n">
        <v>31241</v>
      </c>
      <c r="E483" s="16" t="n">
        <v>32752</v>
      </c>
      <c r="F483" s="16" t="n">
        <v>1511</v>
      </c>
      <c r="G483" s="16" t="n">
        <v>3580.5</v>
      </c>
      <c r="H483" s="15" t="inlineStr">
        <is>
          <t>Car#482</t>
        </is>
      </c>
      <c r="I483" s="16">
        <f>E483-E482</f>
        <v/>
      </c>
      <c r="J483" s="16">
        <f>I483-58</f>
        <v/>
      </c>
      <c r="K483" s="16">
        <f>MAX(0,J483)</f>
        <v/>
      </c>
      <c r="L483" s="16">
        <f>MAX(0,-J483)</f>
        <v/>
      </c>
      <c r="M483" s="16">
        <f>M482+I483</f>
        <v/>
      </c>
      <c r="N483" s="16">
        <f>D483+F483-E483</f>
        <v/>
      </c>
      <c r="O483" s="15" t="inlineStr">
        <is>
          <t>能力超目标：四轮定位上、下</t>
        </is>
      </c>
      <c r="P483" s="15" t="inlineStr">
        <is>
          <t>ST1 引取(开:31241.0s 加:56.0s 等前:3401.0s 等后:9.5s) | ST2 集约(开:31306.5s 加:111.0s 等前:0.0s 等后:9.5s) | ST3 空气悬挂+快充(开:31427.0s 加:108.5s 等前:0.0s 等后:24.5s) | ST4 四轮定位上、下(开:31560.0s 加:120.5s 等前:0.0s 等后:23.0s) | ST5 ADAS(开:31703.5s 加:107.0s 等前:0.0s 等后:7.5s) | ST6 ARHUD+慢充(开:31818.0s 加:51.5s 等前:0.0s 等后:64.5s) | ST7 转毂(开:31934.0s 加:114.5s 等前:0.0s 等后:0.0s) | ST8 制动(开:32048.5s 加:114.0s 等前:0.0s 等后:0.0s) | ST9 EG漏液/底盘漏液(开:32162.5s 加:112.5s 等前:0.0s 等后:0.0s) | ST10 全景/空调检查(开:32275.0s 加:0.0s 等前:0.0s 等后:0.0s) | ST11 气囊安装+绝缘(开:32275.0s 加:116.0s 等前:0.0s 等后:0.0s) | ST12 L2++(开:32391.0s 加:88.0s 等前:0.0s 等后:41.0s) | ST13 电检1(开:32520.0s 加:84.5s 等前:0.0s 等后:0.0s) | ST14 电检2(开:32604.5s 加:97.5s 等前:0.0s 等后:0.0s) | ST15 小跑道(开:32702.0s 加:50.0s 等前:0.0s 等后:0.0s)</t>
        </is>
      </c>
    </row>
    <row r="484">
      <c r="A484" s="13" t="n">
        <v>483</v>
      </c>
      <c r="B484" s="13" t="inlineStr">
        <is>
          <t>Car#484</t>
        </is>
      </c>
      <c r="C484" s="13" t="inlineStr">
        <is>
          <t>C</t>
        </is>
      </c>
      <c r="D484" s="14" t="n">
        <v>31427</v>
      </c>
      <c r="E484" s="14" t="n">
        <v>32850.5</v>
      </c>
      <c r="F484" s="14" t="n">
        <v>1423.5</v>
      </c>
      <c r="G484" s="14" t="n">
        <v>3413</v>
      </c>
      <c r="H484" s="13" t="inlineStr">
        <is>
          <t>Car#481</t>
        </is>
      </c>
      <c r="I484" s="14">
        <f>E484-E483</f>
        <v/>
      </c>
      <c r="J484" s="14">
        <f>I484-58</f>
        <v/>
      </c>
      <c r="K484" s="14">
        <f>MAX(0,J484)</f>
        <v/>
      </c>
      <c r="L484" s="14">
        <f>MAX(0,-J484)</f>
        <v/>
      </c>
      <c r="M484" s="14">
        <f>M483+I484</f>
        <v/>
      </c>
      <c r="N484" s="14">
        <f>D484+F484-E484</f>
        <v/>
      </c>
      <c r="O484" s="13" t="inlineStr">
        <is>
          <t>能力超目标：四轮定位上、下、ARHUD+慢充</t>
        </is>
      </c>
      <c r="P484" s="13" t="inlineStr">
        <is>
          <t>ST1 引取(开:31427.0s 加:56.0s 等前:3413.0s 等后:0.0s) | ST2 集约(开:31483.0s 加:111.0s 等前:0.0s 等后:0.0s) | ST3 空气悬挂+快充(开:31594.0s 加:108.5s 等前:0.0s 等后:0.0s) | ST4 四轮定位上、下(开:31702.5s 加:120.5s 等前:0.0s 等后:0.0s) | ST5 ADAS(开:31823.0s 加:107.0s 等前:0.0s 等后:0.0s) | ST6 ARHUD+慢充(开:31930.0s 加:143.5s 等前:0.0s 等后:0.0s) | ST7 转毂(开:32073.5s 加:114.5s 等前:0.0s 等后:0.0s) | ST8 制动(开:32188.0s 加:114.0s 等前:0.0s 等后:0.0s) | ST9 EG漏液/底盘漏液(开:32302.0s 加:112.5s 等前:0.0s 等后:0.0s) | ST10 全景/空调检查(开:32414.5s 加:0.0s 等前:0.0s 等后:0.0s) | ST11 气囊安装+绝缘(开:32414.5s 加:116.0s 等前:0.0s 等后:0.0s) | ST12 L2++(开:32530.5s 加:88.0s 等前:0.0s 等后:0.0s) | ST13 电检1(开:32618.5s 加:84.5s 等前:0.0s 等后:0.0s) | ST14 电检2(开:32703.0s 加:97.5s 等前:0.0s 等后:0.0s) | ST15 小跑道(开:32800.5s 加:50.0s 等前:0.0s 等后:0.0s)</t>
        </is>
      </c>
    </row>
    <row r="485">
      <c r="A485" s="15" t="n">
        <v>484</v>
      </c>
      <c r="B485" s="15" t="inlineStr">
        <is>
          <t>Car#483</t>
        </is>
      </c>
      <c r="C485" s="15" t="inlineStr">
        <is>
          <t>C</t>
        </is>
      </c>
      <c r="D485" s="16" t="n">
        <v>31362.5</v>
      </c>
      <c r="E485" s="16" t="n">
        <v>32900.5</v>
      </c>
      <c r="F485" s="16" t="n">
        <v>1538</v>
      </c>
      <c r="G485" s="16" t="n">
        <v>3521</v>
      </c>
      <c r="H485" s="15" t="inlineStr">
        <is>
          <t>Car#484</t>
        </is>
      </c>
      <c r="I485" s="16">
        <f>E485-E484</f>
        <v/>
      </c>
      <c r="J485" s="16">
        <f>I485-58</f>
        <v/>
      </c>
      <c r="K485" s="16">
        <f>MAX(0,J485)</f>
        <v/>
      </c>
      <c r="L485" s="16">
        <f>MAX(0,-J485)</f>
        <v/>
      </c>
      <c r="M485" s="16">
        <f>M484+I485</f>
        <v/>
      </c>
      <c r="N485" s="16">
        <f>D485+F485-E485</f>
        <v/>
      </c>
      <c r="O485" s="15" t="inlineStr">
        <is>
          <t>能力超目标：四轮定位上、下、ARHUD+慢充</t>
        </is>
      </c>
      <c r="P485" s="15" t="inlineStr">
        <is>
          <t>ST1 引取(开:31362.5s 加:56.0s 等前:3406.5s 等后:8.5s) | ST2 集约(开:31427.0s 加:111.0s 等前:0.0s 等后:22.0s) | ST3 空气悬挂+快充(开:31560.0s 加:108.5s 等前:0.0s 等后:35.0s) | ST4 四轮定位上、下(开:31703.5s 加:120.5s 等前:0.0s 等后:0.0s) | ST5 ADAS(开:31824.0s 加:107.0s 等前:0.0s 等后:3.0s) | ST6 ARHUD+慢充(开:31934.0s 加:143.5s 等前:0.0s 等后:0.0s) | ST7 转毂(开:32077.5s 加:114.5s 等前:0.0s 等后:0.0s) | ST8 制动(开:32192.0s 加:114.0s 等前:0.0s 等后:0.0s) | ST9 EG漏液/底盘漏液(开:32306.0s 加:112.5s 等前:0.0s 等后:0.0s) | ST10 全景/空调检查(开:32418.5s 加:0.0s 等前:0.0s 等后:0.0s) | ST11 气囊安装+绝缘(开:32418.5s 加:116.0s 等前:0.0s 等后:0.0s) | ST12 L2++(开:32534.5s 加:88.0s 等前:0.0s 等后:0.0s) | ST13 电检1(开:32622.5s 加:84.5s 等前:0.0s 等后:0.0s) | ST14 电检2(开:32707.0s 加:97.5s 等前:0.0s 等后:46.0s) | ST15 小跑道(开:32850.5s 加:50.0s 等前:0.0s 等后:0.0s)</t>
        </is>
      </c>
    </row>
    <row r="486">
      <c r="A486" s="13" t="n">
        <v>485</v>
      </c>
      <c r="B486" s="13" t="inlineStr">
        <is>
          <t>Car#486</t>
        </is>
      </c>
      <c r="C486" s="13" t="inlineStr">
        <is>
          <t>C</t>
        </is>
      </c>
      <c r="D486" s="14" t="n">
        <v>31560</v>
      </c>
      <c r="E486" s="14" t="n">
        <v>32994</v>
      </c>
      <c r="F486" s="14" t="n">
        <v>1434</v>
      </c>
      <c r="G486" s="14" t="n">
        <v>3440.5</v>
      </c>
      <c r="H486" s="13" t="inlineStr">
        <is>
          <t>Car#483</t>
        </is>
      </c>
      <c r="I486" s="14">
        <f>E486-E485</f>
        <v/>
      </c>
      <c r="J486" s="14">
        <f>I486-58</f>
        <v/>
      </c>
      <c r="K486" s="14">
        <f>MAX(0,J486)</f>
        <v/>
      </c>
      <c r="L486" s="14">
        <f>MAX(0,-J486)</f>
        <v/>
      </c>
      <c r="M486" s="14">
        <f>M485+I486</f>
        <v/>
      </c>
      <c r="N486" s="14">
        <f>D486+F486-E486</f>
        <v/>
      </c>
      <c r="O486" s="13" t="inlineStr">
        <is>
          <t>能力超目标：四轮定位上、下、ARHUD+慢充</t>
        </is>
      </c>
      <c r="P486" s="13" t="inlineStr">
        <is>
          <t>ST1 引取(开:31560.0s 加:56.0s 等前:3430.0s 等后:0.0s) | ST2 集约(开:31616.0s 加:111.0s 等前:0.0s 等后:0.0s) | ST3 空气悬挂+快充(开:31727.0s 加:108.5s 等前:0.0s 等后:0.0s) | ST4 四轮定位上、下(开:31835.5s 加:120.5s 等前:0.0s 等后:0.0s) | ST5 ADAS(开:31956.0s 加:107.0s 等前:0.0s 等后:10.5s) | ST6 ARHUD+慢充(开:32073.5s 加:143.5s 等前:0.0s 等后:0.0s) | ST7 转毂(开:32217.0s 加:114.5s 等前:0.0s 等后:0.0s) | ST8 制动(开:32331.5s 加:114.0s 等前:0.0s 等后:0.0s) | ST9 EG漏液/底盘漏液(开:32445.5s 加:112.5s 等前:0.0s 等后:0.0s) | ST10 全景/空调检查(开:32558.0s 加:0.0s 等前:0.0s 等后:0.0s) | ST11 气囊安装+绝缘(开:32558.0s 加:116.0s 等前:0.0s 等后:0.0s) | ST12 L2++(开:32674.0s 加:88.0s 等前:0.0s 等后:0.0s) | ST13 电检1(开:32762.0s 加:84.5s 等前:0.0s 等后:0.0s) | ST14 电检2(开:32846.5s 加:97.5s 等前:0.0s 等后:0.0s) | ST15 小跑道(开:32944.0s 加:50.0s 等前:0.0s 等后:0.0s)</t>
        </is>
      </c>
    </row>
    <row r="487">
      <c r="A487" s="15" t="n">
        <v>486</v>
      </c>
      <c r="B487" s="15" t="inlineStr">
        <is>
          <t>Car#485</t>
        </is>
      </c>
      <c r="C487" s="15" t="inlineStr">
        <is>
          <t>C</t>
        </is>
      </c>
      <c r="D487" s="16" t="n">
        <v>31483</v>
      </c>
      <c r="E487" s="16" t="n">
        <v>33044</v>
      </c>
      <c r="F487" s="16" t="n">
        <v>1561</v>
      </c>
      <c r="G487" s="16" t="n">
        <v>3548.5</v>
      </c>
      <c r="H487" s="15" t="inlineStr">
        <is>
          <t>Car#486</t>
        </is>
      </c>
      <c r="I487" s="16">
        <f>E487-E486</f>
        <v/>
      </c>
      <c r="J487" s="16">
        <f>I487-58</f>
        <v/>
      </c>
      <c r="K487" s="16">
        <f>MAX(0,J487)</f>
        <v/>
      </c>
      <c r="L487" s="16">
        <f>MAX(0,-J487)</f>
        <v/>
      </c>
      <c r="M487" s="16">
        <f>M486+I487</f>
        <v/>
      </c>
      <c r="N487" s="16">
        <f>D487+F487-E487</f>
        <v/>
      </c>
      <c r="O487" s="15" t="inlineStr">
        <is>
          <t>能力超目标：四轮定位上、下、ARHUD+慢充</t>
        </is>
      </c>
      <c r="P487" s="15" t="inlineStr">
        <is>
          <t>ST1 引取(开:31483.0s 加:56.0s 等前:3411.0s 等后:21.0s) | ST2 集约(开:31560.0s 加:111.0s 等前:0.0s 等后:32.5s) | ST3 空气悬挂+快充(开:31703.5s 加:108.5s 等前:0.0s 等后:12.0s) | ST4 四轮定位上、下(开:31824.0s 加:120.5s 等前:0.0s 等后:0.0s) | ST5 ADAS(开:31944.5s 加:107.0s 等前:0.0s 等后:26.0s) | ST6 ARHUD+慢充(开:32077.5s 加:143.5s 等前:0.0s 等后:0.0s) | ST7 转毂(开:32221.0s 加:114.5s 等前:0.0s 等后:0.0s) | ST8 制动(开:32335.5s 加:114.0s 等前:0.0s 等后:0.0s) | ST9 EG漏液/底盘漏液(开:32449.5s 加:112.5s 等前:0.0s 等后:0.0s) | ST10 全景/空调检查(开:32562.0s 加:0.0s 等前:0.0s 等后:0.0s) | ST11 气囊安装+绝缘(开:32562.0s 加:116.0s 等前:0.0s 等后:0.0s) | ST12 L2++(开:32678.0s 加:88.0s 等前:0.0s 等后:0.0s) | ST13 电检1(开:32766.0s 加:84.5s 等前:0.0s 等后:0.0s) | ST14 电检2(开:32850.5s 加:97.5s 等前:0.0s 等后:46.0s) | ST15 小跑道(开:32994.0s 加:50.0s 等前:0.0s 等后:0.0s)</t>
        </is>
      </c>
    </row>
    <row r="488">
      <c r="A488" s="13" t="n">
        <v>487</v>
      </c>
      <c r="B488" s="13" t="inlineStr">
        <is>
          <t>Car#487</t>
        </is>
      </c>
      <c r="C488" s="13" t="inlineStr">
        <is>
          <t>A</t>
        </is>
      </c>
      <c r="D488" s="14" t="n">
        <v>31616</v>
      </c>
      <c r="E488" s="14" t="n">
        <v>33095</v>
      </c>
      <c r="F488" s="14" t="n">
        <v>1479</v>
      </c>
      <c r="G488" s="14" t="n">
        <v>4046</v>
      </c>
      <c r="H488" s="13" t="inlineStr">
        <is>
          <t>Car#485</t>
        </is>
      </c>
      <c r="I488" s="14">
        <f>E488-E487</f>
        <v/>
      </c>
      <c r="J488" s="14">
        <f>I488-58</f>
        <v/>
      </c>
      <c r="K488" s="14">
        <f>MAX(0,J488)</f>
        <v/>
      </c>
      <c r="L488" s="14">
        <f>MAX(0,-J488)</f>
        <v/>
      </c>
      <c r="M488" s="14">
        <f>M487+I488</f>
        <v/>
      </c>
      <c r="N488" s="14">
        <f>D488+F488-E488</f>
        <v/>
      </c>
      <c r="O488" s="13" t="inlineStr">
        <is>
          <t>能力满足</t>
        </is>
      </c>
      <c r="P488" s="13" t="inlineStr">
        <is>
          <t>ST1 引取(开:31616.0s 加:55.0s 等前:3428.0s 等后:32.5s) | ST2 集约(开:31703.5s 加:106.0s 等前:0.0s 等后:14.5s) | ST3 空气悬挂+快充(开:31824.0s 加:0.0s 等前:0.0s 等后:120.5s) | ST4 四轮定位上、下(开:31944.5s 加:115.0s 等前:0.0s 等后:18.0s) | ST5 ADAS(开:32077.5s 加:97.0s 等前:0.0s 等后:46.5s) | ST6 ARHUD+慢充(开:32221.0s 加:0.0s 等前:0.0s 等后:114.5s) | ST7 转毂(开:32335.5s 加:116.0s 等前:0.0s 等后:0.0s) | ST8 制动(开:32451.5s 加:108.0s 等前:0.0s 等后:2.5s) | ST9 EG漏液/底盘漏液(开:32562.0s 加:115.0s 等前:0.0s 等后:0.0s) | ST10 全景/空调检查(开:32677.0s 加:98.0s 等前:0.0s 等后:0.0s) | ST11 气囊安装+绝缘(开:32775.0s 加:0.0s 等前:0.0s 等后:0.0s) | ST12 L2++(开:32775.0s 加:0.0s 等前:0.0s 等后:75.5s) | ST13 电检1(开:32850.5s 加:0.0s 等前:0.0s 等后:143.5s) | ST14 电检2(开:32994.0s 加:0.0s 等前:0.0s 等后:50.0s) | ST15 小跑道(开:33044.0s 加:51.0s 等前:0.0s 等后:0.0s)</t>
        </is>
      </c>
    </row>
    <row r="489">
      <c r="A489" s="15" t="n">
        <v>488</v>
      </c>
      <c r="B489" s="15" t="inlineStr">
        <is>
          <t>Car#488</t>
        </is>
      </c>
      <c r="C489" s="15" t="inlineStr">
        <is>
          <t>B</t>
        </is>
      </c>
      <c r="D489" s="16" t="n">
        <v>31703.5</v>
      </c>
      <c r="E489" s="16" t="n">
        <v>33145</v>
      </c>
      <c r="F489" s="16" t="n">
        <v>1441.5</v>
      </c>
      <c r="G489" s="16" t="n">
        <v>3567.5</v>
      </c>
      <c r="H489" s="15" t="inlineStr">
        <is>
          <t>Car#487</t>
        </is>
      </c>
      <c r="I489" s="16">
        <f>E489-E488</f>
        <v/>
      </c>
      <c r="J489" s="16">
        <f>I489-58</f>
        <v/>
      </c>
      <c r="K489" s="16">
        <f>MAX(0,J489)</f>
        <v/>
      </c>
      <c r="L489" s="16">
        <f>MAX(0,-J489)</f>
        <v/>
      </c>
      <c r="M489" s="16">
        <f>M488+I489</f>
        <v/>
      </c>
      <c r="N489" s="16">
        <f>D489+F489-E489</f>
        <v/>
      </c>
      <c r="O489" s="15" t="inlineStr">
        <is>
          <t>能力超目标：四轮定位上、下</t>
        </is>
      </c>
      <c r="P489" s="15" t="inlineStr">
        <is>
          <t>ST1 引取(开:31703.5s 加:56.0s 等前:3457.5s 等后:0.0s) | ST2 集约(开:31759.5s 加:111.0s 等前:0.0s 等后:0.0s) | ST3 空气悬挂+快充(开:31870.5s 加:108.5s 等前:0.0s 等后:0.0s) | ST4 四轮定位上、下(开:31979.0s 加:120.5s 等前:0.0s 等后:0.0s) | ST5 ADAS(开:32099.5s 加:107.0s 等前:0.0s 等后:10.5s) | ST6 ARHUD+慢充(开:32217.0s 加:51.5s 等前:0.0s 等后:63.0s) | ST7 转毂(开:32331.5s 加:114.5s 等前:0.0s 等后:0.0s) | ST8 制动(开:32446.0s 加:114.0s 等前:0.0s 等后:0.0s) | ST9 EG漏液/底盘漏液(开:32560.0s 加:112.5s 等前:0.0s 等后:0.0s) | ST10 全景/空调检查(开:32672.5s 加:0.0s 等前:0.0s 等后:1.5s) | ST11 气囊安装+绝缘(开:32674.0s 加:116.0s 等前:0.0s 等后:0.0s) | ST12 L2++(开:32790.0s 加:88.0s 等前:0.0s 等后:0.0s) | ST13 电检1(开:32878.0s 加:84.5s 等前:0.0s 等后:0.0s) | ST14 电检2(开:32962.5s 加:97.5s 等前:0.0s 等后:35.0s) | ST15 小跑道(开:33095.0s 加:50.0s 等前:0.0s 等后:0.0s)</t>
        </is>
      </c>
    </row>
    <row r="490">
      <c r="A490" s="13" t="n">
        <v>489</v>
      </c>
      <c r="B490" s="13" t="inlineStr">
        <is>
          <t>Car#489</t>
        </is>
      </c>
      <c r="C490" s="13" t="inlineStr">
        <is>
          <t>B</t>
        </is>
      </c>
      <c r="D490" s="14" t="n">
        <v>31759.5</v>
      </c>
      <c r="E490" s="14" t="n">
        <v>33228.5</v>
      </c>
      <c r="F490" s="14" t="n">
        <v>1469</v>
      </c>
      <c r="G490" s="14" t="n">
        <v>3593</v>
      </c>
      <c r="H490" s="13" t="inlineStr">
        <is>
          <t>Car#488</t>
        </is>
      </c>
      <c r="I490" s="14">
        <f>E490-E489</f>
        <v/>
      </c>
      <c r="J490" s="14">
        <f>I490-58</f>
        <v/>
      </c>
      <c r="K490" s="14">
        <f>MAX(0,J490)</f>
        <v/>
      </c>
      <c r="L490" s="14">
        <f>MAX(0,-J490)</f>
        <v/>
      </c>
      <c r="M490" s="14">
        <f>M489+I490</f>
        <v/>
      </c>
      <c r="N490" s="14">
        <f>D490+F490-E490</f>
        <v/>
      </c>
      <c r="O490" s="13" t="inlineStr">
        <is>
          <t>能力超目标：四轮定位上、下</t>
        </is>
      </c>
      <c r="P490" s="13" t="inlineStr">
        <is>
          <t>ST1 引取(开:31759.5s 加:56.0s 等前:3455.5s 等后:8.5s) | ST2 集约(开:31824.0s 加:111.0s 等前:0.0s 等后:9.5s) | ST3 空气悬挂+快充(开:31944.5s 加:108.5s 等前:0.0s 等后:24.5s) | ST4 四轮定位上、下(开:32077.5s 加:120.5s 等前:0.0s 等后:23.0s) | ST5 ADAS(开:32221.0s 加:107.0s 等前:0.0s 等后:7.5s) | ST6 ARHUD+慢充(开:32335.5s 加:51.5s 等前:0.0s 等后:64.5s) | ST7 转毂(开:32451.5s 加:114.5s 等前:0.0s 等后:0.0s) | ST8 制动(开:32566.0s 加:114.0s 等前:0.0s 等后:0.0s) | ST9 EG漏液/底盘漏液(开:32680.0s 加:112.5s 等前:0.0s 等后:0.0s) | ST10 全景/空调检查(开:32792.5s 加:0.0s 等前:0.0s 等后:0.0s) | ST11 气囊安装+绝缘(开:32792.5s 加:116.0s 等前:0.0s 等后:0.0s) | ST12 L2++(开:32908.5s 加:88.0s 等前:0.0s 等后:0.0s) | ST13 电检1(开:32996.5s 加:84.5s 等前:0.0s 等后:0.0s) | ST14 电检2(开:33081.0s 加:97.5s 等前:0.0s 等后:0.0s) | ST15 小跑道(开:33178.5s 加:50.0s 等前:0.0s 等后:0.0s)</t>
        </is>
      </c>
    </row>
    <row r="491">
      <c r="A491" s="15" t="n">
        <v>490</v>
      </c>
      <c r="B491" s="15" t="inlineStr">
        <is>
          <t>Car#490</t>
        </is>
      </c>
      <c r="C491" s="15" t="inlineStr">
        <is>
          <t>B</t>
        </is>
      </c>
      <c r="D491" s="16" t="n">
        <v>31824</v>
      </c>
      <c r="E491" s="16" t="n">
        <v>33278.5</v>
      </c>
      <c r="F491" s="16" t="n">
        <v>1454.5</v>
      </c>
      <c r="G491" s="16" t="n">
        <v>3585</v>
      </c>
      <c r="H491" s="15" t="inlineStr">
        <is>
          <t>Car#489</t>
        </is>
      </c>
      <c r="I491" s="16">
        <f>E491-E490</f>
        <v/>
      </c>
      <c r="J491" s="16">
        <f>I491-58</f>
        <v/>
      </c>
      <c r="K491" s="16">
        <f>MAX(0,J491)</f>
        <v/>
      </c>
      <c r="L491" s="16">
        <f>MAX(0,-J491)</f>
        <v/>
      </c>
      <c r="M491" s="16">
        <f>M490+I491</f>
        <v/>
      </c>
      <c r="N491" s="16">
        <f>D491+F491-E491</f>
        <v/>
      </c>
      <c r="O491" s="15" t="inlineStr">
        <is>
          <t>能力超目标：四轮定位上、下</t>
        </is>
      </c>
      <c r="P491" s="15" t="inlineStr">
        <is>
          <t>ST1 引取(开:31824.0s 加:56.0s 等前:3462.0s 等后:0.0s) | ST2 集约(开:31880.0s 加:111.0s 等前:0.0s 等后:0.0s) | ST3 空气悬挂+快充(开:31991.0s 加:108.5s 等前:0.0s 等后:0.0s) | ST4 四轮定位上、下(开:32099.5s 加:120.5s 等前:0.0s 等后:0.0s) | ST5 ADAS(开:32220.0s 加:107.0s 等前:0.0s 等后:4.5s) | ST6 ARHUD+慢充(开:32331.5s 加:51.5s 等前:0.0s 等后:63.0s) | ST7 转毂(开:32446.0s 加:114.5s 等前:0.0s 等后:0.0s) | ST8 制动(开:32560.5s 加:114.0s 等前:0.0s 等后:0.0s) | ST9 EG漏液/底盘漏液(开:32674.5s 加:112.5s 等前:0.0s 等后:0.0s) | ST10 全景/空调检查(开:32787.0s 加:0.0s 等前:0.0s 等后:3.0s) | ST11 气囊安装+绝缘(开:32790.0s 加:116.0s 等前:0.0s 等后:0.0s) | ST12 L2++(开:32906.0s 加:88.0s 等前:0.0s 等后:0.0s) | ST13 电检1(开:32994.0s 加:84.5s 等前:0.0s 等后:16.5s) | ST14 电检2(开:33095.0s 加:97.5s 等前:0.0s 等后:36.0s) | ST15 小跑道(开:33228.5s 加:50.0s 等前:0.0s 等后:0.0s)</t>
        </is>
      </c>
    </row>
    <row r="492">
      <c r="A492" s="13" t="n">
        <v>491</v>
      </c>
      <c r="B492" s="13" t="inlineStr">
        <is>
          <t>Car#492</t>
        </is>
      </c>
      <c r="C492" s="13" t="inlineStr">
        <is>
          <t>A</t>
        </is>
      </c>
      <c r="D492" s="14" t="n">
        <v>31944.5</v>
      </c>
      <c r="E492" s="14" t="n">
        <v>33329.5</v>
      </c>
      <c r="F492" s="14" t="n">
        <v>1385</v>
      </c>
      <c r="G492" s="14" t="n">
        <v>3990.5</v>
      </c>
      <c r="H492" s="13" t="inlineStr">
        <is>
          <t>Car#490</t>
        </is>
      </c>
      <c r="I492" s="14">
        <f>E492-E491</f>
        <v/>
      </c>
      <c r="J492" s="14">
        <f>I492-58</f>
        <v/>
      </c>
      <c r="K492" s="14">
        <f>MAX(0,J492)</f>
        <v/>
      </c>
      <c r="L492" s="14">
        <f>MAX(0,-J492)</f>
        <v/>
      </c>
      <c r="M492" s="14">
        <f>M491+I492</f>
        <v/>
      </c>
      <c r="N492" s="14">
        <f>D492+F492-E492</f>
        <v/>
      </c>
      <c r="O492" s="13" t="inlineStr">
        <is>
          <t>能力满足</t>
        </is>
      </c>
      <c r="P492" s="13" t="inlineStr">
        <is>
          <t>ST1 引取(开:31944.5s 加:55.0s 等前:3466.5s 等后:0.0s) | ST2 集约(开:31999.5s 加:106.0s 等前:0.0s 等后:0.0s) | ST3 空气悬挂+快充(开:32105.5s 加:0.0s 等前:0.0s 等后:114.5s) | ST4 四轮定位上、下(开:32220.0s 加:115.0s 等前:0.0s 等后:0.0s) | ST5 ADAS(开:32335.0s 加:97.0s 等前:0.0s 等后:14.0s) | ST6 ARHUD+慢充(开:32446.0s 加:0.0s 等前:0.0s 等后:114.5s) | ST7 转毂(开:32560.5s 加:116.0s 等前:0.0s 等后:0.0s) | ST8 制动(开:32676.5s 加:108.0s 等前:0.0s 等后:2.5s) | ST9 EG漏液/底盘漏液(开:32787.0s 加:115.0s 等前:0.0s 等后:0.0s) | ST10 全景/空调检查(开:32902.0s 加:98.0s 等前:0.0s 等后:0.0s) | ST11 气囊安装+绝缘(开:33000.0s 加:0.0s 等前:0.0s 等后:0.0s) | ST12 L2++(开:33000.0s 加:0.0s 等前:0.0s 等后:95.0s) | ST13 电检1(开:33095.0s 加:0.0s 等前:0.0s 等后:133.5s) | ST14 电检2(开:33228.5s 加:0.0s 等前:0.0s 等后:50.0s) | ST15 小跑道(开:33278.5s 加:51.0s 等前:0.0s 等后:0.0s)</t>
        </is>
      </c>
    </row>
    <row r="493">
      <c r="A493" s="15" t="n">
        <v>492</v>
      </c>
      <c r="B493" s="15" t="inlineStr">
        <is>
          <t>Car#491</t>
        </is>
      </c>
      <c r="C493" s="15" t="inlineStr">
        <is>
          <t>C</t>
        </is>
      </c>
      <c r="D493" s="16" t="n">
        <v>31880</v>
      </c>
      <c r="E493" s="16" t="n">
        <v>33379.5</v>
      </c>
      <c r="F493" s="16" t="n">
        <v>1499.5</v>
      </c>
      <c r="G493" s="16" t="n">
        <v>3536</v>
      </c>
      <c r="H493" s="15" t="inlineStr">
        <is>
          <t>Car#492</t>
        </is>
      </c>
      <c r="I493" s="16">
        <f>E493-E492</f>
        <v/>
      </c>
      <c r="J493" s="16">
        <f>I493-58</f>
        <v/>
      </c>
      <c r="K493" s="16">
        <f>MAX(0,J493)</f>
        <v/>
      </c>
      <c r="L493" s="16">
        <f>MAX(0,-J493)</f>
        <v/>
      </c>
      <c r="M493" s="16">
        <f>M492+I493</f>
        <v/>
      </c>
      <c r="N493" s="16">
        <f>D493+F493-E493</f>
        <v/>
      </c>
      <c r="O493" s="15" t="inlineStr">
        <is>
          <t>能力超目标：四轮定位上、下、ARHUD+慢充</t>
        </is>
      </c>
      <c r="P493" s="15" t="inlineStr">
        <is>
          <t>ST1 引取(开:31880.0s 加:56.0s 等前:3460.0s 等后:8.5s) | ST2 集约(开:31944.5s 加:111.0s 等前:0.0s 等后:22.0s) | ST3 空气悬挂+快充(开:32077.5s 加:108.5s 等前:0.0s 等后:35.0s) | ST4 四轮定位上、下(开:32221.0s 加:120.5s 等前:0.0s 等后:0.0s) | ST5 ADAS(开:32341.5s 加:107.0s 等前:0.0s 等后:3.0s) | ST6 ARHUD+慢充(开:32451.5s 加:143.5s 等前:0.0s 等后:0.0s) | ST7 转毂(开:32595.0s 加:114.5s 等前:0.0s 等后:0.0s) | ST8 制动(开:32709.5s 加:114.0s 等前:0.0s 等后:0.0s) | ST9 EG漏液/底盘漏液(开:32823.5s 加:112.5s 等前:0.0s 等后:0.0s) | ST10 全景/空调检查(开:32936.0s 加:0.0s 等前:0.0s 等后:0.0s) | ST11 气囊安装+绝缘(开:32936.0s 加:116.0s 等前:0.0s 等后:0.0s) | ST12 L2++(开:33052.0s 加:88.0s 等前:0.0s 等后:0.0s) | ST13 电检1(开:33140.0s 加:84.5s 等前:0.0s 等后:0.0s) | ST14 电检2(开:33224.5s 加:97.5s 等前:0.0s 等后:7.5s) | ST15 小跑道(开:33329.5s 加:50.0s 等前:0.0s 等后:0.0s)</t>
        </is>
      </c>
    </row>
    <row r="494">
      <c r="A494" s="13" t="n">
        <v>493</v>
      </c>
      <c r="B494" s="13" t="inlineStr">
        <is>
          <t>Car#494</t>
        </is>
      </c>
      <c r="C494" s="13" t="inlineStr">
        <is>
          <t>C</t>
        </is>
      </c>
      <c r="D494" s="14" t="n">
        <v>32077.5</v>
      </c>
      <c r="E494" s="14" t="n">
        <v>33501</v>
      </c>
      <c r="F494" s="14" t="n">
        <v>1423.5</v>
      </c>
      <c r="G494" s="14" t="n">
        <v>3483.5</v>
      </c>
      <c r="H494" s="13" t="inlineStr">
        <is>
          <t>Car#491</t>
        </is>
      </c>
      <c r="I494" s="14">
        <f>E494-E493</f>
        <v/>
      </c>
      <c r="J494" s="14">
        <f>I494-58</f>
        <v/>
      </c>
      <c r="K494" s="14">
        <f>MAX(0,J494)</f>
        <v/>
      </c>
      <c r="L494" s="14">
        <f>MAX(0,-J494)</f>
        <v/>
      </c>
      <c r="M494" s="14">
        <f>M493+I494</f>
        <v/>
      </c>
      <c r="N494" s="14">
        <f>D494+F494-E494</f>
        <v/>
      </c>
      <c r="O494" s="13" t="inlineStr">
        <is>
          <t>能力超目标：四轮定位上、下、ARHUD+慢充</t>
        </is>
      </c>
      <c r="P494" s="13" t="inlineStr">
        <is>
          <t>ST1 引取(开:32077.5s 加:56.0s 等前:3483.5s 等后:0.0s) | ST2 集约(开:32133.5s 加:111.0s 等前:0.0s 等后:0.0s) | ST3 空气悬挂+快充(开:32244.5s 加:108.5s 等前:0.0s 等后:0.0s) | ST4 四轮定位上、下(开:32353.0s 加:120.5s 等前:0.0s 等后:0.0s) | ST5 ADAS(开:32473.5s 加:107.0s 等前:0.0s 等后:0.0s) | ST6 ARHUD+慢充(开:32580.5s 加:143.5s 等前:0.0s 等后:0.0s) | ST7 转毂(开:32724.0s 加:114.5s 等前:0.0s 等后:0.0s) | ST8 制动(开:32838.5s 加:114.0s 等前:0.0s 等后:0.0s) | ST9 EG漏液/底盘漏液(开:32952.5s 加:112.5s 等前:0.0s 等后:0.0s) | ST10 全景/空调检查(开:33065.0s 加:0.0s 等前:0.0s 等后:0.0s) | ST11 气囊安装+绝缘(开:33065.0s 加:116.0s 等前:0.0s 等后:0.0s) | ST12 L2++(开:33181.0s 加:88.0s 等前:0.0s 等后:0.0s) | ST13 电检1(开:33269.0s 加:84.5s 等前:0.0s 等后:0.0s) | ST14 电检2(开:33353.5s 加:97.5s 等前:0.0s 等后:0.0s) | ST15 小跑道(开:33451.0s 加:50.0s 等前:0.0s 等后:0.0s)</t>
        </is>
      </c>
    </row>
    <row r="495">
      <c r="A495" s="15" t="n">
        <v>494</v>
      </c>
      <c r="B495" s="15" t="inlineStr">
        <is>
          <t>Car#496</t>
        </is>
      </c>
      <c r="C495" s="15" t="inlineStr">
        <is>
          <t>A</t>
        </is>
      </c>
      <c r="D495" s="16" t="n">
        <v>32221</v>
      </c>
      <c r="E495" s="16" t="n">
        <v>33552</v>
      </c>
      <c r="F495" s="16" t="n">
        <v>1331</v>
      </c>
      <c r="G495" s="16" t="n">
        <v>3981</v>
      </c>
      <c r="H495" s="15" t="inlineStr">
        <is>
          <t>Car#494</t>
        </is>
      </c>
      <c r="I495" s="16">
        <f>E495-E494</f>
        <v/>
      </c>
      <c r="J495" s="16">
        <f>I495-58</f>
        <v/>
      </c>
      <c r="K495" s="16">
        <f>MAX(0,J495)</f>
        <v/>
      </c>
      <c r="L495" s="16">
        <f>MAX(0,-J495)</f>
        <v/>
      </c>
      <c r="M495" s="16">
        <f>M494+I495</f>
        <v/>
      </c>
      <c r="N495" s="16">
        <f>D495+F495-E495</f>
        <v/>
      </c>
      <c r="O495" s="15" t="inlineStr">
        <is>
          <t>能力满足</t>
        </is>
      </c>
      <c r="P495" s="15" t="inlineStr">
        <is>
          <t>ST1 引取(开:32221.0s 加:55.0s 等前:3511.0s 等后:0.0s) | ST2 集约(开:32276.0s 加:106.0s 等前:0.0s 等后:0.0s) | ST3 空气悬挂+快充(开:32382.0s 加:0.0s 等前:0.0s 等后:91.5s) | ST4 四轮定位上、下(开:32473.5s 加:115.0s 等前:0.0s 等后:0.0s) | ST5 ADAS(开:32588.5s 加:97.0s 等前:0.0s 等后:38.5s) | ST6 ARHUD+慢充(开:32724.0s 加:0.0s 等前:0.0s 等后:114.5s) | ST7 转毂(开:32838.5s 加:116.0s 等前:0.0s 等后:0.0s) | ST8 制动(开:32954.5s 加:108.0s 等前:0.0s 等后:2.5s) | ST9 EG漏液/底盘漏液(开:33065.0s 加:115.0s 等前:0.0s 等后:0.0s) | ST10 全景/空调检查(开:33180.0s 加:98.0s 等前:0.0s 等后:0.0s) | ST11 气囊安装+绝缘(开:33278.0s 加:0.0s 等前:0.0s 等后:0.0s) | ST12 L2++(开:33278.0s 加:0.0s 等前:0.0s 等后:75.5s) | ST13 电检1(开:33353.5s 加:0.0s 等前:0.0s 等后:97.5s) | ST14 电检2(开:33451.0s 加:0.0s 等前:0.0s 等后:50.0s) | ST15 小跑道(开:33501.0s 加:51.0s 等前:0.0s 等后:0.0s)</t>
        </is>
      </c>
    </row>
    <row r="496">
      <c r="A496" s="13" t="n">
        <v>495</v>
      </c>
      <c r="B496" s="13" t="inlineStr">
        <is>
          <t>Car#493</t>
        </is>
      </c>
      <c r="C496" s="13" t="inlineStr">
        <is>
          <t>C</t>
        </is>
      </c>
      <c r="D496" s="14" t="n">
        <v>31999.5</v>
      </c>
      <c r="E496" s="14" t="n">
        <v>33602</v>
      </c>
      <c r="F496" s="14" t="n">
        <v>1602.5</v>
      </c>
      <c r="G496" s="14" t="n">
        <v>3642.5</v>
      </c>
      <c r="H496" s="13" t="inlineStr">
        <is>
          <t>Car#496</t>
        </is>
      </c>
      <c r="I496" s="14">
        <f>E496-E495</f>
        <v/>
      </c>
      <c r="J496" s="14">
        <f>I496-58</f>
        <v/>
      </c>
      <c r="K496" s="14">
        <f>MAX(0,J496)</f>
        <v/>
      </c>
      <c r="L496" s="14">
        <f>MAX(0,-J496)</f>
        <v/>
      </c>
      <c r="M496" s="14">
        <f>M495+I496</f>
        <v/>
      </c>
      <c r="N496" s="14">
        <f>D496+F496-E496</f>
        <v/>
      </c>
      <c r="O496" s="13" t="inlineStr">
        <is>
          <t>能力超目标：四轮定位上、下、ARHUD+慢充</t>
        </is>
      </c>
      <c r="P496" s="13" t="inlineStr">
        <is>
          <t>ST1 引取(开:31999.5s 加:56.0s 等前:3463.5s 等后:22.0s) | ST2 集约(开:32077.5s 加:111.0s 等前:0.0s 等后:32.5s) | ST3 空气悬挂+快充(开:32221.0s 加:108.5s 等前:0.0s 等后:12.0s) | ST4 四轮定位上、下(开:32341.5s 加:120.5s 等前:0.0s 等后:0.0s) | ST5 ADAS(开:32462.0s 加:107.0s 等前:0.0s 等后:26.0s) | ST6 ARHUD+慢充(开:32595.0s 加:143.5s 等前:0.0s 等后:0.0s) | ST7 转毂(开:32738.5s 加:114.5s 等前:0.0s 等后:0.0s) | ST8 制动(开:32853.0s 加:114.0s 等前:0.0s 等后:0.0s) | ST9 EG漏液/底盘漏液(开:32967.0s 加:112.5s 等前:0.0s 等后:0.0s) | ST10 全景/空调检查(开:33079.5s 加:0.0s 等前:0.0s 等后:0.0s) | ST11 气囊安装+绝缘(开:33079.5s 加:116.0s 等前:0.0s 等后:0.0s) | ST12 L2++(开:33195.5s 加:88.0s 等前:0.0s 等后:0.0s) | ST13 电检1(开:33283.5s 加:84.5s 等前:0.0s 等后:0.0s) | ST14 电检2(开:33368.0s 加:97.5s 等前:0.0s 等后:86.5s) | ST15 小跑道(开:33552.0s 加:50.0s 等前:0.0s 等后:0.0s)</t>
        </is>
      </c>
    </row>
    <row r="497">
      <c r="A497" s="15" t="n">
        <v>496</v>
      </c>
      <c r="B497" s="15" t="inlineStr">
        <is>
          <t>Car#495</t>
        </is>
      </c>
      <c r="C497" s="15" t="inlineStr">
        <is>
          <t>A</t>
        </is>
      </c>
      <c r="D497" s="16" t="n">
        <v>32133.5</v>
      </c>
      <c r="E497" s="16" t="n">
        <v>33653</v>
      </c>
      <c r="F497" s="16" t="n">
        <v>1519.5</v>
      </c>
      <c r="G497" s="16" t="n">
        <v>4140</v>
      </c>
      <c r="H497" s="15" t="inlineStr">
        <is>
          <t>Car#493</t>
        </is>
      </c>
      <c r="I497" s="16">
        <f>E497-E496</f>
        <v/>
      </c>
      <c r="J497" s="16">
        <f>I497-58</f>
        <v/>
      </c>
      <c r="K497" s="16">
        <f>MAX(0,J497)</f>
        <v/>
      </c>
      <c r="L497" s="16">
        <f>MAX(0,-J497)</f>
        <v/>
      </c>
      <c r="M497" s="16">
        <f>M496+I497</f>
        <v/>
      </c>
      <c r="N497" s="16">
        <f>D497+F497-E497</f>
        <v/>
      </c>
      <c r="O497" s="15" t="inlineStr">
        <is>
          <t>能力满足</t>
        </is>
      </c>
      <c r="P497" s="15" t="inlineStr">
        <is>
          <t>ST1 引取(开:32133.5s 加:55.0s 等前:3481.5s 等后:32.5s) | ST2 集约(开:32221.0s 加:106.0s 等前:0.0s 等后:14.5s) | ST3 空气悬挂+快充(开:32341.5s 加:0.0s 等前:0.0s 等后:120.5s) | ST4 四轮定位上、下(开:32462.0s 加:115.0s 等前:0.0s 等后:18.0s) | ST5 ADAS(开:32595.0s 加:97.0s 等前:0.0s 等后:46.5s) | ST6 ARHUD+慢充(开:32738.5s 加:0.0s 等前:0.0s 等后:114.5s) | ST7 转毂(开:32853.0s 加:116.0s 等前:0.0s 等后:0.0s) | ST8 制动(开:32969.0s 加:108.0s 等前:0.0s 等后:2.5s) | ST9 EG漏液/底盘漏液(开:33079.5s 加:115.0s 等前:0.0s 等后:0.0s) | ST10 全景/空调检查(开:33194.5s 加:98.0s 等前:0.0s 等后:0.0s) | ST11 气囊安装+绝缘(开:33292.5s 加:0.0s 等前:0.0s 等后:0.0s) | ST12 L2++(开:33292.5s 加:0.0s 等前:0.0s 等后:75.5s) | ST13 电检1(开:33368.0s 加:0.0s 等前:0.0s 等后:184.0s) | ST14 电检2(开:33552.0s 加:0.0s 等前:0.0s 等后:50.0s) | ST15 小跑道(开:33602.0s 加:51.0s 等前:0.0s 等后:0.0s)</t>
        </is>
      </c>
    </row>
    <row r="498">
      <c r="A498" s="13" t="n">
        <v>497</v>
      </c>
      <c r="B498" s="13" t="inlineStr">
        <is>
          <t>Car#498</t>
        </is>
      </c>
      <c r="C498" s="13" t="inlineStr">
        <is>
          <t>C</t>
        </is>
      </c>
      <c r="D498" s="14" t="n">
        <v>32341.5</v>
      </c>
      <c r="E498" s="14" t="n">
        <v>33765</v>
      </c>
      <c r="F498" s="14" t="n">
        <v>1423.5</v>
      </c>
      <c r="G498" s="14" t="n">
        <v>3515.5</v>
      </c>
      <c r="H498" s="13" t="inlineStr">
        <is>
          <t>Car#495</t>
        </is>
      </c>
      <c r="I498" s="14">
        <f>E498-E497</f>
        <v/>
      </c>
      <c r="J498" s="14">
        <f>I498-58</f>
        <v/>
      </c>
      <c r="K498" s="14">
        <f>MAX(0,J498)</f>
        <v/>
      </c>
      <c r="L498" s="14">
        <f>MAX(0,-J498)</f>
        <v/>
      </c>
      <c r="M498" s="14">
        <f>M497+I498</f>
        <v/>
      </c>
      <c r="N498" s="14">
        <f>D498+F498-E498</f>
        <v/>
      </c>
      <c r="O498" s="13" t="inlineStr">
        <is>
          <t>能力超目标：四轮定位上、下、ARHUD+慢充</t>
        </is>
      </c>
      <c r="P498" s="13" t="inlineStr">
        <is>
          <t>ST1 引取(开:32341.5s 加:56.0s 等前:3515.5s 等后:0.0s) | ST2 集约(开:32397.5s 加:111.0s 等前:0.0s 等后:0.0s) | ST3 空气悬挂+快充(开:32508.5s 加:108.5s 等前:0.0s 等后:0.0s) | ST4 四轮定位上、下(开:32617.0s 加:120.5s 等前:0.0s 等后:0.0s) | ST5 ADAS(开:32737.5s 加:107.0s 等前:0.0s 等后:0.0s) | ST6 ARHUD+慢充(开:32844.5s 加:143.5s 等前:0.0s 等后:0.0s) | ST7 转毂(开:32988.0s 加:114.5s 等前:0.0s 等后:0.0s) | ST8 制动(开:33102.5s 加:114.0s 等前:0.0s 等后:0.0s) | ST9 EG漏液/底盘漏液(开:33216.5s 加:112.5s 等前:0.0s 等后:0.0s) | ST10 全景/空调检查(开:33329.0s 加:0.0s 等前:0.0s 等后:0.0s) | ST11 气囊安装+绝缘(开:33329.0s 加:116.0s 等前:0.0s 等后:0.0s) | ST12 L2++(开:33445.0s 加:88.0s 等前:0.0s 等后:0.0s) | ST13 电检1(开:33533.0s 加:84.5s 等前:0.0s 等后:0.0s) | ST14 电检2(开:33617.5s 加:97.5s 等前:0.0s 等后:0.0s) | ST15 小跑道(开:33715.0s 加:50.0s 等前:0.0s 等后:0.0s)</t>
        </is>
      </c>
    </row>
    <row r="499">
      <c r="A499" s="15" t="n">
        <v>498</v>
      </c>
      <c r="B499" s="15" t="inlineStr">
        <is>
          <t>Car#497</t>
        </is>
      </c>
      <c r="C499" s="15" t="inlineStr">
        <is>
          <t>C</t>
        </is>
      </c>
      <c r="D499" s="16" t="n">
        <v>32276</v>
      </c>
      <c r="E499" s="16" t="n">
        <v>33815</v>
      </c>
      <c r="F499" s="16" t="n">
        <v>1539</v>
      </c>
      <c r="G499" s="16" t="n">
        <v>3623.5</v>
      </c>
      <c r="H499" s="15" t="inlineStr">
        <is>
          <t>Car#498</t>
        </is>
      </c>
      <c r="I499" s="16">
        <f>E499-E498</f>
        <v/>
      </c>
      <c r="J499" s="16">
        <f>I499-58</f>
        <v/>
      </c>
      <c r="K499" s="16">
        <f>MAX(0,J499)</f>
        <v/>
      </c>
      <c r="L499" s="16">
        <f>MAX(0,-J499)</f>
        <v/>
      </c>
      <c r="M499" s="16">
        <f>M498+I499</f>
        <v/>
      </c>
      <c r="N499" s="16">
        <f>D499+F499-E499</f>
        <v/>
      </c>
      <c r="O499" s="15" t="inlineStr">
        <is>
          <t>能力超目标：四轮定位上、下、ARHUD+慢充</t>
        </is>
      </c>
      <c r="P499" s="15" t="inlineStr">
        <is>
          <t>ST1 引取(开:32276.0s 加:56.0s 等前:3508.0s 等后:9.5s) | ST2 集约(开:32341.5s 加:111.0s 等前:0.0s 等后:9.5s) | ST3 空气悬挂+快充(开:32462.0s 加:108.5s 等前:0.0s 等后:24.5s) | ST4 四轮定位上、下(开:32595.0s 加:120.5s 等前:0.0s 等后:23.0s) | ST5 ADAS(开:32738.5s 加:107.0s 等前:0.0s 等后:7.5s) | ST6 ARHUD+慢充(开:32853.0s 加:143.5s 等前:0.0s 等后:0.0s) | ST7 转毂(开:32996.5s 加:114.5s 等前:0.0s 等后:0.0s) | ST8 制动(开:33111.0s 加:114.0s 等前:0.0s 等后:0.0s) | ST9 EG漏液/底盘漏液(开:33225.0s 加:112.5s 等前:0.0s 等后:0.0s) | ST10 全景/空调检查(开:33337.5s 加:0.0s 等前:0.0s 等后:0.0s) | ST11 气囊安装+绝缘(开:33337.5s 加:116.0s 等前:0.0s 等后:0.0s) | ST12 L2++(开:33453.5s 加:88.0s 等前:0.0s 等后:10.5s) | ST13 电检1(开:33552.0s 加:84.5s 等前:0.0s 等后:0.0s) | ST14 电检2(开:33636.5s 加:97.5s 等前:0.0s 等后:31.0s) | ST15 小跑道(开:33765.0s 加:50.0s 等前:0.0s 等后:0.0s)</t>
        </is>
      </c>
    </row>
    <row r="500">
      <c r="A500" s="13" t="n">
        <v>499</v>
      </c>
      <c r="B500" s="13" t="inlineStr">
        <is>
          <t>Car#500</t>
        </is>
      </c>
      <c r="C500" s="13" t="inlineStr">
        <is>
          <t>B</t>
        </is>
      </c>
      <c r="D500" s="14" t="n">
        <v>32462</v>
      </c>
      <c r="E500" s="14" t="n">
        <v>33881</v>
      </c>
      <c r="F500" s="14" t="n">
        <v>1419</v>
      </c>
      <c r="G500" s="14" t="n">
        <v>3607.5</v>
      </c>
      <c r="H500" s="13" t="inlineStr">
        <is>
          <t>Car#497</t>
        </is>
      </c>
      <c r="I500" s="14">
        <f>E500-E499</f>
        <v/>
      </c>
      <c r="J500" s="14">
        <f>I500-58</f>
        <v/>
      </c>
      <c r="K500" s="14">
        <f>MAX(0,J500)</f>
        <v/>
      </c>
      <c r="L500" s="14">
        <f>MAX(0,-J500)</f>
        <v/>
      </c>
      <c r="M500" s="14">
        <f>M499+I500</f>
        <v/>
      </c>
      <c r="N500" s="14">
        <f>D500+F500-E500</f>
        <v/>
      </c>
      <c r="O500" s="13" t="inlineStr">
        <is>
          <t>能力超目标：四轮定位上、下</t>
        </is>
      </c>
      <c r="P500" s="13" t="inlineStr">
        <is>
          <t>ST1 引取(开:32462.0s 加:56.0s 等前:3520.0s 等后:0.0s) | ST2 集约(开:32518.0s 加:111.0s 等前:0.0s 等后:0.0s) | ST3 空气悬挂+快充(开:32629.0s 加:108.5s 等前:0.0s 等后:0.0s) | ST4 四轮定位上、下(开:32737.5s 加:120.5s 等前:0.0s 等后:0.0s) | ST5 ADAS(开:32858.0s 加:107.0s 等前:0.0s 等后:23.0s) | ST6 ARHUD+慢充(开:32988.0s 加:51.5s 等前:0.0s 等后:63.0s) | ST7 转毂(开:33102.5s 加:114.5s 等前:0.0s 等后:0.0s) | ST8 制动(开:33217.0s 加:114.0s 等前:0.0s 等后:0.0s) | ST9 EG漏液/底盘漏液(开:33331.0s 加:112.5s 等前:0.0s 等后:0.0s) | ST10 全景/空调检查(开:33443.5s 加:0.0s 等前:0.0s 等后:1.5s) | ST11 气囊安装+绝缘(开:33445.0s 加:116.0s 等前:0.0s 等后:0.0s) | ST12 L2++(开:33561.0s 加:88.0s 等前:0.0s 等后:0.0s) | ST13 电检1(开:33649.0s 加:84.5s 等前:0.0s 等后:0.0s) | ST14 电检2(开:33733.5s 加:97.5s 等前:0.0s 等后:0.0s) | ST15 小跑道(开:33831.0s 加:50.0s 等前:0.0s 等后:0.0s)</t>
        </is>
      </c>
    </row>
    <row r="501">
      <c r="A501" s="15" t="n">
        <v>500</v>
      </c>
      <c r="B501" s="15" t="inlineStr">
        <is>
          <t>Car#499</t>
        </is>
      </c>
      <c r="C501" s="15" t="inlineStr">
        <is>
          <t>B</t>
        </is>
      </c>
      <c r="D501" s="16" t="n">
        <v>32397.5</v>
      </c>
      <c r="E501" s="16" t="n">
        <v>33931</v>
      </c>
      <c r="F501" s="16" t="n">
        <v>1533.5</v>
      </c>
      <c r="G501" s="16" t="n">
        <v>3715.5</v>
      </c>
      <c r="H501" s="15" t="inlineStr">
        <is>
          <t>Car#500</t>
        </is>
      </c>
      <c r="I501" s="16">
        <f>E501-E500</f>
        <v/>
      </c>
      <c r="J501" s="16">
        <f>I501-58</f>
        <v/>
      </c>
      <c r="K501" s="16">
        <f>MAX(0,J501)</f>
        <v/>
      </c>
      <c r="L501" s="16">
        <f>MAX(0,-J501)</f>
        <v/>
      </c>
      <c r="M501" s="16">
        <f>M500+I501</f>
        <v/>
      </c>
      <c r="N501" s="16">
        <f>D501+F501-E501</f>
        <v/>
      </c>
      <c r="O501" s="15" t="inlineStr">
        <is>
          <t>能力超目标：四轮定位上、下</t>
        </is>
      </c>
      <c r="P501" s="15" t="inlineStr">
        <is>
          <t>ST1 引取(开:32397.5s 加:56.0s 等前:3513.5s 等后:8.5s) | ST2 集约(开:32462.0s 加:111.0s 等前:0.0s 等后:22.0s) | ST3 空气悬挂+快充(开:32595.0s 加:108.5s 等前:0.0s 等后:35.0s) | ST4 四轮定位上、下(开:32738.5s 加:120.5s 等前:0.0s 等后:0.0s) | ST5 ADAS(开:32859.0s 加:107.0s 等前:0.0s 等后:30.5s) | ST6 ARHUD+慢充(开:32996.5s 加:51.5s 等前:0.0s 等后:63.0s) | ST7 转毂(开:33111.0s 加:114.5s 等前:0.0s 等后:0.0s) | ST8 制动(开:33225.5s 加:114.0s 等前:0.0s 等后:0.0s) | ST9 EG漏液/底盘漏液(开:33339.5s 加:112.5s 等前:0.0s 等后:0.0s) | ST10 全景/空调检查(开:33452.0s 加:0.0s 等前:0.0s 等后:1.5s) | ST11 气囊安装+绝缘(开:33453.5s 加:116.0s 等前:0.0s 等后:0.0s) | ST12 L2++(开:33569.5s 加:88.0s 等前:0.0s 等后:0.0s) | ST13 电检1(开:33657.5s 加:84.5s 等前:0.0s 等后:23.0s) | ST14 电检2(开:33765.0s 加:97.5s 等前:0.0s 等后:18.5s) | ST15 小跑道(开:33881.0s 加:50.0s 等前:0.0s 等后:0.0s)</t>
        </is>
      </c>
    </row>
    <row r="502">
      <c r="A502" s="13" t="n">
        <v>501</v>
      </c>
      <c r="B502" s="13" t="inlineStr">
        <is>
          <t>Car#502</t>
        </is>
      </c>
      <c r="C502" s="13" t="inlineStr">
        <is>
          <t>C</t>
        </is>
      </c>
      <c r="D502" s="14" t="n">
        <v>32595</v>
      </c>
      <c r="E502" s="14" t="n">
        <v>34023</v>
      </c>
      <c r="F502" s="14" t="n">
        <v>1428</v>
      </c>
      <c r="G502" s="14" t="n">
        <v>3541.5</v>
      </c>
      <c r="H502" s="13" t="inlineStr">
        <is>
          <t>Car#499</t>
        </is>
      </c>
      <c r="I502" s="14">
        <f>E502-E501</f>
        <v/>
      </c>
      <c r="J502" s="14">
        <f>I502-58</f>
        <v/>
      </c>
      <c r="K502" s="14">
        <f>MAX(0,J502)</f>
        <v/>
      </c>
      <c r="L502" s="14">
        <f>MAX(0,-J502)</f>
        <v/>
      </c>
      <c r="M502" s="14">
        <f>M501+I502</f>
        <v/>
      </c>
      <c r="N502" s="14">
        <f>D502+F502-E502</f>
        <v/>
      </c>
      <c r="O502" s="13" t="inlineStr">
        <is>
          <t>能力超目标：四轮定位上、下、ARHUD+慢充</t>
        </is>
      </c>
      <c r="P502" s="13" t="inlineStr">
        <is>
          <t>ST1 引取(开:32595.0s 加:56.0s 等前:3537.0s 等后:0.0s) | ST2 集约(开:32651.0s 加:111.0s 等前:0.0s 等后:0.0s) | ST3 空气悬挂+快充(开:32762.0s 加:108.5s 等前:0.0s 等后:0.0s) | ST4 四轮定位上、下(开:32870.5s 加:120.5s 等前:0.0s 等后:0.0s) | ST5 ADAS(开:32991.0s 加:107.0s 等前:0.0s 等后:4.5s) | ST6 ARHUD+慢充(开:33102.5s 加:143.5s 等前:0.0s 等后:0.0s) | ST7 转毂(开:33246.0s 加:114.5s 等前:0.0s 等后:0.0s) | ST8 制动(开:33360.5s 加:114.0s 等前:0.0s 等后:0.0s) | ST9 EG漏液/底盘漏液(开:33474.5s 加:112.5s 等前:0.0s 等后:0.0s) | ST10 全景/空调检查(开:33587.0s 加:0.0s 等前:0.0s 等后:0.0s) | ST11 气囊安装+绝缘(开:33587.0s 加:116.0s 等前:0.0s 等后:0.0s) | ST12 L2++(开:33703.0s 加:88.0s 等前:0.0s 等后:0.0s) | ST13 电检1(开:33791.0s 加:84.5s 等前:0.0s 等后:0.0s) | ST14 电检2(开:33875.5s 加:97.5s 等前:0.0s 等后:0.0s) | ST15 小跑道(开:33973.0s 加:50.0s 等前:0.0s 等后:0.0s)</t>
        </is>
      </c>
    </row>
    <row r="503">
      <c r="A503" s="15" t="n">
        <v>502</v>
      </c>
      <c r="B503" s="15" t="inlineStr">
        <is>
          <t>Car#504</t>
        </is>
      </c>
      <c r="C503" s="15" t="inlineStr">
        <is>
          <t>A</t>
        </is>
      </c>
      <c r="D503" s="16" t="n">
        <v>32738.5</v>
      </c>
      <c r="E503" s="16" t="n">
        <v>34074</v>
      </c>
      <c r="F503" s="16" t="n">
        <v>1335.5</v>
      </c>
      <c r="G503" s="16" t="n">
        <v>4039</v>
      </c>
      <c r="H503" s="15" t="inlineStr">
        <is>
          <t>Car#502</t>
        </is>
      </c>
      <c r="I503" s="16">
        <f>E503-E502</f>
        <v/>
      </c>
      <c r="J503" s="16">
        <f>I503-58</f>
        <v/>
      </c>
      <c r="K503" s="16">
        <f>MAX(0,J503)</f>
        <v/>
      </c>
      <c r="L503" s="16">
        <f>MAX(0,-J503)</f>
        <v/>
      </c>
      <c r="M503" s="16">
        <f>M502+I503</f>
        <v/>
      </c>
      <c r="N503" s="16">
        <f>D503+F503-E503</f>
        <v/>
      </c>
      <c r="O503" s="15" t="inlineStr">
        <is>
          <t>能力满足</t>
        </is>
      </c>
      <c r="P503" s="15" t="inlineStr">
        <is>
          <t>ST1 引取(开:32738.5s 加:55.0s 等前:3564.5s 等后:0.0s) | ST2 集约(开:32793.5s 加:106.0s 等前:0.0s 等后:0.0s) | ST3 空气悬挂+快充(开:32899.5s 加:0.0s 等前:0.0s 等后:91.5s) | ST4 四轮定位上、下(开:32991.0s 加:115.0s 等前:0.0s 等后:0.0s) | ST5 ADAS(开:33106.0s 加:97.0s 等前:0.0s 等后:43.0s) | ST6 ARHUD+慢充(开:33246.0s 加:0.0s 等前:0.0s 等后:114.5s) | ST7 转毂(开:33360.5s 加:116.0s 等前:0.0s 等后:0.0s) | ST8 制动(开:33476.5s 加:108.0s 等前:0.0s 等后:2.5s) | ST9 EG漏液/底盘漏液(开:33587.0s 加:115.0s 等前:0.0s 等后:0.0s) | ST10 全景/空调检查(开:33702.0s 加:98.0s 等前:0.0s 等后:0.0s) | ST11 气囊安装+绝缘(开:33800.0s 加:0.0s 等前:0.0s 等后:0.0s) | ST12 L2++(开:33800.0s 加:0.0s 等前:0.0s 等后:75.5s) | ST13 电检1(开:33875.5s 加:0.0s 等前:0.0s 等后:97.5s) | ST14 电检2(开:33973.0s 加:0.0s 等前:0.0s 等后:50.0s) | ST15 小跑道(开:34023.0s 加:51.0s 等前:0.0s 等后:0.0s)</t>
        </is>
      </c>
    </row>
    <row r="504">
      <c r="A504" s="13" t="n">
        <v>503</v>
      </c>
      <c r="B504" s="13" t="inlineStr">
        <is>
          <t>Car#501</t>
        </is>
      </c>
      <c r="C504" s="13" t="inlineStr">
        <is>
          <t>C</t>
        </is>
      </c>
      <c r="D504" s="14" t="n">
        <v>32518</v>
      </c>
      <c r="E504" s="14" t="n">
        <v>34124</v>
      </c>
      <c r="F504" s="14" t="n">
        <v>1606</v>
      </c>
      <c r="G504" s="14" t="n">
        <v>3700.5</v>
      </c>
      <c r="H504" s="13" t="inlineStr">
        <is>
          <t>Car#504</t>
        </is>
      </c>
      <c r="I504" s="14">
        <f>E504-E503</f>
        <v/>
      </c>
      <c r="J504" s="14">
        <f>I504-58</f>
        <v/>
      </c>
      <c r="K504" s="14">
        <f>MAX(0,J504)</f>
        <v/>
      </c>
      <c r="L504" s="14">
        <f>MAX(0,-J504)</f>
        <v/>
      </c>
      <c r="M504" s="14">
        <f>M503+I504</f>
        <v/>
      </c>
      <c r="N504" s="14">
        <f>D504+F504-E504</f>
        <v/>
      </c>
      <c r="O504" s="13" t="inlineStr">
        <is>
          <t>能力超目标：四轮定位上、下、ARHUD+慢充</t>
        </is>
      </c>
      <c r="P504" s="13" t="inlineStr">
        <is>
          <t>ST1 引取(开:32518.0s 加:56.0s 等前:3518.0s 等后:21.0s) | ST2 集约(开:32595.0s 加:111.0s 等前:0.0s 等后:32.5s) | ST3 空气悬挂+快充(开:32738.5s 加:108.5s 等前:0.0s 等后:12.0s) | ST4 四轮定位上、下(开:32859.0s 加:120.5s 等前:0.0s 等后:17.0s) | ST5 ADAS(开:32996.5s 加:107.0s 等前:0.0s 等后:7.5s) | ST6 ARHUD+慢充(开:33111.0s 加:143.5s 等前:0.0s 等后:0.0s) | ST7 转毂(开:33254.5s 加:114.5s 等前:0.0s 等后:0.0s) | ST8 制动(开:33369.0s 加:114.0s 等前:0.0s 等后:0.0s) | ST9 EG漏液/底盘漏液(开:33483.0s 加:112.5s 等前:0.0s 等后:0.0s) | ST10 全景/空调检查(开:33595.5s 加:0.0s 等前:0.0s 等后:0.0s) | ST11 气囊安装+绝缘(开:33595.5s 加:116.0s 等前:0.0s 等后:0.0s) | ST12 L2++(开:33711.5s 加:88.0s 等前:0.0s 等后:0.0s) | ST13 电检1(开:33799.5s 加:84.5s 等前:0.0s 等后:0.0s) | ST14 电检2(开:33884.0s 加:97.5s 等前:0.0s 等后:92.5s) | ST15 小跑道(开:34074.0s 加:50.0s 等前:0.0s 等后:0.0s)</t>
        </is>
      </c>
    </row>
    <row r="505">
      <c r="A505" s="15" t="n">
        <v>504</v>
      </c>
      <c r="B505" s="15" t="inlineStr">
        <is>
          <t>Car#506</t>
        </is>
      </c>
      <c r="C505" s="15" t="inlineStr">
        <is>
          <t>A</t>
        </is>
      </c>
      <c r="D505" s="16" t="n">
        <v>32859</v>
      </c>
      <c r="E505" s="16" t="n">
        <v>34175</v>
      </c>
      <c r="F505" s="16" t="n">
        <v>1316</v>
      </c>
      <c r="G505" s="16" t="n">
        <v>4024</v>
      </c>
      <c r="H505" s="15" t="inlineStr">
        <is>
          <t>Car#501</t>
        </is>
      </c>
      <c r="I505" s="16">
        <f>E505-E504</f>
        <v/>
      </c>
      <c r="J505" s="16">
        <f>I505-58</f>
        <v/>
      </c>
      <c r="K505" s="16">
        <f>MAX(0,J505)</f>
        <v/>
      </c>
      <c r="L505" s="16">
        <f>MAX(0,-J505)</f>
        <v/>
      </c>
      <c r="M505" s="16">
        <f>M504+I505</f>
        <v/>
      </c>
      <c r="N505" s="16">
        <f>D505+F505-E505</f>
        <v/>
      </c>
      <c r="O505" s="15" t="inlineStr">
        <is>
          <t>能力满足</t>
        </is>
      </c>
      <c r="P505" s="15" t="inlineStr">
        <is>
          <t>ST1 引取(开:32859.0s 加:55.0s 等前:3569.0s 等后:0.0s) | ST2 集约(开:32914.0s 加:106.0s 等前:0.0s 等后:0.0s) | ST3 空气悬挂+快充(开:33020.0s 加:0.0s 等前:0.0s 等后:86.0s) | ST4 四轮定位上、下(开:33106.0s 加:115.0s 等前:0.0s 等后:25.0s) | ST5 ADAS(开:33246.0s 加:97.0s 等前:0.0s 等后:17.5s) | ST6 ARHUD+慢充(开:33360.5s 加:0.0s 等前:0.0s 等后:116.0s) | ST7 转毂(开:33476.5s 加:116.0s 等前:0.0s 等后:0.0s) | ST8 制动(开:33592.5s 加:108.0s 等前:0.0s 等后:1.5s) | ST9 EG漏液/底盘漏液(开:33702.0s 加:115.0s 等前:0.0s 等后:0.0s) | ST10 全景/空调检查(开:33817.0s 加:98.0s 等前:0.0s 等后:0.0s) | ST11 气囊安装+绝缘(开:33915.0s 加:0.0s 等前:0.0s 等后:0.0s) | ST12 L2++(开:33915.0s 加:0.0s 等前:0.0s 等后:58.0s) | ST13 电检1(开:33973.0s 加:0.0s 等前:0.0s 等后:50.0s) | ST14 电检2(开:34023.0s 加:0.0s 等前:0.0s 等后:101.0s) | ST15 小跑道(开:34124.0s 加:51.0s 等前:0.0s 等后:0.0s)</t>
        </is>
      </c>
    </row>
    <row r="506">
      <c r="A506" s="13" t="n">
        <v>505</v>
      </c>
      <c r="B506" s="13" t="inlineStr">
        <is>
          <t>Car#503</t>
        </is>
      </c>
      <c r="C506" s="13" t="inlineStr">
        <is>
          <t>C</t>
        </is>
      </c>
      <c r="D506" s="14" t="n">
        <v>32651</v>
      </c>
      <c r="E506" s="14" t="n">
        <v>34225</v>
      </c>
      <c r="F506" s="14" t="n">
        <v>1574</v>
      </c>
      <c r="G506" s="14" t="n">
        <v>3685.5</v>
      </c>
      <c r="H506" s="13" t="inlineStr">
        <is>
          <t>Car#506</t>
        </is>
      </c>
      <c r="I506" s="14">
        <f>E506-E505</f>
        <v/>
      </c>
      <c r="J506" s="14">
        <f>I506-58</f>
        <v/>
      </c>
      <c r="K506" s="14">
        <f>MAX(0,J506)</f>
        <v/>
      </c>
      <c r="L506" s="14">
        <f>MAX(0,-J506)</f>
        <v/>
      </c>
      <c r="M506" s="14">
        <f>M505+I506</f>
        <v/>
      </c>
      <c r="N506" s="14">
        <f>D506+F506-E506</f>
        <v/>
      </c>
      <c r="O506" s="13" t="inlineStr">
        <is>
          <t>能力超目标：四轮定位上、下、ARHUD+慢充</t>
        </is>
      </c>
      <c r="P506" s="13" t="inlineStr">
        <is>
          <t>ST1 引取(开:32651.0s 加:56.0s 等前:3535.0s 等后:31.5s) | ST2 集约(开:32738.5s 加:111.0s 等前:0.0s 等后:9.5s) | ST3 空气悬挂+快充(开:32859.0s 加:108.5s 等前:0.0s 等后:29.0s) | ST4 四轮定位上、下(开:32996.5s 加:120.5s 等前:0.0s 等后:0.0s) | ST5 ADAS(开:33117.0s 加:107.0s 等前:0.0s 等后:30.5s) | ST6 ARHUD+慢充(开:33254.5s 加:143.5s 等前:0.0s 等后:0.0s) | ST7 转毂(开:33398.0s 加:114.5s 等前:0.0s 等后:0.0s) | ST8 制动(开:33512.5s 加:114.0s 等前:0.0s 等后:0.0s) | ST9 EG漏液/底盘漏液(开:33626.5s 加:112.5s 等前:0.0s 等后:0.0s) | ST10 全景/空调检查(开:33739.0s 加:0.0s 等前:0.0s 等后:0.0s) | ST11 气囊安装+绝缘(开:33739.0s 加:116.0s 等前:0.0s 等后:0.0s) | ST12 L2++(开:33855.0s 加:88.0s 等前:0.0s 等后:0.0s) | ST13 电检1(开:33943.0s 加:84.5s 等前:0.0s 等后:46.5s) | ST14 电检2(开:34074.0s 加:97.5s 等前:0.0s 等后:3.5s) | ST15 小跑道(开:34175.0s 加:50.0s 等前:0.0s 等后:0.0s)</t>
        </is>
      </c>
    </row>
    <row r="507">
      <c r="A507" s="15" t="n">
        <v>506</v>
      </c>
      <c r="B507" s="15" t="inlineStr">
        <is>
          <t>Car#505</t>
        </is>
      </c>
      <c r="C507" s="15" t="inlineStr">
        <is>
          <t>A</t>
        </is>
      </c>
      <c r="D507" s="16" t="n">
        <v>32793.5</v>
      </c>
      <c r="E507" s="16" t="n">
        <v>34276</v>
      </c>
      <c r="F507" s="16" t="n">
        <v>1482.5</v>
      </c>
      <c r="G507" s="16" t="n">
        <v>4183</v>
      </c>
      <c r="H507" s="15" t="inlineStr">
        <is>
          <t>Car#503</t>
        </is>
      </c>
      <c r="I507" s="16">
        <f>E507-E506</f>
        <v/>
      </c>
      <c r="J507" s="16">
        <f>I507-58</f>
        <v/>
      </c>
      <c r="K507" s="16">
        <f>MAX(0,J507)</f>
        <v/>
      </c>
      <c r="L507" s="16">
        <f>MAX(0,-J507)</f>
        <v/>
      </c>
      <c r="M507" s="16">
        <f>M506+I507</f>
        <v/>
      </c>
      <c r="N507" s="16">
        <f>D507+F507-E507</f>
        <v/>
      </c>
      <c r="O507" s="15" t="inlineStr">
        <is>
          <t>能力满足</t>
        </is>
      </c>
      <c r="P507" s="15" t="inlineStr">
        <is>
          <t>ST1 引取(开:32793.5s 加:55.0s 等前:3561.5s 等后:10.5s) | ST2 集约(开:32859.0s 加:106.0s 等前:0.0s 等后:31.5s) | ST3 空气悬挂+快充(开:32996.5s 加:0.0s 等前:0.0s 等后:120.5s) | ST4 四轮定位上、下(开:33117.0s 加:115.0s 等前:0.0s 等后:22.5s) | ST5 ADAS(开:33254.5s 加:97.0s 等前:0.0s 等后:46.5s) | ST6 ARHUD+慢充(开:33398.0s 加:0.0s 等前:0.0s 等后:114.5s) | ST7 转毂(开:33512.5s 加:116.0s 等前:0.0s 等后:0.0s) | ST8 制动(开:33628.5s 加:108.0s 等前:0.0s 等后:2.5s) | ST9 EG漏液/底盘漏液(开:33739.0s 加:115.0s 等前:0.0s 等后:0.0s) | ST10 全景/空调检查(开:33854.0s 加:98.0s 等前:0.0s 等后:0.0s) | ST11 气囊安装+绝缘(开:33952.0s 加:0.0s 等前:0.0s 等后:0.0s) | ST12 L2++(开:33952.0s 加:0.0s 等前:0.0s 等后:122.0s) | ST13 电检1(开:34074.0s 加:0.0s 等前:0.0s 等后:101.0s) | ST14 电检2(开:34175.0s 加:0.0s 等前:0.0s 等后:50.0s) | ST15 小跑道(开:34225.0s 加:51.0s 等前:0.0s 等后:0.0s)</t>
        </is>
      </c>
    </row>
    <row r="508">
      <c r="A508" s="13" t="n">
        <v>507</v>
      </c>
      <c r="B508" s="13" t="inlineStr">
        <is>
          <t>Car#507</t>
        </is>
      </c>
      <c r="C508" s="13" t="inlineStr">
        <is>
          <t>B</t>
        </is>
      </c>
      <c r="D508" s="14" t="n">
        <v>32914</v>
      </c>
      <c r="E508" s="14" t="n">
        <v>34407</v>
      </c>
      <c r="F508" s="14" t="n">
        <v>1493</v>
      </c>
      <c r="G508" s="14" t="n">
        <v>3727.5</v>
      </c>
      <c r="H508" s="13" t="inlineStr">
        <is>
          <t>Car#505</t>
        </is>
      </c>
      <c r="I508" s="14">
        <f>E508-E507</f>
        <v/>
      </c>
      <c r="J508" s="14">
        <f>I508-58</f>
        <v/>
      </c>
      <c r="K508" s="14">
        <f>MAX(0,J508)</f>
        <v/>
      </c>
      <c r="L508" s="14">
        <f>MAX(0,-J508)</f>
        <v/>
      </c>
      <c r="M508" s="14">
        <f>M507+I508</f>
        <v/>
      </c>
      <c r="N508" s="14">
        <f>D508+F508-E508</f>
        <v/>
      </c>
      <c r="O508" s="13" t="inlineStr">
        <is>
          <t>能力超目标：四轮定位上、下</t>
        </is>
      </c>
      <c r="P508" s="13" t="inlineStr">
        <is>
          <t>ST1 引取(开:32914.0s 加:56.0s 等前:3566.0s 等后:26.5s) | ST2 集约(开:32996.5s 加:111.0s 等前:0.0s 等后:9.5s) | ST3 空气悬挂+快充(开:33117.0s 加:108.5s 等前:0.0s 等后:29.0s) | ST4 四轮定位上、下(开:33254.5s 加:120.5s 等前:0.0s 等后:23.0s) | ST5 ADAS(开:33398.0s 加:107.0s 等前:0.0s 等后:7.5s) | ST6 ARHUD+慢充(开:33512.5s 加:51.5s 等前:0.0s 等后:64.5s) | ST7 转毂(开:33628.5s 加:114.5s 等前:0.0s 等后:0.0s) | ST8 制动(开:33743.0s 加:114.0s 等前:0.0s 等后:0.0s) | ST9 EG漏液/底盘漏液(开:33857.0s 加:112.5s 等前:0.0s 等后:0.0s) | ST10 全景/空调检查(开:33969.5s 加:0.0s 等前:0.0s 等后:0.0s) | ST11 气囊安装+绝缘(开:33969.5s 加:116.0s 等前:0.0s 等后:0.0s) | ST12 L2++(开:34085.5s 加:88.0s 等前:0.0s 等后:1.5s) | ST13 电检1(开:34175.0s 加:84.5s 等前:0.0s 等后:0.0s) | ST14 电检2(开:34259.5s 加:97.5s 等前:0.0s 等后:0.0s) | ST15 小跑道(开:34357.0s 加:50.0s 等前:0.0s 等后:0.0s)</t>
        </is>
      </c>
    </row>
    <row r="509">
      <c r="A509" s="15" t="n">
        <v>508</v>
      </c>
      <c r="B509" s="15" t="inlineStr">
        <is>
          <t>Car#508</t>
        </is>
      </c>
      <c r="C509" s="15" t="inlineStr">
        <is>
          <t>C</t>
        </is>
      </c>
      <c r="D509" s="16" t="n">
        <v>32996.5</v>
      </c>
      <c r="E509" s="16" t="n">
        <v>34457</v>
      </c>
      <c r="F509" s="16" t="n">
        <v>1460.5</v>
      </c>
      <c r="G509" s="16" t="n">
        <v>3627.5</v>
      </c>
      <c r="H509" s="15" t="inlineStr">
        <is>
          <t>Car#507</t>
        </is>
      </c>
      <c r="I509" s="16">
        <f>E509-E508</f>
        <v/>
      </c>
      <c r="J509" s="16">
        <f>I509-58</f>
        <v/>
      </c>
      <c r="K509" s="16">
        <f>MAX(0,J509)</f>
        <v/>
      </c>
      <c r="L509" s="16">
        <f>MAX(0,-J509)</f>
        <v/>
      </c>
      <c r="M509" s="16">
        <f>M508+I509</f>
        <v/>
      </c>
      <c r="N509" s="16">
        <f>D509+F509-E509</f>
        <v/>
      </c>
      <c r="O509" s="15" t="inlineStr">
        <is>
          <t>能力超目标：四轮定位上、下、ARHUD+慢充</t>
        </is>
      </c>
      <c r="P509" s="15" t="inlineStr">
        <is>
          <t>ST1 引取(开:32996.5s 加:56.0s 等前:3590.5s 等后:0.0s) | ST2 集约(开:33052.5s 加:111.0s 等前:0.0s 等后:0.0s) | ST3 空气悬挂+快充(开:33163.5s 加:108.5s 等前:0.0s 等后:0.0s) | ST4 四轮定位上、下(开:33272.0s 加:120.5s 等前:0.0s 等后:0.0s) | ST5 ADAS(开:33392.5s 加:107.0s 等前:0.0s 等后:0.0s) | ST6 ARHUD+慢充(开:33499.5s 加:143.5s 等前:0.0s 等后:0.0s) | ST7 转毂(开:33643.0s 加:114.5s 等前:0.0s 等后:0.0s) | ST8 制动(开:33757.5s 加:114.0s 等前:0.0s 等后:0.0s) | ST9 EG漏液/底盘漏液(开:33871.5s 加:112.5s 等前:0.0s 等后:0.0s) | ST10 全景/空调检查(开:33984.0s 加:0.0s 等前:0.0s 等后:0.0s) | ST11 气囊安装+绝缘(开:33984.0s 加:116.0s 等前:0.0s 等后:0.0s) | ST12 L2++(开:34100.0s 加:88.0s 等前:0.0s 等后:0.0s) | ST13 电检1(开:34188.0s 加:84.5s 等前:0.0s 等后:0.0s) | ST14 电检2(开:34272.5s 加:97.5s 等前:0.0s 等后:37.0s) | ST15 小跑道(开:34407.0s 加:50.0s 等前:0.0s 等后:0.0s)</t>
        </is>
      </c>
    </row>
    <row r="510">
      <c r="A510" s="13" t="n">
        <v>509</v>
      </c>
      <c r="B510" s="13" t="inlineStr">
        <is>
          <t>Car#509</t>
        </is>
      </c>
      <c r="C510" s="13" t="inlineStr">
        <is>
          <t>C</t>
        </is>
      </c>
      <c r="D510" s="14" t="n">
        <v>33052.5</v>
      </c>
      <c r="E510" s="14" t="n">
        <v>34549</v>
      </c>
      <c r="F510" s="14" t="n">
        <v>1496.5</v>
      </c>
      <c r="G510" s="14" t="n">
        <v>3661.5</v>
      </c>
      <c r="H510" s="13" t="inlineStr">
        <is>
          <t>Car#508</t>
        </is>
      </c>
      <c r="I510" s="14">
        <f>E510-E509</f>
        <v/>
      </c>
      <c r="J510" s="14">
        <f>I510-58</f>
        <v/>
      </c>
      <c r="K510" s="14">
        <f>MAX(0,J510)</f>
        <v/>
      </c>
      <c r="L510" s="14">
        <f>MAX(0,-J510)</f>
        <v/>
      </c>
      <c r="M510" s="14">
        <f>M509+I510</f>
        <v/>
      </c>
      <c r="N510" s="14">
        <f>D510+F510-E510</f>
        <v/>
      </c>
      <c r="O510" s="13" t="inlineStr">
        <is>
          <t>能力超目标：四轮定位上、下、ARHUD+慢充</t>
        </is>
      </c>
      <c r="P510" s="13" t="inlineStr">
        <is>
          <t>ST1 引取(开:33052.5s 加:56.0s 等前:3588.5s 等后:8.5s) | ST2 集约(开:33117.0s 加:111.0s 等前:0.0s 等后:26.5s) | ST3 空气悬挂+快充(开:33254.5s 加:108.5s 等前:0.0s 等后:35.0s) | ST4 四轮定位上、下(开:33398.0s 加:120.5s 等前:0.0s 等后:0.0s) | ST5 ADAS(开:33518.5s 加:107.0s 等前:0.0s 等后:3.0s) | ST6 ARHUD+慢充(开:33628.5s 加:143.5s 等前:0.0s 等后:0.0s) | ST7 转毂(开:33772.0s 加:114.5s 等前:0.0s 等后:0.0s) | ST8 制动(开:33886.5s 加:114.0s 等前:0.0s 等后:0.0s) | ST9 EG漏液/底盘漏液(开:34000.5s 加:112.5s 等前:0.0s 等后:0.0s) | ST10 全景/空调检查(开:34113.0s 加:0.0s 等前:0.0s 等后:0.0s) | ST11 气囊安装+绝缘(开:34113.0s 加:116.0s 等前:0.0s 等后:0.0s) | ST12 L2++(开:34229.0s 加:88.0s 等前:0.0s 等后:0.0s) | ST13 电检1(开:34317.0s 加:84.5s 等前:0.0s 等后:0.0s) | ST14 电检2(开:34401.5s 加:97.5s 等前:0.0s 等后:0.0s) | ST15 小跑道(开:34499.0s 加:50.0s 等前:0.0s 等后:0.0s)</t>
        </is>
      </c>
    </row>
    <row r="511">
      <c r="A511" s="15" t="n">
        <v>510</v>
      </c>
      <c r="B511" s="15" t="inlineStr">
        <is>
          <t>Car#510</t>
        </is>
      </c>
      <c r="C511" s="15" t="inlineStr">
        <is>
          <t>C</t>
        </is>
      </c>
      <c r="D511" s="16" t="n">
        <v>33117</v>
      </c>
      <c r="E511" s="16" t="n">
        <v>34599</v>
      </c>
      <c r="F511" s="16" t="n">
        <v>1482</v>
      </c>
      <c r="G511" s="16" t="n">
        <v>3653.5</v>
      </c>
      <c r="H511" s="15" t="inlineStr">
        <is>
          <t>Car#509</t>
        </is>
      </c>
      <c r="I511" s="16">
        <f>E511-E510</f>
        <v/>
      </c>
      <c r="J511" s="16">
        <f>I511-58</f>
        <v/>
      </c>
      <c r="K511" s="16">
        <f>MAX(0,J511)</f>
        <v/>
      </c>
      <c r="L511" s="16">
        <f>MAX(0,-J511)</f>
        <v/>
      </c>
      <c r="M511" s="16">
        <f>M510+I511</f>
        <v/>
      </c>
      <c r="N511" s="16">
        <f>D511+F511-E511</f>
        <v/>
      </c>
      <c r="O511" s="15" t="inlineStr">
        <is>
          <t>能力超目标：四轮定位上、下、ARHUD+慢充</t>
        </is>
      </c>
      <c r="P511" s="15" t="inlineStr">
        <is>
          <t>ST1 引取(开:33117.0s 加:56.0s 等前:3595.0s 等后:0.0s) | ST2 集约(开:33173.0s 加:111.0s 等前:0.0s 等后:0.0s) | ST3 空气悬挂+快充(开:33284.0s 加:108.5s 等前:0.0s 等后:0.0s) | ST4 四轮定位上、下(开:33392.5s 加:120.5s 等前:0.0s 等后:0.0s) | ST5 ADAS(开:33513.0s 加:107.0s 等前:0.0s 等后:23.0s) | ST6 ARHUD+慢充(开:33643.0s 加:143.5s 等前:0.0s 等后:0.0s) | ST7 转毂(开:33786.5s 加:114.5s 等前:0.0s 等后:0.0s) | ST8 制动(开:33901.0s 加:114.0s 等前:0.0s 等后:0.0s) | ST9 EG漏液/底盘漏液(开:34015.0s 加:112.5s 等前:0.0s 等后:0.0s) | ST10 全景/空调检查(开:34127.5s 加:0.0s 等前:0.0s 等后:0.0s) | ST11 气囊安装+绝缘(开:34127.5s 加:116.0s 等前:0.0s 等后:0.0s) | ST12 L2++(开:34243.5s 加:88.0s 等前:0.0s 等后:0.0s) | ST13 电检1(开:34331.5s 加:84.5s 等前:0.0s 等后:0.0s) | ST14 电检2(开:34416.0s 加:97.5s 等前:0.0s 等后:35.5s) | ST15 小跑道(开:34549.0s 加:50.0s 等前:0.0s 等后:0.0s)</t>
        </is>
      </c>
    </row>
    <row r="512">
      <c r="A512" s="13" t="n">
        <v>511</v>
      </c>
      <c r="B512" s="13" t="inlineStr">
        <is>
          <t>Car#511</t>
        </is>
      </c>
      <c r="C512" s="13" t="inlineStr">
        <is>
          <t>B</t>
        </is>
      </c>
      <c r="D512" s="14" t="n">
        <v>33173</v>
      </c>
      <c r="E512" s="14" t="n">
        <v>34665</v>
      </c>
      <c r="F512" s="14" t="n">
        <v>1492</v>
      </c>
      <c r="G512" s="14" t="n">
        <v>3753.5</v>
      </c>
      <c r="H512" s="13" t="inlineStr">
        <is>
          <t>Car#510</t>
        </is>
      </c>
      <c r="I512" s="14">
        <f>E512-E511</f>
        <v/>
      </c>
      <c r="J512" s="14">
        <f>I512-58</f>
        <v/>
      </c>
      <c r="K512" s="14">
        <f>MAX(0,J512)</f>
        <v/>
      </c>
      <c r="L512" s="14">
        <f>MAX(0,-J512)</f>
        <v/>
      </c>
      <c r="M512" s="14">
        <f>M511+I512</f>
        <v/>
      </c>
      <c r="N512" s="14">
        <f>D512+F512-E512</f>
        <v/>
      </c>
      <c r="O512" s="13" t="inlineStr">
        <is>
          <t>能力超目标：四轮定位上、下</t>
        </is>
      </c>
      <c r="P512" s="13" t="inlineStr">
        <is>
          <t>ST1 引取(开:33173.0s 加:56.0s 等前:3593.0s 等后:25.5s) | ST2 集约(开:33254.5s 加:111.0s 等前:0.0s 等后:32.5s) | ST3 空气悬挂+快充(开:33398.0s 加:108.5s 等前:0.0s 等后:12.0s) | ST4 四轮定位上、下(开:33518.5s 加:120.5s 等前:0.0s 等后:0.0s) | ST5 ADAS(开:33639.0s 加:107.0s 等前:0.0s 等后:26.0s) | ST6 ARHUD+慢充(开:33772.0s 加:51.5s 等前:0.0s 等后:63.0s) | ST7 转毂(开:33886.5s 加:114.5s 等前:0.0s 等后:0.0s) | ST8 制动(开:34001.0s 加:114.0s 等前:0.0s 等后:0.0s) | ST9 EG漏液/底盘漏液(开:34115.0s 加:112.5s 等前:0.0s 等后:0.0s) | ST10 全景/空调检查(开:34227.5s 加:0.0s 等前:0.0s 等后:1.5s) | ST11 气囊安装+绝缘(开:34229.0s 加:116.0s 等前:0.0s 等后:0.0s) | ST12 L2++(开:34345.0s 加:88.0s 等前:0.0s 等后:0.0s) | ST13 电检1(开:34433.0s 加:84.5s 等前:0.0s 等后:0.0s) | ST14 电检2(开:34517.5s 加:97.5s 等前:0.0s 等后:0.0s) | ST15 小跑道(开:34615.0s 加:50.0s 等前:0.0s 等后:0.0s)</t>
        </is>
      </c>
    </row>
    <row r="513">
      <c r="A513" s="15" t="n">
        <v>512</v>
      </c>
      <c r="B513" s="15" t="inlineStr">
        <is>
          <t>Car#512</t>
        </is>
      </c>
      <c r="C513" s="15" t="inlineStr">
        <is>
          <t>B</t>
        </is>
      </c>
      <c r="D513" s="16" t="n">
        <v>33254.5</v>
      </c>
      <c r="E513" s="16" t="n">
        <v>34715</v>
      </c>
      <c r="F513" s="16" t="n">
        <v>1460.5</v>
      </c>
      <c r="G513" s="16" t="n">
        <v>3745.5</v>
      </c>
      <c r="H513" s="15" t="inlineStr">
        <is>
          <t>Car#511</t>
        </is>
      </c>
      <c r="I513" s="16">
        <f>E513-E512</f>
        <v/>
      </c>
      <c r="J513" s="16">
        <f>I513-58</f>
        <v/>
      </c>
      <c r="K513" s="16">
        <f>MAX(0,J513)</f>
        <v/>
      </c>
      <c r="L513" s="16">
        <f>MAX(0,-J513)</f>
        <v/>
      </c>
      <c r="M513" s="16">
        <f>M512+I513</f>
        <v/>
      </c>
      <c r="N513" s="16">
        <f>D513+F513-E513</f>
        <v/>
      </c>
      <c r="O513" s="15" t="inlineStr">
        <is>
          <t>能力超目标：四轮定位上、下</t>
        </is>
      </c>
      <c r="P513" s="15" t="inlineStr">
        <is>
          <t>ST1 引取(开:33254.5s 加:56.0s 等前:3616.5s 等后:0.0s) | ST2 集约(开:33310.5s 加:111.0s 等前:0.0s 等后:0.0s) | ST3 空气悬挂+快充(开:33421.5s 加:108.5s 等前:0.0s 等后:0.0s) | ST4 四轮定位上、下(开:33530.0s 加:120.5s 等前:0.0s 等后:0.0s) | ST5 ADAS(开:33650.5s 加:107.0s 等前:0.0s 等后:29.0s) | ST6 ARHUD+慢充(开:33786.5s 加:51.5s 等前:0.0s 等后:63.0s) | ST7 转毂(开:33901.0s 加:114.5s 等前:0.0s 等后:0.0s) | ST8 制动(开:34015.5s 加:114.0s 等前:0.0s 等后:0.0s) | ST9 EG漏液/底盘漏液(开:34129.5s 加:112.5s 等前:0.0s 等后:0.0s) | ST10 全景/空调检查(开:34242.0s 加:0.0s 等前:0.0s 等后:1.5s) | ST11 气囊安装+绝缘(开:34243.5s 加:116.0s 等前:0.0s 等后:0.0s) | ST12 L2++(开:34359.5s 加:88.0s 等前:0.0s 等后:0.0s) | ST13 电检1(开:34447.5s 加:84.5s 等前:0.0s 等后:17.0s) | ST14 电检2(开:34549.0s 加:97.5s 等前:0.0s 等后:18.5s) | ST15 小跑道(开:34665.0s 加:50.0s 等前:0.0s 等后:0.0s)</t>
        </is>
      </c>
    </row>
    <row r="514">
      <c r="A514" s="13" t="n">
        <v>513</v>
      </c>
      <c r="B514" s="13" t="inlineStr">
        <is>
          <t>Car#513</t>
        </is>
      </c>
      <c r="C514" s="13" t="inlineStr">
        <is>
          <t>B</t>
        </is>
      </c>
      <c r="D514" s="14" t="n">
        <v>33310.5</v>
      </c>
      <c r="E514" s="14" t="n">
        <v>34781</v>
      </c>
      <c r="F514" s="14" t="n">
        <v>1470.5</v>
      </c>
      <c r="G514" s="14" t="n">
        <v>3753.5</v>
      </c>
      <c r="H514" s="13" t="inlineStr">
        <is>
          <t>Car#512</t>
        </is>
      </c>
      <c r="I514" s="14">
        <f>E514-E513</f>
        <v/>
      </c>
      <c r="J514" s="14">
        <f>I514-58</f>
        <v/>
      </c>
      <c r="K514" s="14">
        <f>MAX(0,J514)</f>
        <v/>
      </c>
      <c r="L514" s="14">
        <f>MAX(0,-J514)</f>
        <v/>
      </c>
      <c r="M514" s="14">
        <f>M513+I514</f>
        <v/>
      </c>
      <c r="N514" s="14">
        <f>D514+F514-E514</f>
        <v/>
      </c>
      <c r="O514" s="13" t="inlineStr">
        <is>
          <t>能力超目标：四轮定位上、下</t>
        </is>
      </c>
      <c r="P514" s="13" t="inlineStr">
        <is>
          <t>ST1 引取(开:33310.5s 加:56.0s 等前:3614.5s 等后:31.5s) | ST2 集约(开:33398.0s 加:111.0s 等前:0.0s 等后:9.5s) | ST3 空气悬挂+快充(开:33518.5s 加:108.5s 等前:0.0s 等后:12.0s) | ST4 四轮定位上、下(开:33639.0s 加:120.5s 等前:0.0s 等后:12.5s) | ST5 ADAS(开:33772.0s 加:107.0s 等前:0.0s 等后:7.5s) | ST6 ARHUD+慢充(开:33886.5s 加:51.5s 等前:0.0s 等后:63.0s) | ST7 转毂(开:34001.0s 加:114.5s 等前:0.0s 等后:0.0s) | ST8 制动(开:34115.5s 加:114.0s 等前:0.0s 等后:0.0s) | ST9 EG漏液/底盘漏液(开:34229.5s 加:112.5s 等前:0.0s 等后:0.0s) | ST10 全景/空调检查(开:34342.0s 加:0.0s 等前:0.0s 等后:3.0s) | ST11 气囊安装+绝缘(开:34345.0s 加:116.0s 等前:0.0s 等后:0.0s) | ST12 L2++(开:34461.0s 加:88.0s 等前:0.0s 等后:0.0s) | ST13 电检1(开:34549.0s 加:84.5s 等前:0.0s 等后:0.0s) | ST14 电检2(开:34633.5s 加:97.5s 等前:0.0s 等后:0.0s) | ST15 小跑道(开:34731.0s 加:50.0s 等前:0.0s 等后:0.0s)</t>
        </is>
      </c>
    </row>
    <row r="515">
      <c r="A515" s="15" t="n">
        <v>514</v>
      </c>
      <c r="B515" s="15" t="inlineStr">
        <is>
          <t>Car#514</t>
        </is>
      </c>
      <c r="C515" s="15" t="inlineStr">
        <is>
          <t>C</t>
        </is>
      </c>
      <c r="D515" s="16" t="n">
        <v>33398</v>
      </c>
      <c r="E515" s="16" t="n">
        <v>34831</v>
      </c>
      <c r="F515" s="16" t="n">
        <v>1433</v>
      </c>
      <c r="G515" s="16" t="n">
        <v>3653.5</v>
      </c>
      <c r="H515" s="15" t="inlineStr">
        <is>
          <t>Car#513</t>
        </is>
      </c>
      <c r="I515" s="16">
        <f>E515-E514</f>
        <v/>
      </c>
      <c r="J515" s="16">
        <f>I515-58</f>
        <v/>
      </c>
      <c r="K515" s="16">
        <f>MAX(0,J515)</f>
        <v/>
      </c>
      <c r="L515" s="16">
        <f>MAX(0,-J515)</f>
        <v/>
      </c>
      <c r="M515" s="16">
        <f>M514+I515</f>
        <v/>
      </c>
      <c r="N515" s="16">
        <f>D515+F515-E515</f>
        <v/>
      </c>
      <c r="O515" s="15" t="inlineStr">
        <is>
          <t>能力超目标：四轮定位上、下、ARHUD+慢充</t>
        </is>
      </c>
      <c r="P515" s="15" t="inlineStr">
        <is>
          <t>ST1 引取(开:33398.0s 加:56.0s 等前:3644.0s 等后:0.0s) | ST2 集约(开:33454.0s 加:111.0s 等前:0.0s 等后:0.0s) | ST3 空气悬挂+快充(开:33565.0s 加:108.5s 等前:0.0s 等后:0.0s) | ST4 四轮定位上、下(开:33673.5s 加:120.5s 等前:0.0s 等后:0.0s) | ST5 ADAS(开:33794.0s 加:107.0s 等前:0.0s 等后:0.0s) | ST6 ARHUD+慢充(开:33901.0s 加:143.5s 等前:0.0s 等后:0.0s) | ST7 转毂(开:34044.5s 加:114.5s 等前:0.0s 等后:0.0s) | ST8 制动(开:34159.0s 加:114.0s 等前:0.0s 等后:0.0s) | ST9 EG漏液/底盘漏液(开:34273.0s 加:112.5s 等前:0.0s 等后:0.0s) | ST10 全景/空调检查(开:34385.5s 加:0.0s 等前:0.0s 等后:0.0s) | ST11 气囊安装+绝缘(开:34385.5s 加:116.0s 等前:0.0s 等后:0.0s) | ST12 L2++(开:34501.5s 加:88.0s 等前:0.0s 等后:0.0s) | ST13 电检1(开:34589.5s 加:84.5s 等前:0.0s 等后:0.0s) | ST14 电检2(开:34674.0s 加:97.5s 等前:0.0s 等后:9.5s) | ST15 小跑道(开:34781.0s 加:50.0s 等前:0.0s 等后:0.0s)</t>
        </is>
      </c>
    </row>
    <row r="516">
      <c r="A516" s="13" t="n">
        <v>515</v>
      </c>
      <c r="B516" s="13" t="inlineStr">
        <is>
          <t>Car#516</t>
        </is>
      </c>
      <c r="C516" s="13" t="inlineStr">
        <is>
          <t>A</t>
        </is>
      </c>
      <c r="D516" s="14" t="n">
        <v>33518.5</v>
      </c>
      <c r="E516" s="14" t="n">
        <v>34882</v>
      </c>
      <c r="F516" s="14" t="n">
        <v>1363.5</v>
      </c>
      <c r="G516" s="14" t="n">
        <v>4151</v>
      </c>
      <c r="H516" s="13" t="inlineStr">
        <is>
          <t>Car#514</t>
        </is>
      </c>
      <c r="I516" s="14">
        <f>E516-E515</f>
        <v/>
      </c>
      <c r="J516" s="14">
        <f>I516-58</f>
        <v/>
      </c>
      <c r="K516" s="14">
        <f>MAX(0,J516)</f>
        <v/>
      </c>
      <c r="L516" s="14">
        <f>MAX(0,-J516)</f>
        <v/>
      </c>
      <c r="M516" s="14">
        <f>M515+I516</f>
        <v/>
      </c>
      <c r="N516" s="14">
        <f>D516+F516-E516</f>
        <v/>
      </c>
      <c r="O516" s="13" t="inlineStr">
        <is>
          <t>能力满足</t>
        </is>
      </c>
      <c r="P516" s="13" t="inlineStr">
        <is>
          <t>ST1 引取(开:33518.5s 加:55.0s 等前:3648.5s 等后:0.0s) | ST2 集约(开:33573.5s 加:106.0s 等前:0.0s 等后:0.0s) | ST3 空气悬挂+快充(开:33679.5s 加:0.0s 等前:0.0s 等后:114.5s) | ST4 四轮定位上、下(开:33794.0s 加:115.0s 等前:0.0s 等后:0.0s) | ST5 ADAS(开:33909.0s 加:97.0s 等前:0.0s 等后:38.5s) | ST6 ARHUD+慢充(开:34044.5s 加:0.0s 等前:0.0s 等后:114.5s) | ST7 转毂(开:34159.0s 加:116.0s 等前:0.0s 等后:0.0s) | ST8 制动(开:34275.0s 加:108.0s 等前:0.0s 等后:2.5s) | ST9 EG漏液/底盘漏液(开:34385.5s 加:115.0s 等前:0.0s 等后:0.0s) | ST10 全景/空调检查(开:34500.5s 加:98.0s 等前:0.0s 等后:0.0s) | ST11 气囊安装+绝缘(开:34598.5s 加:0.0s 等前:0.0s 等后:0.0s) | ST12 L2++(开:34598.5s 加:0.0s 等前:0.0s 等后:75.5s) | ST13 电检1(开:34674.0s 加:0.0s 等前:0.0s 等后:107.0s) | ST14 电检2(开:34781.0s 加:0.0s 等前:0.0s 等后:50.0s) | ST15 小跑道(开:34831.0s 加:51.0s 等前:0.0s 等后:0.0s)</t>
        </is>
      </c>
    </row>
    <row r="517">
      <c r="A517" s="15" t="n">
        <v>516</v>
      </c>
      <c r="B517" s="15" t="inlineStr">
        <is>
          <t>Car#515</t>
        </is>
      </c>
      <c r="C517" s="15" t="inlineStr">
        <is>
          <t>C</t>
        </is>
      </c>
      <c r="D517" s="16" t="n">
        <v>33454</v>
      </c>
      <c r="E517" s="16" t="n">
        <v>34932</v>
      </c>
      <c r="F517" s="16" t="n">
        <v>1478</v>
      </c>
      <c r="G517" s="16" t="n">
        <v>3696.5</v>
      </c>
      <c r="H517" s="15" t="inlineStr">
        <is>
          <t>Car#516</t>
        </is>
      </c>
      <c r="I517" s="16">
        <f>E517-E516</f>
        <v/>
      </c>
      <c r="J517" s="16">
        <f>I517-58</f>
        <v/>
      </c>
      <c r="K517" s="16">
        <f>MAX(0,J517)</f>
        <v/>
      </c>
      <c r="L517" s="16">
        <f>MAX(0,-J517)</f>
        <v/>
      </c>
      <c r="M517" s="16">
        <f>M516+I517</f>
        <v/>
      </c>
      <c r="N517" s="16">
        <f>D517+F517-E517</f>
        <v/>
      </c>
      <c r="O517" s="15" t="inlineStr">
        <is>
          <t>能力超目标：四轮定位上、下、ARHUD+慢充</t>
        </is>
      </c>
      <c r="P517" s="15" t="inlineStr">
        <is>
          <t>ST1 引取(开:33454.0s 加:56.0s 等前:3642.0s 等后:8.5s) | ST2 集约(开:33518.5s 加:111.0s 等前:0.0s 等后:9.5s) | ST3 空气悬挂+快充(开:33639.0s 加:108.5s 等前:0.0s 等后:24.5s) | ST4 四轮定位上、下(开:33772.0s 加:120.5s 等前:0.0s 等后:0.0s) | ST5 ADAS(开:33892.5s 加:107.0s 等前:0.0s 等后:1.5s) | ST6 ARHUD+慢充(开:34001.0s 加:143.5s 等前:0.0s 等后:0.0s) | ST7 转毂(开:34144.5s 加:114.5s 等前:0.0s 等后:0.0s) | ST8 制动(开:34259.0s 加:114.0s 等前:0.0s 等后:0.0s) | ST9 EG漏液/底盘漏液(开:34373.0s 加:112.5s 等前:0.0s 等后:0.0s) | ST10 全景/空调检查(开:34485.5s 加:0.0s 等前:0.0s 等后:0.0s) | ST11 气囊安装+绝缘(开:34485.5s 加:116.0s 等前:0.0s 等后:0.0s) | ST12 L2++(开:34601.5s 加:88.0s 等前:0.0s 等后:0.0s) | ST13 电检1(开:34689.5s 加:84.5s 等前:0.0s 等后:0.0s) | ST14 电检2(开:34774.0s 加:97.5s 等前:0.0s 等后:10.5s) | ST15 小跑道(开:34882.0s 加:50.0s 等前:0.0s 等后:0.0s)</t>
        </is>
      </c>
    </row>
    <row r="518">
      <c r="A518" s="13" t="n">
        <v>517</v>
      </c>
      <c r="B518" s="13" t="inlineStr">
        <is>
          <t>Car#517</t>
        </is>
      </c>
      <c r="C518" s="13" t="inlineStr">
        <is>
          <t>A</t>
        </is>
      </c>
      <c r="D518" s="14" t="n">
        <v>33573.5</v>
      </c>
      <c r="E518" s="14" t="n">
        <v>34983</v>
      </c>
      <c r="F518" s="14" t="n">
        <v>1409.5</v>
      </c>
      <c r="G518" s="14" t="n">
        <v>4194</v>
      </c>
      <c r="H518" s="13" t="inlineStr">
        <is>
          <t>Car#515</t>
        </is>
      </c>
      <c r="I518" s="14">
        <f>E518-E517</f>
        <v/>
      </c>
      <c r="J518" s="14">
        <f>I518-58</f>
        <v/>
      </c>
      <c r="K518" s="14">
        <f>MAX(0,J518)</f>
        <v/>
      </c>
      <c r="L518" s="14">
        <f>MAX(0,-J518)</f>
        <v/>
      </c>
      <c r="M518" s="14">
        <f>M517+I518</f>
        <v/>
      </c>
      <c r="N518" s="14">
        <f>D518+F518-E518</f>
        <v/>
      </c>
      <c r="O518" s="13" t="inlineStr">
        <is>
          <t>能力满足</t>
        </is>
      </c>
      <c r="P518" s="13" t="inlineStr">
        <is>
          <t>ST1 引取(开:33573.5s 加:55.0s 等前:3645.5s 等后:10.5s) | ST2 集约(开:33639.0s 加:106.0s 等前:0.0s 等后:27.0s) | ST3 空气悬挂+快充(开:33772.0s 加:0.0s 等前:0.0s 等后:120.5s) | ST4 四轮定位上、下(开:33892.5s 加:115.0s 等前:0.0s 等后:0.0s) | ST5 ADAS(开:34007.5s 加:97.0s 等前:0.0s 等后:40.0s) | ST6 ARHUD+慢充(开:34144.5s 加:0.0s 等前:0.0s 等后:114.5s) | ST7 转毂(开:34259.0s 加:116.0s 等前:0.0s 等后:0.0s) | ST8 制动(开:34375.0s 加:108.0s 等前:0.0s 等后:2.5s) | ST9 EG漏液/底盘漏液(开:34485.5s 加:115.0s 等前:0.0s 等后:0.0s) | ST10 全景/空调检查(开:34600.5s 加:98.0s 等前:0.0s 等后:0.0s) | ST11 气囊安装+绝缘(开:34698.5s 加:0.0s 等前:0.0s 等后:0.0s) | ST12 L2++(开:34698.5s 加:0.0s 等前:0.0s 等后:75.5s) | ST13 电检1(开:34774.0s 加:0.0s 等前:0.0s 等后:108.0s) | ST14 电检2(开:34882.0s 加:0.0s 等前:0.0s 等后:50.0s) | ST15 小跑道(开:34932.0s 加:51.0s 等前:0.0s 等后:0.0s)</t>
        </is>
      </c>
    </row>
    <row r="519">
      <c r="A519" s="15" t="n">
        <v>518</v>
      </c>
      <c r="B519" s="15" t="inlineStr">
        <is>
          <t>Car#518</t>
        </is>
      </c>
      <c r="C519" s="15" t="inlineStr">
        <is>
          <t>C</t>
        </is>
      </c>
      <c r="D519" s="16" t="n">
        <v>33639</v>
      </c>
      <c r="E519" s="16" t="n">
        <v>35079.5</v>
      </c>
      <c r="F519" s="16" t="n">
        <v>1440.5</v>
      </c>
      <c r="G519" s="16" t="n">
        <v>3670</v>
      </c>
      <c r="H519" s="15" t="inlineStr">
        <is>
          <t>Car#517</t>
        </is>
      </c>
      <c r="I519" s="16">
        <f>E519-E518</f>
        <v/>
      </c>
      <c r="J519" s="16">
        <f>I519-58</f>
        <v/>
      </c>
      <c r="K519" s="16">
        <f>MAX(0,J519)</f>
        <v/>
      </c>
      <c r="L519" s="16">
        <f>MAX(0,-J519)</f>
        <v/>
      </c>
      <c r="M519" s="16">
        <f>M518+I519</f>
        <v/>
      </c>
      <c r="N519" s="16">
        <f>D519+F519-E519</f>
        <v/>
      </c>
      <c r="O519" s="15" t="inlineStr">
        <is>
          <t>能力超目标：四轮定位上、下、ARHUD+慢充</t>
        </is>
      </c>
      <c r="P519" s="15" t="inlineStr">
        <is>
          <t>ST1 引取(开:33639.0s 加:56.0s 等前:3653.0s 等后:0.0s) | ST2 集约(开:33695.0s 加:111.0s 等前:0.0s 等后:0.0s) | ST3 空气悬挂+快充(开:33806.0s 加:108.5s 等前:0.0s 等后:0.0s) | ST4 四轮定位上、下(开:33914.5s 加:120.5s 等前:0.0s 等后:9.5s) | ST5 ADAS(开:34044.5s 加:107.0s 等前:0.0s 等后:7.5s) | ST6 ARHUD+慢充(开:34159.0s 加:143.5s 等前:0.0s 等后:0.0s) | ST7 转毂(开:34302.5s 加:114.5s 等前:0.0s 等后:0.0s) | ST8 制动(开:34417.0s 加:114.0s 等前:0.0s 等后:0.0s) | ST9 EG漏液/底盘漏液(开:34531.0s 加:112.5s 等前:0.0s 等后:0.0s) | ST10 全景/空调检查(开:34643.5s 加:0.0s 等前:0.0s 等后:0.0s) | ST11 气囊安装+绝缘(开:34643.5s 加:116.0s 等前:0.0s 等后:0.0s) | ST12 L2++(开:34759.5s 加:88.0s 等前:0.0s 等后:0.0s) | ST13 电检1(开:34847.5s 加:84.5s 等前:0.0s 等后:0.0s) | ST14 电检2(开:34932.0s 加:97.5s 等前:0.0s 等后:0.0s) | ST15 小跑道(开:35029.5s 加:50.0s 等前:0.0s 等后:0.0s)</t>
        </is>
      </c>
    </row>
    <row r="520">
      <c r="A520" s="13" t="n">
        <v>519</v>
      </c>
      <c r="B520" s="13" t="inlineStr">
        <is>
          <t>Car#519</t>
        </is>
      </c>
      <c r="C520" s="13" t="inlineStr">
        <is>
          <t>C</t>
        </is>
      </c>
      <c r="D520" s="14" t="n">
        <v>33695</v>
      </c>
      <c r="E520" s="14" t="n">
        <v>35179.5</v>
      </c>
      <c r="F520" s="14" t="n">
        <v>1484.5</v>
      </c>
      <c r="G520" s="14" t="n">
        <v>3712</v>
      </c>
      <c r="H520" s="13" t="inlineStr">
        <is>
          <t>Car#518</t>
        </is>
      </c>
      <c r="I520" s="14">
        <f>E520-E519</f>
        <v/>
      </c>
      <c r="J520" s="14">
        <f>I520-58</f>
        <v/>
      </c>
      <c r="K520" s="14">
        <f>MAX(0,J520)</f>
        <v/>
      </c>
      <c r="L520" s="14">
        <f>MAX(0,-J520)</f>
        <v/>
      </c>
      <c r="M520" s="14">
        <f>M519+I520</f>
        <v/>
      </c>
      <c r="N520" s="14">
        <f>D520+F520-E520</f>
        <v/>
      </c>
      <c r="O520" s="13" t="inlineStr">
        <is>
          <t>能力超目标：四轮定位上、下、ARHUD+慢充</t>
        </is>
      </c>
      <c r="P520" s="13" t="inlineStr">
        <is>
          <t>ST1 引取(开:33695.0s 加:56.0s 等前:3651.0s 等后:21.0s) | ST2 集约(开:33772.0s 加:111.0s 等前:0.0s 等后:9.5s) | ST3 空气悬挂+快充(开:33892.5s 加:108.5s 等前:0.0s 等后:6.5s) | ST4 四轮定位上、下(开:34007.5s 加:120.5s 等前:0.0s 等后:16.5s) | ST5 ADAS(开:34144.5s 加:107.0s 等前:0.0s 等后:7.5s) | ST6 ARHUD+慢充(开:34259.0s 加:143.5s 等前:0.0s 等后:0.0s) | ST7 转毂(开:34402.5s 加:114.5s 等前:0.0s 等后:0.0s) | ST8 制动(开:34517.0s 加:114.0s 等前:0.0s 等后:0.0s) | ST9 EG漏液/底盘漏液(开:34631.0s 加:112.5s 等前:0.0s 等后:0.0s) | ST10 全景/空调检查(开:34743.5s 加:0.0s 等前:0.0s 等后:0.0s) | ST11 气囊安装+绝缘(开:34743.5s 加:116.0s 等前:0.0s 等后:0.0s) | ST12 L2++(开:34859.5s 加:88.0s 等前:0.0s 等后:0.0s) | ST13 电检1(开:34947.5s 加:84.5s 等前:0.0s 等后:0.0s) | ST14 电检2(开:35032.0s 加:97.5s 等前:0.0s 等后:0.0s) | ST15 小跑道(开:35129.5s 加:50.0s 等前:0.0s 等后:0.0s)</t>
        </is>
      </c>
    </row>
    <row r="521">
      <c r="A521" s="15" t="n">
        <v>520</v>
      </c>
      <c r="B521" s="15" t="inlineStr">
        <is>
          <t>Car#520</t>
        </is>
      </c>
      <c r="C521" s="15" t="inlineStr">
        <is>
          <t>C</t>
        </is>
      </c>
      <c r="D521" s="16" t="n">
        <v>33772</v>
      </c>
      <c r="E521" s="16" t="n">
        <v>35229.5</v>
      </c>
      <c r="F521" s="16" t="n">
        <v>1457.5</v>
      </c>
      <c r="G521" s="16" t="n">
        <v>3704</v>
      </c>
      <c r="H521" s="15" t="inlineStr">
        <is>
          <t>Car#519</t>
        </is>
      </c>
      <c r="I521" s="16">
        <f>E521-E520</f>
        <v/>
      </c>
      <c r="J521" s="16">
        <f>I521-58</f>
        <v/>
      </c>
      <c r="K521" s="16">
        <f>MAX(0,J521)</f>
        <v/>
      </c>
      <c r="L521" s="16">
        <f>MAX(0,-J521)</f>
        <v/>
      </c>
      <c r="M521" s="16">
        <f>M520+I521</f>
        <v/>
      </c>
      <c r="N521" s="16">
        <f>D521+F521-E521</f>
        <v/>
      </c>
      <c r="O521" s="15" t="inlineStr">
        <is>
          <t>能力超目标：四轮定位上、下、ARHUD+慢充</t>
        </is>
      </c>
      <c r="P521" s="15" t="inlineStr">
        <is>
          <t>ST1 引取(开:33772.0s 加:56.0s 等前:3670.0s 等后:0.0s) | ST2 集约(开:33828.0s 加:111.0s 等前:0.0s 等后:0.0s) | ST3 空气悬挂+快充(开:33939.0s 加:108.5s 等前:0.0s 等后:0.0s) | ST4 四轮定位上、下(开:34047.5s 加:120.5s 等前:0.0s 等后:0.0s) | ST5 ADAS(开:34168.0s 加:107.0s 等前:0.0s 等后:27.5s) | ST6 ARHUD+慢充(开:34302.5s 加:143.5s 等前:0.0s 等后:0.0s) | ST7 转毂(开:34446.0s 加:114.5s 等前:0.0s 等后:0.0s) | ST8 制动(开:34560.5s 加:114.0s 等前:0.0s 等后:0.0s) | ST9 EG漏液/底盘漏液(开:34674.5s 加:112.5s 等前:0.0s 等后:0.0s) | ST10 全景/空调检查(开:34787.0s 加:0.0s 等前:0.0s 等后:0.0s) | ST11 气囊安装+绝缘(开:34787.0s 加:116.0s 等前:0.0s 等后:0.0s) | ST12 L2++(开:34903.0s 加:88.0s 等前:0.0s 等后:0.0s) | ST13 电检1(开:34991.0s 加:84.5s 等前:0.0s 等后:0.0s) | ST14 电检2(开:35075.5s 加:97.5s 等前:0.0s 等后:6.5s) | ST15 小跑道(开:35179.5s 加:50.0s 等前:0.0s 等后:0.0s)</t>
        </is>
      </c>
    </row>
    <row r="522">
      <c r="A522" s="13" t="n">
        <v>521</v>
      </c>
      <c r="B522" s="13" t="inlineStr">
        <is>
          <t>Car#521</t>
        </is>
      </c>
      <c r="C522" s="13" t="inlineStr">
        <is>
          <t>C</t>
        </is>
      </c>
      <c r="D522" s="14" t="n">
        <v>33828</v>
      </c>
      <c r="E522" s="14" t="n">
        <v>35323</v>
      </c>
      <c r="F522" s="14" t="n">
        <v>1495</v>
      </c>
      <c r="G522" s="14" t="n">
        <v>3739.5</v>
      </c>
      <c r="H522" s="13" t="inlineStr">
        <is>
          <t>Car#520</t>
        </is>
      </c>
      <c r="I522" s="14">
        <f>E522-E521</f>
        <v/>
      </c>
      <c r="J522" s="14">
        <f>I522-58</f>
        <v/>
      </c>
      <c r="K522" s="14">
        <f>MAX(0,J522)</f>
        <v/>
      </c>
      <c r="L522" s="14">
        <f>MAX(0,-J522)</f>
        <v/>
      </c>
      <c r="M522" s="14">
        <f>M521+I522</f>
        <v/>
      </c>
      <c r="N522" s="14">
        <f>D522+F522-E522</f>
        <v/>
      </c>
      <c r="O522" s="13" t="inlineStr">
        <is>
          <t>能力超目标：四轮定位上、下、ARHUD+慢充</t>
        </is>
      </c>
      <c r="P522" s="13" t="inlineStr">
        <is>
          <t>ST1 引取(开:33828.0s 加:56.0s 等前:3668.0s 等后:8.5s) | ST2 集约(开:33892.5s 加:111.0s 等前:0.0s 等后:4.0s) | ST3 空气悬挂+快充(开:34007.5s 加:108.5s 等前:0.0s 等后:28.5s) | ST4 四轮定位上、下(开:34144.5s 加:120.5s 等前:0.0s 等后:0.0s) | ST5 ADAS(开:34265.0s 加:107.0s 等前:0.0s 等后:30.5s) | ST6 ARHUD+慢充(开:34402.5s 加:143.5s 等前:0.0s 等后:0.0s) | ST7 转毂(开:34546.0s 加:114.5s 等前:0.0s 等后:0.0s) | ST8 制动(开:34660.5s 加:114.0s 等前:0.0s 等后:0.0s) | ST9 EG漏液/底盘漏液(开:34774.5s 加:112.5s 等前:0.0s 等后:0.0s) | ST10 全景/空调检查(开:34887.0s 加:0.0s 等前:0.0s 等后:0.0s) | ST11 气囊安装+绝缘(开:34887.0s 加:116.0s 等前:0.0s 等后:0.0s) | ST12 L2++(开:35003.0s 加:88.0s 等前:0.0s 等后:0.0s) | ST13 电检1(开:35091.0s 加:84.5s 等前:0.0s 等后:0.0s) | ST14 电检2(开:35175.5s 加:97.5s 等前:0.0s 等后:0.0s) | ST15 小跑道(开:35273.0s 加:50.0s 等前:0.0s 等后:0.0s)</t>
        </is>
      </c>
    </row>
    <row r="523">
      <c r="A523" s="15" t="n">
        <v>522</v>
      </c>
      <c r="B523" s="15" t="inlineStr">
        <is>
          <t>Car#522</t>
        </is>
      </c>
      <c r="C523" s="15" t="inlineStr">
        <is>
          <t>B</t>
        </is>
      </c>
      <c r="D523" s="16" t="n">
        <v>33892.5</v>
      </c>
      <c r="E523" s="16" t="n">
        <v>35373</v>
      </c>
      <c r="F523" s="16" t="n">
        <v>1480.5</v>
      </c>
      <c r="G523" s="16" t="n">
        <v>3823.5</v>
      </c>
      <c r="H523" s="15" t="inlineStr">
        <is>
          <t>Car#521</t>
        </is>
      </c>
      <c r="I523" s="16">
        <f>E523-E522</f>
        <v/>
      </c>
      <c r="J523" s="16">
        <f>I523-58</f>
        <v/>
      </c>
      <c r="K523" s="16">
        <f>MAX(0,J523)</f>
        <v/>
      </c>
      <c r="L523" s="16">
        <f>MAX(0,-J523)</f>
        <v/>
      </c>
      <c r="M523" s="16">
        <f>M522+I523</f>
        <v/>
      </c>
      <c r="N523" s="16">
        <f>D523+F523-E523</f>
        <v/>
      </c>
      <c r="O523" s="15" t="inlineStr">
        <is>
          <t>能力超目标：四轮定位上、下</t>
        </is>
      </c>
      <c r="P523" s="15" t="inlineStr">
        <is>
          <t>ST1 引取(开:33892.5s 加:56.0s 等前:3674.5s 等后:0.0s) | ST2 集约(开:33948.5s 加:111.0s 等前:0.0s 等后:0.0s) | ST3 空气悬挂+快充(开:34059.5s 加:108.5s 等前:0.0s 等后:0.0s) | ST4 四轮定位上、下(开:34168.0s 加:120.5s 等前:0.0s 等后:14.0s) | ST5 ADAS(开:34302.5s 加:107.0s 等前:0.0s 等后:36.5s) | ST6 ARHUD+慢充(开:34446.0s 加:51.5s 等前:0.0s 等后:63.0s) | ST7 转毂(开:34560.5s 加:114.5s 等前:0.0s 等后:0.0s) | ST8 制动(开:34675.0s 加:114.0s 等前:0.0s 等后:0.0s) | ST9 EG漏液/底盘漏液(开:34789.0s 加:112.5s 等前:0.0s 等后:0.0s) | ST10 全景/空调检查(开:34901.5s 加:0.0s 等前:0.0s 等后:1.5s) | ST11 气囊安装+绝缘(开:34903.0s 加:116.0s 等前:0.0s 等后:0.0s) | ST12 L2++(开:35019.0s 加:88.0s 等前:0.0s 等后:0.0s) | ST13 电检1(开:35107.0s 加:84.5s 等前:0.0s 等后:0.0s) | ST14 电检2(开:35191.5s 加:97.5s 等前:0.0s 等后:34.0s) | ST15 小跑道(开:35323.0s 加:50.0s 等前:0.0s 等后:0.0s)</t>
        </is>
      </c>
    </row>
    <row r="524">
      <c r="A524" s="13" t="n">
        <v>523</v>
      </c>
      <c r="B524" s="13" t="inlineStr">
        <is>
          <t>Car#523</t>
        </is>
      </c>
      <c r="C524" s="13" t="inlineStr">
        <is>
          <t>B</t>
        </is>
      </c>
      <c r="D524" s="14" t="n">
        <v>33948.5</v>
      </c>
      <c r="E524" s="14" t="n">
        <v>35439</v>
      </c>
      <c r="F524" s="14" t="n">
        <v>1490.5</v>
      </c>
      <c r="G524" s="14" t="n">
        <v>3831.5</v>
      </c>
      <c r="H524" s="13" t="inlineStr">
        <is>
          <t>Car#522</t>
        </is>
      </c>
      <c r="I524" s="14">
        <f>E524-E523</f>
        <v/>
      </c>
      <c r="J524" s="14">
        <f>I524-58</f>
        <v/>
      </c>
      <c r="K524" s="14">
        <f>MAX(0,J524)</f>
        <v/>
      </c>
      <c r="L524" s="14">
        <f>MAX(0,-J524)</f>
        <v/>
      </c>
      <c r="M524" s="14">
        <f>M523+I524</f>
        <v/>
      </c>
      <c r="N524" s="14">
        <f>D524+F524-E524</f>
        <v/>
      </c>
      <c r="O524" s="13" t="inlineStr">
        <is>
          <t>能力超目标：四轮定位上、下</t>
        </is>
      </c>
      <c r="P524" s="13" t="inlineStr">
        <is>
          <t>ST1 引取(开:33948.5s 加:56.0s 等前:3672.5s 等后:3.0s) | ST2 集约(开:34007.5s 加:111.0s 等前:0.0s 等后:26.0s) | ST3 空气悬挂+快充(开:34144.5s 加:108.5s 等前:0.0s 等后:12.0s) | ST4 四轮定位上、下(开:34265.0s 加:120.5s 等前:0.0s 等后:17.0s) | ST5 ADAS(开:34402.5s 加:107.0s 等前:0.0s 等后:36.5s) | ST6 ARHUD+慢充(开:34546.0s 加:51.5s 等前:0.0s 等后:63.0s) | ST7 转毂(开:34660.5s 加:114.5s 等前:0.0s 等后:0.0s) | ST8 制动(开:34775.0s 加:114.0s 等前:0.0s 等后:0.0s) | ST9 EG漏液/底盘漏液(开:34889.0s 加:112.5s 等前:0.0s 等后:0.0s) | ST10 全景/空调检查(开:35001.5s 加:0.0s 等前:0.0s 等后:1.5s) | ST11 气囊安装+绝缘(开:35003.0s 加:116.0s 等前:0.0s 等后:0.0s) | ST12 L2++(开:35119.0s 加:88.0s 等前:0.0s 等后:0.0s) | ST13 电检1(开:35207.0s 加:84.5s 等前:0.0s 等后:0.0s) | ST14 电检2(开:35291.5s 加:97.5s 等前:0.0s 等后:0.0s) | ST15 小跑道(开:35389.0s 加:50.0s 等前:0.0s 等后:0.0s)</t>
        </is>
      </c>
    </row>
    <row r="525">
      <c r="A525" s="15" t="n">
        <v>524</v>
      </c>
      <c r="B525" s="15" t="inlineStr">
        <is>
          <t>Car#525</t>
        </is>
      </c>
      <c r="C525" s="15" t="inlineStr">
        <is>
          <t>A</t>
        </is>
      </c>
      <c r="D525" s="16" t="n">
        <v>34063.5</v>
      </c>
      <c r="E525" s="16" t="n">
        <v>35490</v>
      </c>
      <c r="F525" s="16" t="n">
        <v>1426.5</v>
      </c>
      <c r="G525" s="16" t="n">
        <v>4237</v>
      </c>
      <c r="H525" s="15" t="inlineStr">
        <is>
          <t>Car#523</t>
        </is>
      </c>
      <c r="I525" s="16">
        <f>E525-E524</f>
        <v/>
      </c>
      <c r="J525" s="16">
        <f>I525-58</f>
        <v/>
      </c>
      <c r="K525" s="16">
        <f>MAX(0,J525)</f>
        <v/>
      </c>
      <c r="L525" s="16">
        <f>MAX(0,-J525)</f>
        <v/>
      </c>
      <c r="M525" s="16">
        <f>M524+I525</f>
        <v/>
      </c>
      <c r="N525" s="16">
        <f>D525+F525-E525</f>
        <v/>
      </c>
      <c r="O525" s="15" t="inlineStr">
        <is>
          <t>能力满足</t>
        </is>
      </c>
      <c r="P525" s="15" t="inlineStr">
        <is>
          <t>ST1 引取(开:34063.5s 加:55.0s 等前:3671.5s 等后:26.0s) | ST2 集约(开:34144.5s 加:106.0s 等前:0.0s 等后:14.5s) | ST3 空气悬挂+快充(开:34265.0s 加:0.0s 等前:0.0s 等后:137.5s) | ST4 四轮定位上、下(开:34402.5s 加:115.0s 等前:0.0s 等后:28.5s) | ST5 ADAS(开:34546.0s 加:97.0s 等前:0.0s 等后:17.5s) | ST6 ARHUD+慢充(开:34660.5s 加:0.0s 等前:0.0s 等后:114.5s) | ST7 转毂(开:34775.0s 加:116.0s 等前:0.0s 等后:0.0s) | ST8 制动(开:34891.0s 加:108.0s 等前:0.0s 等后:2.5s) | ST9 EG漏液/底盘漏液(开:35001.5s 加:115.0s 等前:0.0s 等后:0.0s) | ST10 全景/空调检查(开:35116.5s 加:98.0s 等前:0.0s 等后:0.0s) | ST11 气囊安装+绝缘(开:35214.5s 加:0.0s 等前:0.0s 等后:0.0s) | ST12 L2++(开:35214.5s 加:0.0s 等前:0.0s 等后:77.0s) | ST13 电检1(开:35291.5s 加:0.0s 等前:0.0s 等后:97.5s) | ST14 电检2(开:35389.0s 加:0.0s 等前:0.0s 等后:50.0s) | ST15 小跑道(开:35439.0s 加:51.0s 等前:0.0s 等后:0.0s)</t>
        </is>
      </c>
    </row>
    <row r="526">
      <c r="A526" s="13" t="n">
        <v>525</v>
      </c>
      <c r="B526" s="13" t="inlineStr">
        <is>
          <t>Car#524</t>
        </is>
      </c>
      <c r="C526" s="13" t="inlineStr">
        <is>
          <t>B</t>
        </is>
      </c>
      <c r="D526" s="14" t="n">
        <v>34007.5</v>
      </c>
      <c r="E526" s="14" t="n">
        <v>35540</v>
      </c>
      <c r="F526" s="14" t="n">
        <v>1532.5</v>
      </c>
      <c r="G526" s="14" t="n">
        <v>3874.5</v>
      </c>
      <c r="H526" s="13" t="inlineStr">
        <is>
          <t>Car#525</t>
        </is>
      </c>
      <c r="I526" s="14">
        <f>E526-E525</f>
        <v/>
      </c>
      <c r="J526" s="14">
        <f>I526-58</f>
        <v/>
      </c>
      <c r="K526" s="14">
        <f>MAX(0,J526)</f>
        <v/>
      </c>
      <c r="L526" s="14">
        <f>MAX(0,-J526)</f>
        <v/>
      </c>
      <c r="M526" s="14">
        <f>M525+I526</f>
        <v/>
      </c>
      <c r="N526" s="14">
        <f>D526+F526-E526</f>
        <v/>
      </c>
      <c r="O526" s="13" t="inlineStr">
        <is>
          <t>能力超目标：四轮定位上、下</t>
        </is>
      </c>
      <c r="P526" s="13" t="inlineStr">
        <is>
          <t>ST1 引取(开:34007.5s 加:56.0s 等前:3673.5s 等后:0.0s) | ST2 集约(开:34063.5s 加:111.0s 等前:0.0s 等后:0.0s) | ST3 空气悬挂+快充(开:34174.5s 加:108.5s 等前:0.0s 等后:19.5s) | ST4 四轮定位上、下(开:34302.5s 加:120.5s 等前:0.0s 等后:23.0s) | ST5 ADAS(开:34446.0s 加:107.0s 等前:0.0s 等后:7.5s) | ST6 ARHUD+慢充(开:34560.5s 加:51.5s 等前:0.0s 等后:63.0s) | ST7 转毂(开:34675.0s 加:114.5s 等前:0.0s 等后:0.0s) | ST8 制动(开:34789.5s 加:114.0s 等前:0.0s 等后:0.0s) | ST9 EG漏液/底盘漏液(开:34903.5s 加:112.5s 等前:0.0s 等后:0.0s) | ST10 全景/空调检查(开:35016.0s 加:0.0s 等前:0.0s 等后:3.0s) | ST11 气囊安装+绝缘(开:35019.0s 加:116.0s 等前:0.0s 等后:0.0s) | ST12 L2++(开:35135.0s 加:88.0s 等前:0.0s 等后:0.0s) | ST13 电检1(开:35223.0s 加:84.5s 等前:0.0s 等后:15.5s) | ST14 电检2(开:35323.0s 加:97.5s 等前:0.0s 等后:69.5s) | ST15 小跑道(开:35490.0s 加:50.0s 等前:0.0s 等后:0.0s)</t>
        </is>
      </c>
    </row>
    <row r="527">
      <c r="A527" s="15" t="n">
        <v>526</v>
      </c>
      <c r="B527" s="15" t="inlineStr">
        <is>
          <t>Car#526</t>
        </is>
      </c>
      <c r="C527" s="15" t="inlineStr">
        <is>
          <t>C</t>
        </is>
      </c>
      <c r="D527" s="16" t="n">
        <v>34144.5</v>
      </c>
      <c r="E527" s="16" t="n">
        <v>35637.5</v>
      </c>
      <c r="F527" s="16" t="n">
        <v>1493</v>
      </c>
      <c r="G527" s="16" t="n">
        <v>3764</v>
      </c>
      <c r="H527" s="15" t="inlineStr">
        <is>
          <t>Car#524</t>
        </is>
      </c>
      <c r="I527" s="16">
        <f>E527-E526</f>
        <v/>
      </c>
      <c r="J527" s="16">
        <f>I527-58</f>
        <v/>
      </c>
      <c r="K527" s="16">
        <f>MAX(0,J527)</f>
        <v/>
      </c>
      <c r="L527" s="16">
        <f>MAX(0,-J527)</f>
        <v/>
      </c>
      <c r="M527" s="16">
        <f>M526+I527</f>
        <v/>
      </c>
      <c r="N527" s="16">
        <f>D527+F527-E527</f>
        <v/>
      </c>
      <c r="O527" s="15" t="inlineStr">
        <is>
          <t>能力超目标：四轮定位上、下、ARHUD+慢充</t>
        </is>
      </c>
      <c r="P527" s="15" t="inlineStr">
        <is>
          <t>ST1 引取(开:34144.5s 加:56.0s 等前:3694.5s 等后:0.0s) | ST2 集约(开:34200.5s 加:111.0s 等前:0.0s 等后:0.0s) | ST3 空气悬挂+快充(开:34311.5s 加:108.5s 等前:0.0s 等后:26.0s) | ST4 四轮定位上、下(开:34446.0s 加:120.5s 等前:0.0s 等后:0.0s) | ST5 ADAS(开:34566.5s 加:107.0s 等前:0.0s 等后:1.5s) | ST6 ARHUD+慢充(开:34675.0s 加:143.5s 等前:0.0s 等后:0.0s) | ST7 转毂(开:34818.5s 加:114.5s 等前:0.0s 等后:0.0s) | ST8 制动(开:34933.0s 加:114.0s 等前:0.0s 等后:0.0s) | ST9 EG漏液/底盘漏液(开:35047.0s 加:112.5s 等前:0.0s 等后:0.0s) | ST10 全景/空调检查(开:35159.5s 加:0.0s 等前:0.0s 等后:0.0s) | ST11 气囊安装+绝缘(开:35159.5s 加:116.0s 等前:0.0s 等后:0.0s) | ST12 L2++(开:35275.5s 加:88.0s 等前:0.0s 等后:0.0s) | ST13 电检1(开:35363.5s 加:84.5s 等前:0.0s 等后:42.0s) | ST14 电检2(开:35490.0s 加:97.5s 等前:0.0s 等后:0.0s) | ST15 小跑道(开:35587.5s 加:50.0s 等前:0.0s 等后:0.0s)</t>
        </is>
      </c>
    </row>
    <row r="528">
      <c r="A528" s="13" t="n">
        <v>527</v>
      </c>
      <c r="B528" s="13" t="inlineStr">
        <is>
          <t>Car#527</t>
        </is>
      </c>
      <c r="C528" s="13" t="inlineStr">
        <is>
          <t>C</t>
        </is>
      </c>
      <c r="D528" s="14" t="n">
        <v>34200.5</v>
      </c>
      <c r="E528" s="14" t="n">
        <v>35695.5</v>
      </c>
      <c r="F528" s="14" t="n">
        <v>1495</v>
      </c>
      <c r="G528" s="14" t="n">
        <v>3764</v>
      </c>
      <c r="H528" s="13" t="inlineStr">
        <is>
          <t>Car#526</t>
        </is>
      </c>
      <c r="I528" s="14">
        <f>E528-E527</f>
        <v/>
      </c>
      <c r="J528" s="14">
        <f>I528-58</f>
        <v/>
      </c>
      <c r="K528" s="14">
        <f>MAX(0,J528)</f>
        <v/>
      </c>
      <c r="L528" s="14">
        <f>MAX(0,-J528)</f>
        <v/>
      </c>
      <c r="M528" s="14">
        <f>M527+I528</f>
        <v/>
      </c>
      <c r="N528" s="14">
        <f>D528+F528-E528</f>
        <v/>
      </c>
      <c r="O528" s="13" t="inlineStr">
        <is>
          <t>能力超目标：四轮定位上、下、ARHUD+慢充</t>
        </is>
      </c>
      <c r="P528" s="13" t="inlineStr">
        <is>
          <t>ST1 引取(开:34200.5s 加:56.0s 等前:3692.5s 等后:8.5s) | ST2 集约(开:34265.0s 加:111.0s 等前:0.0s 等后:26.5s) | ST3 空气悬挂+快充(开:34402.5s 加:108.5s 等前:0.0s 等后:35.0s) | ST4 四轮定位上、下(开:34546.0s 加:120.5s 等前:0.0s 等后:0.0s) | ST5 ADAS(开:34666.5s 加:107.0s 等前:0.0s 等后:1.5s) | ST6 ARHUD+慢充(开:34775.0s 加:143.5s 等前:0.0s 等后:0.0s) | ST7 转毂(开:34918.5s 加:114.5s 等前:0.0s 等后:0.0s) | ST8 制动(开:35033.0s 加:114.0s 等前:0.0s 等后:0.0s) | ST9 EG漏液/底盘漏液(开:35147.0s 加:112.5s 等前:0.0s 等后:0.0s) | ST10 全景/空调检查(开:35259.5s 加:0.0s 等前:0.0s 等后:0.0s) | ST11 气囊安装+绝缘(开:35259.5s 加:116.0s 等前:0.0s 等后:0.0s) | ST12 L2++(开:35375.5s 加:88.0s 等前:0.0s 等后:0.0s) | ST13 电检1(开:35463.5s 加:84.5s 等前:0.0s 等后:0.0s) | ST14 电检2(开:35548.0s 加:97.5s 等前:0.0s 等后:0.0s) | ST15 小跑道(开:35645.5s 加:50.0s 等前:0.0s 等后:0.0s)</t>
        </is>
      </c>
    </row>
    <row r="529">
      <c r="A529" s="15" t="n">
        <v>528</v>
      </c>
      <c r="B529" s="15" t="inlineStr">
        <is>
          <t>Car#529</t>
        </is>
      </c>
      <c r="C529" s="15" t="inlineStr">
        <is>
          <t>A</t>
        </is>
      </c>
      <c r="D529" s="16" t="n">
        <v>34321</v>
      </c>
      <c r="E529" s="16" t="n">
        <v>35746.5</v>
      </c>
      <c r="F529" s="16" t="n">
        <v>1425.5</v>
      </c>
      <c r="G529" s="16" t="n">
        <v>4261.5</v>
      </c>
      <c r="H529" s="15" t="inlineStr">
        <is>
          <t>Car#527</t>
        </is>
      </c>
      <c r="I529" s="16">
        <f>E529-E528</f>
        <v/>
      </c>
      <c r="J529" s="16">
        <f>I529-58</f>
        <v/>
      </c>
      <c r="K529" s="16">
        <f>MAX(0,J529)</f>
        <v/>
      </c>
      <c r="L529" s="16">
        <f>MAX(0,-J529)</f>
        <v/>
      </c>
      <c r="M529" s="16">
        <f>M528+I529</f>
        <v/>
      </c>
      <c r="N529" s="16">
        <f>D529+F529-E529</f>
        <v/>
      </c>
      <c r="O529" s="15" t="inlineStr">
        <is>
          <t>能力满足</t>
        </is>
      </c>
      <c r="P529" s="15" t="inlineStr">
        <is>
          <t>ST1 引取(开:34321.0s 加:55.0s 等前:3697.0s 等后:26.5s) | ST2 集约(开:34402.5s 加:106.0s 等前:0.0s 等后:37.5s) | ST3 空气悬挂+快充(开:34546.0s 加:0.0s 等前:0.0s 等后:120.5s) | ST4 四轮定位上、下(开:34666.5s 加:115.0s 等前:0.0s 等后:0.0s) | ST5 ADAS(开:34781.5s 加:97.0s 等前:0.0s 等后:40.0s) | ST6 ARHUD+慢充(开:34918.5s 加:0.0s 等前:0.0s 等后:114.5s) | ST7 转毂(开:35033.0s 加:116.0s 等前:0.0s 等后:0.0s) | ST8 制动(开:35149.0s 加:108.0s 等前:0.0s 等后:2.5s) | ST9 EG漏液/底盘漏液(开:35259.5s 加:115.0s 等前:0.0s 等后:0.0s) | ST10 全景/空调检查(开:35374.5s 加:98.0s 等前:0.0s 等后:0.0s) | ST11 气囊安装+绝缘(开:35472.5s 加:0.0s 等前:0.0s 等后:0.0s) | ST12 L2++(开:35472.5s 加:0.0s 等前:0.0s 等后:75.5s) | ST13 电检1(开:35548.0s 加:0.0s 等前:0.0s 等后:97.5s) | ST14 电检2(开:35645.5s 加:0.0s 等前:0.0s 等后:50.0s) | ST15 小跑道(开:35695.5s 加:51.0s 等前:0.0s 等后:0.0s)</t>
        </is>
      </c>
    </row>
    <row r="530">
      <c r="A530" s="13" t="n">
        <v>529</v>
      </c>
      <c r="B530" s="13" t="inlineStr">
        <is>
          <t>Car#528</t>
        </is>
      </c>
      <c r="C530" s="13" t="inlineStr">
        <is>
          <t>C</t>
        </is>
      </c>
      <c r="D530" s="14" t="n">
        <v>34265</v>
      </c>
      <c r="E530" s="14" t="n">
        <v>35796.5</v>
      </c>
      <c r="F530" s="14" t="n">
        <v>1531.5</v>
      </c>
      <c r="G530" s="14" t="n">
        <v>3807</v>
      </c>
      <c r="H530" s="13" t="inlineStr">
        <is>
          <t>Car#529</t>
        </is>
      </c>
      <c r="I530" s="14">
        <f>E530-E529</f>
        <v/>
      </c>
      <c r="J530" s="14">
        <f>I530-58</f>
        <v/>
      </c>
      <c r="K530" s="14">
        <f>MAX(0,J530)</f>
        <v/>
      </c>
      <c r="L530" s="14">
        <f>MAX(0,-J530)</f>
        <v/>
      </c>
      <c r="M530" s="14">
        <f>M529+I530</f>
        <v/>
      </c>
      <c r="N530" s="14">
        <f>D530+F530-E530</f>
        <v/>
      </c>
      <c r="O530" s="13" t="inlineStr">
        <is>
          <t>能力超目标：四轮定位上、下、ARHUD+慢充</t>
        </is>
      </c>
      <c r="P530" s="13" t="inlineStr">
        <is>
          <t>ST1 引取(开:34265.0s 加:56.0s 等前:3699.0s 等后:0.0s) | ST2 集约(开:34321.0s 加:111.0s 等前:0.0s 等后:14.0s) | ST3 空气悬挂+快充(开:34446.0s 加:108.5s 等前:0.0s 等后:12.0s) | ST4 四轮定位上、下(开:34566.5s 加:120.5s 等前:0.0s 等后:0.0s) | ST5 ADAS(开:34687.0s 加:107.0s 等前:0.0s 等后:24.5s) | ST6 ARHUD+慢充(开:34818.5s 加:143.5s 等前:0.0s 等后:0.0s) | ST7 转毂(开:34962.0s 加:114.5s 等前:0.0s 等后:0.0s) | ST8 制动(开:35076.5s 加:114.0s 等前:0.0s 等后:0.0s) | ST9 EG漏液/底盘漏液(开:35190.5s 加:112.5s 等前:0.0s 等后:0.0s) | ST10 全景/空调检查(开:35303.0s 加:0.0s 等前:0.0s 等后:0.0s) | ST11 气囊安装+绝缘(开:35303.0s 加:116.0s 等前:0.0s 等后:0.0s) | ST12 L2++(开:35419.0s 加:88.0s 等前:0.0s 等后:0.0s) | ST13 电检1(开:35507.0s 加:84.5s 等前:0.0s 等后:0.0s) | ST14 电检2(开:35591.5s 加:97.5s 等前:0.0s 等后:57.5s) | ST15 小跑道(开:35746.5s 加:50.0s 等前:0.0s 等后:0.0s)</t>
        </is>
      </c>
    </row>
    <row r="531">
      <c r="A531" s="15" t="n">
        <v>530</v>
      </c>
      <c r="B531" s="15" t="inlineStr">
        <is>
          <t>Car#531</t>
        </is>
      </c>
      <c r="C531" s="15" t="inlineStr">
        <is>
          <t>A</t>
        </is>
      </c>
      <c r="D531" s="16" t="n">
        <v>34457.5</v>
      </c>
      <c r="E531" s="16" t="n">
        <v>35847.5</v>
      </c>
      <c r="F531" s="16" t="n">
        <v>1390</v>
      </c>
      <c r="G531" s="16" t="n">
        <v>4246.5</v>
      </c>
      <c r="H531" s="15" t="inlineStr">
        <is>
          <t>Car#528</t>
        </is>
      </c>
      <c r="I531" s="16">
        <f>E531-E530</f>
        <v/>
      </c>
      <c r="J531" s="16">
        <f>I531-58</f>
        <v/>
      </c>
      <c r="K531" s="16">
        <f>MAX(0,J531)</f>
        <v/>
      </c>
      <c r="L531" s="16">
        <f>MAX(0,-J531)</f>
        <v/>
      </c>
      <c r="M531" s="16">
        <f>M530+I531</f>
        <v/>
      </c>
      <c r="N531" s="16">
        <f>D531+F531-E531</f>
        <v/>
      </c>
      <c r="O531" s="15" t="inlineStr">
        <is>
          <t>能力满足</t>
        </is>
      </c>
      <c r="P531" s="15" t="inlineStr">
        <is>
          <t>ST1 引取(开:34457.5s 加:55.0s 等前:3717.5s 等后:33.5s) | ST2 集约(开:34546.0s 加:106.0s 等前:0.0s 等后:14.5s) | ST3 空气悬挂+快充(开:34666.5s 加:0.0s 等前:0.0s 等后:115.0s) | ST4 四轮定位上、下(开:34781.5s 加:115.0s 等前:0.0s 等后:22.0s) | ST5 ADAS(开:34918.5s 加:97.0s 等前:0.0s 等后:17.5s) | ST6 ARHUD+慢充(开:35033.0s 加:0.0s 等前:0.0s 等后:116.0s) | ST7 转毂(开:35149.0s 加:116.0s 等前:0.0s 等后:0.0s) | ST8 制动(开:35265.0s 加:108.0s 等前:0.0s 等后:1.5s) | ST9 EG漏液/底盘漏液(开:35374.5s 加:115.0s 等前:0.0s 等后:0.0s) | ST10 全景/空调检查(开:35489.5s 加:98.0s 等前:0.0s 等后:0.0s) | ST11 气囊安装+绝缘(开:35587.5s 加:0.0s 等前:0.0s 等后:0.0s) | ST12 L2++(开:35587.5s 加:0.0s 等前:0.0s 等后:58.0s) | ST13 电检1(开:35645.5s 加:0.0s 等前:0.0s 等后:50.0s) | ST14 电检2(开:35695.5s 加:0.0s 等前:0.0s 等后:101.0s) | ST15 小跑道(开:35796.5s 加:51.0s 等前:0.0s 等后:0.0s)</t>
        </is>
      </c>
    </row>
    <row r="532">
      <c r="A532" s="13" t="n">
        <v>531</v>
      </c>
      <c r="B532" s="13" t="inlineStr">
        <is>
          <t>Car#530</t>
        </is>
      </c>
      <c r="C532" s="13" t="inlineStr">
        <is>
          <t>A</t>
        </is>
      </c>
      <c r="D532" s="14" t="n">
        <v>34402.5</v>
      </c>
      <c r="E532" s="14" t="n">
        <v>35898.5</v>
      </c>
      <c r="F532" s="14" t="n">
        <v>1496</v>
      </c>
      <c r="G532" s="14" t="n">
        <v>4355.5</v>
      </c>
      <c r="H532" s="13" t="inlineStr">
        <is>
          <t>Car#531</t>
        </is>
      </c>
      <c r="I532" s="14">
        <f>E532-E531</f>
        <v/>
      </c>
      <c r="J532" s="14">
        <f>I532-58</f>
        <v/>
      </c>
      <c r="K532" s="14">
        <f>MAX(0,J532)</f>
        <v/>
      </c>
      <c r="L532" s="14">
        <f>MAX(0,-J532)</f>
        <v/>
      </c>
      <c r="M532" s="14">
        <f>M531+I532</f>
        <v/>
      </c>
      <c r="N532" s="14">
        <f>D532+F532-E532</f>
        <v/>
      </c>
      <c r="O532" s="13" t="inlineStr">
        <is>
          <t>能力满足</t>
        </is>
      </c>
      <c r="P532" s="13" t="inlineStr">
        <is>
          <t>ST1 引取(开:34402.5s 加:55.0s 等前:3720.5s 等后:0.0s) | ST2 集约(开:34457.5s 加:106.0s 等前:0.0s 等后:3.0s) | ST3 空气悬挂+快充(开:34566.5s 加:0.0s 等前:0.0s 等后:120.5s) | ST4 四轮定位上、下(开:34687.0s 加:115.0s 等前:0.0s 等后:16.5s) | ST5 ADAS(开:34818.5s 加:97.0s 等前:0.0s 等后:46.5s) | ST6 ARHUD+慢充(开:34962.0s 加:0.0s 等前:0.0s 等后:114.5s) | ST7 转毂(开:35076.5s 加:116.0s 等前:0.0s 等后:0.0s) | ST8 制动(开:35192.5s 加:108.0s 等前:0.0s 等后:2.5s) | ST9 EG漏液/底盘漏液(开:35303.0s 加:115.0s 等前:0.0s 等后:0.0s) | ST10 全景/空调检查(开:35418.0s 加:98.0s 等前:0.0s 等后:0.0s) | ST11 气囊安装+绝缘(开:35516.0s 加:0.0s 等前:0.0s 等后:0.0s) | ST12 L2++(开:35516.0s 加:0.0s 等前:0.0s 等后:75.5s) | ST13 电检1(开:35591.5s 加:0.0s 等前:0.0s 等后:155.0s) | ST14 电检2(开:35746.5s 加:0.0s 等前:0.0s 等后:101.0s) | ST15 小跑道(开:35847.5s 加:51.0s 等前:0.0s 等后:0.0s)</t>
        </is>
      </c>
    </row>
    <row r="533">
      <c r="A533" s="15" t="n">
        <v>532</v>
      </c>
      <c r="B533" s="15" t="inlineStr">
        <is>
          <t>Car#532</t>
        </is>
      </c>
      <c r="C533" s="15" t="inlineStr">
        <is>
          <t>C</t>
        </is>
      </c>
      <c r="D533" s="16" t="n">
        <v>34546</v>
      </c>
      <c r="E533" s="16" t="n">
        <v>35997</v>
      </c>
      <c r="F533" s="16" t="n">
        <v>1451</v>
      </c>
      <c r="G533" s="16" t="n">
        <v>3775.5</v>
      </c>
      <c r="H533" s="15" t="inlineStr">
        <is>
          <t>Car#530</t>
        </is>
      </c>
      <c r="I533" s="16">
        <f>E533-E532</f>
        <v/>
      </c>
      <c r="J533" s="16">
        <f>I533-58</f>
        <v/>
      </c>
      <c r="K533" s="16">
        <f>MAX(0,J533)</f>
        <v/>
      </c>
      <c r="L533" s="16">
        <f>MAX(0,-J533)</f>
        <v/>
      </c>
      <c r="M533" s="16">
        <f>M532+I533</f>
        <v/>
      </c>
      <c r="N533" s="16">
        <f>D533+F533-E533</f>
        <v/>
      </c>
      <c r="O533" s="15" t="inlineStr">
        <is>
          <t>能力超目标：四轮定位上、下、ARHUD+慢充</t>
        </is>
      </c>
      <c r="P533" s="15" t="inlineStr">
        <is>
          <t>ST1 引取(开:34546.0s 加:56.0s 等前:3748.0s 等后:0.0s) | ST2 集约(开:34602.0s 加:111.0s 等前:0.0s 等后:0.0s) | ST3 空气悬挂+快充(开:34713.0s 加:108.5s 等前:0.0s 等后:0.0s) | ST4 四轮定位上、下(开:34821.5s 加:120.5s 等前:0.0s 等后:20.0s) | ST5 ADAS(开:34962.0s 加:107.0s 等前:0.0s 等后:7.5s) | ST6 ARHUD+慢充(开:35076.5s 加:143.5s 等前:0.0s 等后:0.0s) | ST7 转毂(开:35220.0s 加:114.5s 等前:0.0s 等后:0.0s) | ST8 制动(开:35334.5s 加:114.0s 等前:0.0s 等后:0.0s) | ST9 EG漏液/底盘漏液(开:35448.5s 加:112.5s 等前:0.0s 等后:0.0s) | ST10 全景/空调检查(开:35561.0s 加:0.0s 等前:0.0s 等后:0.0s) | ST11 气囊安装+绝缘(开:35561.0s 加:116.0s 等前:0.0s 等后:0.0s) | ST12 L2++(开:35677.0s 加:88.0s 等前:0.0s 等后:0.0s) | ST13 电检1(开:35765.0s 加:84.5s 等前:0.0s 等后:0.0s) | ST14 电检2(开:35849.5s 加:97.5s 等前:0.0s 等后:0.0s) | ST15 小跑道(开:35947.0s 加:50.0s 等前:0.0s 等后:0.0s)</t>
        </is>
      </c>
    </row>
    <row r="534">
      <c r="A534" s="13" t="n">
        <v>533</v>
      </c>
      <c r="B534" s="13" t="inlineStr">
        <is>
          <t>Car#533</t>
        </is>
      </c>
      <c r="C534" s="13" t="inlineStr">
        <is>
          <t>B</t>
        </is>
      </c>
      <c r="D534" s="14" t="n">
        <v>34602</v>
      </c>
      <c r="E534" s="14" t="n">
        <v>36047</v>
      </c>
      <c r="F534" s="14" t="n">
        <v>1445</v>
      </c>
      <c r="G534" s="14" t="n">
        <v>3859.5</v>
      </c>
      <c r="H534" s="13" t="inlineStr">
        <is>
          <t>Car#532</t>
        </is>
      </c>
      <c r="I534" s="14">
        <f>E534-E533</f>
        <v/>
      </c>
      <c r="J534" s="14">
        <f>I534-58</f>
        <v/>
      </c>
      <c r="K534" s="14">
        <f>MAX(0,J534)</f>
        <v/>
      </c>
      <c r="L534" s="14">
        <f>MAX(0,-J534)</f>
        <v/>
      </c>
      <c r="M534" s="14">
        <f>M533+I534</f>
        <v/>
      </c>
      <c r="N534" s="14">
        <f>D534+F534-E534</f>
        <v/>
      </c>
      <c r="O534" s="13" t="inlineStr">
        <is>
          <t>能力超目标：四轮定位上、下</t>
        </is>
      </c>
      <c r="P534" s="13" t="inlineStr">
        <is>
          <t>ST1 引取(开:34602.0s 加:56.0s 等前:3746.0s 等后:8.5s) | ST2 集约(开:34666.5s 加:111.0s 等前:0.0s 等后:4.0s) | ST3 空气悬挂+快充(开:34781.5s 加:108.5s 等前:0.0s 等后:28.5s) | ST4 四轮定位上、下(开:34918.5s 加:120.5s 等前:0.0s 等后:0.0s) | ST5 ADAS(开:35039.0s 加:107.0s 等前:0.0s 等后:3.0s) | ST6 ARHUD+慢充(开:35149.0s 加:51.5s 等前:0.0s 等后:64.5s) | ST7 转毂(开:35265.0s 加:114.5s 等前:0.0s 等后:0.0s) | ST8 制动(开:35379.5s 加:114.0s 等前:0.0s 等后:0.0s) | ST9 EG漏液/底盘漏液(开:35493.5s 加:112.5s 等前:0.0s 等后:0.0s) | ST10 全景/空调检查(开:35606.0s 加:0.0s 等前:0.0s 等后:0.0s) | ST11 气囊安装+绝缘(开:35606.0s 加:116.0s 等前:0.0s 等后:0.0s) | ST12 L2++(开:35722.0s 加:88.0s 等前:0.0s 等后:0.0s) | ST13 电检1(开:35810.0s 加:84.5s 等前:0.0s 等后:0.0s) | ST14 电检2(开:35894.5s 加:97.5s 等前:0.0s 等后:5.0s) | ST15 小跑道(开:35997.0s 加:50.0s 等前:0.0s 等后:0.0s)</t>
        </is>
      </c>
    </row>
    <row r="535">
      <c r="A535" s="15" t="n">
        <v>534</v>
      </c>
      <c r="B535" s="15" t="inlineStr">
        <is>
          <t>Car#534</t>
        </is>
      </c>
      <c r="C535" s="15" t="inlineStr">
        <is>
          <t>C</t>
        </is>
      </c>
      <c r="D535" s="16" t="n">
        <v>34666.5</v>
      </c>
      <c r="E535" s="16" t="n">
        <v>36140.5</v>
      </c>
      <c r="F535" s="16" t="n">
        <v>1474</v>
      </c>
      <c r="G535" s="16" t="n">
        <v>3803</v>
      </c>
      <c r="H535" s="15" t="inlineStr">
        <is>
          <t>Car#533</t>
        </is>
      </c>
      <c r="I535" s="16">
        <f>E535-E534</f>
        <v/>
      </c>
      <c r="J535" s="16">
        <f>I535-58</f>
        <v/>
      </c>
      <c r="K535" s="16">
        <f>MAX(0,J535)</f>
        <v/>
      </c>
      <c r="L535" s="16">
        <f>MAX(0,-J535)</f>
        <v/>
      </c>
      <c r="M535" s="16">
        <f>M534+I535</f>
        <v/>
      </c>
      <c r="N535" s="16">
        <f>D535+F535-E535</f>
        <v/>
      </c>
      <c r="O535" s="15" t="inlineStr">
        <is>
          <t>能力超目标：四轮定位上、下、ARHUD+慢充</t>
        </is>
      </c>
      <c r="P535" s="15" t="inlineStr">
        <is>
          <t>ST1 引取(开:34666.5s 加:56.0s 等前:3752.5s 等后:0.0s) | ST2 集约(开:34722.5s 加:111.0s 等前:0.0s 等后:0.0s) | ST3 空气悬挂+快充(开:34833.5s 加:108.5s 等前:0.0s 等后:20.0s) | ST4 四轮定位上、下(开:34962.0s 加:120.5s 等前:0.0s 等后:0.0s) | ST5 ADAS(开:35082.5s 加:107.0s 等前:0.0s 等后:30.5s) | ST6 ARHUD+慢充(开:35220.0s 加:143.5s 等前:0.0s 等后:0.0s) | ST7 转毂(开:35363.5s 加:114.5s 等前:0.0s 等后:0.0s) | ST8 制动(开:35478.0s 加:114.0s 等前:0.0s 等后:0.0s) | ST9 EG漏液/底盘漏液(开:35592.0s 加:112.5s 等前:0.0s 等后:0.0s) | ST10 全景/空调检查(开:35704.5s 加:0.0s 等前:0.0s 等后:0.0s) | ST11 气囊安装+绝缘(开:35704.5s 加:116.0s 等前:0.0s 等后:0.0s) | ST12 L2++(开:35820.5s 加:88.0s 等前:0.0s 等后:0.0s) | ST13 电检1(开:35908.5s 加:84.5s 等前:0.0s 等后:0.0s) | ST14 电检2(开:35993.0s 加:97.5s 等前:0.0s 等后:0.0s) | ST15 小跑道(开:36090.5s 加:50.0s 等前:0.0s 等后:0.0s)</t>
        </is>
      </c>
    </row>
    <row r="536">
      <c r="A536" s="13" t="n">
        <v>535</v>
      </c>
      <c r="B536" s="13" t="inlineStr">
        <is>
          <t>Car#535</t>
        </is>
      </c>
      <c r="C536" s="13" t="inlineStr">
        <is>
          <t>C</t>
        </is>
      </c>
      <c r="D536" s="14" t="n">
        <v>34722.5</v>
      </c>
      <c r="E536" s="14" t="n">
        <v>36190.5</v>
      </c>
      <c r="F536" s="14" t="n">
        <v>1468</v>
      </c>
      <c r="G536" s="14" t="n">
        <v>3795</v>
      </c>
      <c r="H536" s="13" t="inlineStr">
        <is>
          <t>Car#534</t>
        </is>
      </c>
      <c r="I536" s="14">
        <f>E536-E535</f>
        <v/>
      </c>
      <c r="J536" s="14">
        <f>I536-58</f>
        <v/>
      </c>
      <c r="K536" s="14">
        <f>MAX(0,J536)</f>
        <v/>
      </c>
      <c r="L536" s="14">
        <f>MAX(0,-J536)</f>
        <v/>
      </c>
      <c r="M536" s="14">
        <f>M535+I536</f>
        <v/>
      </c>
      <c r="N536" s="14">
        <f>D536+F536-E536</f>
        <v/>
      </c>
      <c r="O536" s="13" t="inlineStr">
        <is>
          <t>能力超目标：四轮定位上、下、ARHUD+慢充</t>
        </is>
      </c>
      <c r="P536" s="13" t="inlineStr">
        <is>
          <t>ST1 引取(开:34722.5s 加:56.0s 等前:3750.5s 等后:3.0s) | ST2 集约(开:34781.5s 加:111.0s 等前:0.0s 等后:26.0s) | ST3 空气悬挂+快充(开:34918.5s 加:108.5s 等前:0.0s 等后:12.0s) | ST4 四轮定位上、下(开:35039.0s 加:120.5s 等前:0.0s 等后:0.0s) | ST5 ADAS(开:35159.5s 加:107.0s 等前:0.0s 等后:0.0s) | ST6 ARHUD+慢充(开:35266.5s 加:143.5s 等前:0.0s 等后:0.0s) | ST7 转毂(开:35410.0s 加:114.5s 等前:0.0s 等后:0.0s) | ST8 制动(开:35524.5s 加:114.0s 等前:0.0s 等后:0.0s) | ST9 EG漏液/底盘漏液(开:35638.5s 加:112.5s 等前:0.0s 等后:0.0s) | ST10 全景/空调检查(开:35751.0s 加:0.0s 等前:0.0s 等后:0.0s) | ST11 气囊安装+绝缘(开:35751.0s 加:116.0s 等前:0.0s 等后:0.0s) | ST12 L2++(开:35867.0s 加:88.0s 等前:0.0s 等后:0.0s) | ST13 电检1(开:35955.0s 加:84.5s 等前:0.0s 等后:0.0s) | ST14 电检2(开:36039.5s 加:97.5s 等前:0.0s 等后:3.5s) | ST15 小跑道(开:36140.5s 加:50.0s 等前:0.0s 等后:0.0s)</t>
        </is>
      </c>
    </row>
    <row r="537">
      <c r="A537" s="15" t="n">
        <v>536</v>
      </c>
      <c r="B537" s="15" t="inlineStr">
        <is>
          <t>Car#536</t>
        </is>
      </c>
      <c r="C537" s="15" t="inlineStr">
        <is>
          <t>C</t>
        </is>
      </c>
      <c r="D537" s="16" t="n">
        <v>34781.5</v>
      </c>
      <c r="E537" s="16" t="n">
        <v>36284</v>
      </c>
      <c r="F537" s="16" t="n">
        <v>1502.5</v>
      </c>
      <c r="G537" s="16" t="n">
        <v>3830.5</v>
      </c>
      <c r="H537" s="15" t="inlineStr">
        <is>
          <t>Car#535</t>
        </is>
      </c>
      <c r="I537" s="16">
        <f>E537-E536</f>
        <v/>
      </c>
      <c r="J537" s="16">
        <f>I537-58</f>
        <v/>
      </c>
      <c r="K537" s="16">
        <f>MAX(0,J537)</f>
        <v/>
      </c>
      <c r="L537" s="16">
        <f>MAX(0,-J537)</f>
        <v/>
      </c>
      <c r="M537" s="16">
        <f>M536+I537</f>
        <v/>
      </c>
      <c r="N537" s="16">
        <f>D537+F537-E537</f>
        <v/>
      </c>
      <c r="O537" s="15" t="inlineStr">
        <is>
          <t>能力超目标：四轮定位上、下、ARHUD+慢充</t>
        </is>
      </c>
      <c r="P537" s="15" t="inlineStr">
        <is>
          <t>ST1 引取(开:34781.5s 加:56.0s 等前:3751.5s 等后:0.0s) | ST2 集约(开:34837.5s 加:111.0s 等前:0.0s 等后:13.5s) | ST3 空气悬挂+快充(开:34962.0s 加:108.5s 等前:0.0s 等后:12.0s) | ST4 四轮定位上、下(开:35082.5s 加:120.5s 等前:0.0s 等后:17.0s) | ST5 ADAS(开:35220.0s 加:107.0s 等前:0.0s 等后:36.5s) | ST6 ARHUD+慢充(开:35363.5s 加:143.5s 等前:0.0s 等后:0.0s) | ST7 转毂(开:35507.0s 加:114.5s 等前:0.0s 等后:0.0s) | ST8 制动(开:35621.5s 加:114.0s 等前:0.0s 等后:0.0s) | ST9 EG漏液/底盘漏液(开:35735.5s 加:112.5s 等前:0.0s 等后:0.0s) | ST10 全景/空调检查(开:35848.0s 加:0.0s 等前:0.0s 等后:0.0s) | ST11 气囊安装+绝缘(开:35848.0s 加:116.0s 等前:0.0s 等后:0.0s) | ST12 L2++(开:35964.0s 加:88.0s 等前:0.0s 等后:0.0s) | ST13 电检1(开:36052.0s 加:84.5s 等前:0.0s 等后:0.0s) | ST14 电检2(开:36136.5s 加:97.5s 等前:0.0s 等后:0.0s) | ST15 小跑道(开:36234.0s 加:50.0s 等前:0.0s 等后:0.0s)</t>
        </is>
      </c>
    </row>
    <row r="538">
      <c r="A538" s="13" t="n">
        <v>537</v>
      </c>
      <c r="B538" s="13" t="inlineStr">
        <is>
          <t>Car#537</t>
        </is>
      </c>
      <c r="C538" s="13" t="inlineStr">
        <is>
          <t>B</t>
        </is>
      </c>
      <c r="D538" s="14" t="n">
        <v>34837.5</v>
      </c>
      <c r="E538" s="14" t="n">
        <v>36334</v>
      </c>
      <c r="F538" s="14" t="n">
        <v>1496.5</v>
      </c>
      <c r="G538" s="14" t="n">
        <v>3914.5</v>
      </c>
      <c r="H538" s="13" t="inlineStr">
        <is>
          <t>Car#536</t>
        </is>
      </c>
      <c r="I538" s="14">
        <f>E538-E537</f>
        <v/>
      </c>
      <c r="J538" s="14">
        <f>I538-58</f>
        <v/>
      </c>
      <c r="K538" s="14">
        <f>MAX(0,J538)</f>
        <v/>
      </c>
      <c r="L538" s="14">
        <f>MAX(0,-J538)</f>
        <v/>
      </c>
      <c r="M538" s="14">
        <f>M537+I538</f>
        <v/>
      </c>
      <c r="N538" s="14">
        <f>D538+F538-E538</f>
        <v/>
      </c>
      <c r="O538" s="13" t="inlineStr">
        <is>
          <t>能力超目标：四轮定位上、下</t>
        </is>
      </c>
      <c r="P538" s="13" t="inlineStr">
        <is>
          <t>ST1 引取(开:34837.5s 加:56.0s 等前:3749.5s 等后:25.0s) | ST2 集约(开:34918.5s 加:111.0s 等前:0.0s 等后:9.5s) | ST3 空气悬挂+快充(开:35039.0s 加:108.5s 等前:0.0s 等后:12.0s) | ST4 四轮定位上、下(开:35159.5s 加:120.5s 等前:0.0s 等后:0.0s) | ST5 ADAS(开:35280.0s 加:107.0s 等前:0.0s 等后:23.0s) | ST6 ARHUD+慢充(开:35410.0s 加:51.5s 等前:0.0s 等后:63.0s) | ST7 转毂(开:35524.5s 加:114.5s 等前:0.0s 等后:0.0s) | ST8 制动(开:35639.0s 加:114.0s 等前:0.0s 等后:0.0s) | ST9 EG漏液/底盘漏液(开:35753.0s 加:112.5s 等前:0.0s 等后:0.0s) | ST10 全景/空调检查(开:35865.5s 加:0.0s 等前:0.0s 等后:1.5s) | ST11 气囊安装+绝缘(开:35867.0s 加:116.0s 等前:0.0s 等后:0.0s) | ST12 L2++(开:35983.0s 加:88.0s 等前:0.0s 等后:0.0s) | ST13 电检1(开:36071.0s 加:84.5s 等前:0.0s 等后:0.0s) | ST14 电检2(开:36155.5s 加:97.5s 等前:0.0s 等后:31.0s) | ST15 小跑道(开:36284.0s 加:50.0s 等前:0.0s 等后:0.0s)</t>
        </is>
      </c>
    </row>
    <row r="539">
      <c r="A539" s="15" t="n">
        <v>538</v>
      </c>
      <c r="B539" s="15" t="inlineStr">
        <is>
          <t>Car#538</t>
        </is>
      </c>
      <c r="C539" s="15" t="inlineStr">
        <is>
          <t>B</t>
        </is>
      </c>
      <c r="D539" s="16" t="n">
        <v>34918.5</v>
      </c>
      <c r="E539" s="16" t="n">
        <v>36400</v>
      </c>
      <c r="F539" s="16" t="n">
        <v>1481.5</v>
      </c>
      <c r="G539" s="16" t="n">
        <v>3922.5</v>
      </c>
      <c r="H539" s="15" t="inlineStr">
        <is>
          <t>Car#537</t>
        </is>
      </c>
      <c r="I539" s="16">
        <f>E539-E538</f>
        <v/>
      </c>
      <c r="J539" s="16">
        <f>I539-58</f>
        <v/>
      </c>
      <c r="K539" s="16">
        <f>MAX(0,J539)</f>
        <v/>
      </c>
      <c r="L539" s="16">
        <f>MAX(0,-J539)</f>
        <v/>
      </c>
      <c r="M539" s="16">
        <f>M538+I539</f>
        <v/>
      </c>
      <c r="N539" s="16">
        <f>D539+F539-E539</f>
        <v/>
      </c>
      <c r="O539" s="15" t="inlineStr">
        <is>
          <t>能力超目标：四轮定位上、下</t>
        </is>
      </c>
      <c r="P539" s="15" t="inlineStr">
        <is>
          <t>ST1 引取(开:34918.5s 加:56.0s 等前:3772.5s 等后:0.0s) | ST2 集约(开:34974.5s 加:111.0s 等前:0.0s 等后:0.0s) | ST3 空气悬挂+快充(开:35085.5s 加:108.5s 等前:0.0s 等后:26.0s) | ST4 四轮定位上、下(开:35220.0s 加:120.5s 等前:0.0s 等后:23.0s) | ST5 ADAS(开:35363.5s 加:107.0s 等前:0.0s 等后:36.5s) | ST6 ARHUD+慢充(开:35507.0s 加:51.5s 等前:0.0s 等后:63.0s) | ST7 转毂(开:35621.5s 加:114.5s 等前:0.0s 等后:0.0s) | ST8 制动(开:35736.0s 加:114.0s 等前:0.0s 等后:0.0s) | ST9 EG漏液/底盘漏液(开:35850.0s 加:112.5s 等前:0.0s 等后:0.0s) | ST10 全景/空调检查(开:35962.5s 加:0.0s 等前:0.0s 等后:1.5s) | ST11 气囊安装+绝缘(开:35964.0s 加:116.0s 等前:0.0s 等后:0.0s) | ST12 L2++(开:36080.0s 加:88.0s 等前:0.0s 等后:0.0s) | ST13 电检1(开:36168.0s 加:84.5s 等前:0.0s 等后:0.0s) | ST14 电检2(开:36252.5s 加:97.5s 等前:0.0s 等后:0.0s) | ST15 小跑道(开:36350.0s 加:50.0s 等前:0.0s 等后:0.0s)</t>
        </is>
      </c>
    </row>
    <row r="540">
      <c r="A540" s="13" t="n">
        <v>539</v>
      </c>
      <c r="B540" s="13" t="inlineStr">
        <is>
          <t>Car#539</t>
        </is>
      </c>
      <c r="C540" s="13" t="inlineStr">
        <is>
          <t>B</t>
        </is>
      </c>
      <c r="D540" s="14" t="n">
        <v>34974.5</v>
      </c>
      <c r="E540" s="14" t="n">
        <v>36450</v>
      </c>
      <c r="F540" s="14" t="n">
        <v>1475.5</v>
      </c>
      <c r="G540" s="14" t="n">
        <v>3914.5</v>
      </c>
      <c r="H540" s="13" t="inlineStr">
        <is>
          <t>Car#538</t>
        </is>
      </c>
      <c r="I540" s="14">
        <f>E540-E539</f>
        <v/>
      </c>
      <c r="J540" s="14">
        <f>I540-58</f>
        <v/>
      </c>
      <c r="K540" s="14">
        <f>MAX(0,J540)</f>
        <v/>
      </c>
      <c r="L540" s="14">
        <f>MAX(0,-J540)</f>
        <v/>
      </c>
      <c r="M540" s="14">
        <f>M539+I540</f>
        <v/>
      </c>
      <c r="N540" s="14">
        <f>D540+F540-E540</f>
        <v/>
      </c>
      <c r="O540" s="13" t="inlineStr">
        <is>
          <t>能力超目标：四轮定位上、下</t>
        </is>
      </c>
      <c r="P540" s="13" t="inlineStr">
        <is>
          <t>ST1 引取(开:34974.5s 加:56.0s 等前:3770.5s 等后:8.5s) | ST2 集约(开:35039.0s 加:111.0s 等前:0.0s 等后:9.5s) | ST3 空气悬挂+快充(开:35159.5s 加:108.5s 等前:0.0s 等后:12.0s) | ST4 四轮定位上、下(开:35280.0s 加:120.5s 等前:0.0s 等后:9.5s) | ST5 ADAS(开:35410.0s 加:107.0s 等前:0.0s 等后:7.5s) | ST6 ARHUD+慢充(开:35524.5s 加:51.5s 等前:0.0s 等后:63.0s) | ST7 转毂(开:35639.0s 加:114.5s 等前:0.0s 等后:0.0s) | ST8 制动(开:35753.5s 加:114.0s 等前:0.0s 等后:0.0s) | ST9 EG漏液/底盘漏液(开:35867.5s 加:112.5s 等前:0.0s 等后:0.0s) | ST10 全景/空调检查(开:35980.0s 加:0.0s 等前:0.0s 等后:3.0s) | ST11 气囊安装+绝缘(开:35983.0s 加:116.0s 等前:0.0s 等后:0.0s) | ST12 L2++(开:36099.0s 加:88.0s 等前:0.0s 等后:0.0s) | ST13 电检1(开:36187.0s 加:84.5s 等前:0.0s 等后:12.5s) | ST14 电检2(开:36284.0s 加:97.5s 等前:0.0s 等后:18.5s) | ST15 小跑道(开:36400.0s 加:50.0s 等前:0.0s 等后:0.0s)</t>
        </is>
      </c>
    </row>
    <row r="541">
      <c r="A541" s="15" t="n">
        <v>540</v>
      </c>
      <c r="B541" s="15" t="inlineStr">
        <is>
          <t>Car#541</t>
        </is>
      </c>
      <c r="C541" s="15" t="inlineStr">
        <is>
          <t>A</t>
        </is>
      </c>
      <c r="D541" s="16" t="n">
        <v>35095</v>
      </c>
      <c r="E541" s="16" t="n">
        <v>36501</v>
      </c>
      <c r="F541" s="16" t="n">
        <v>1406</v>
      </c>
      <c r="G541" s="16" t="n">
        <v>4320</v>
      </c>
      <c r="H541" s="15" t="inlineStr">
        <is>
          <t>Car#539</t>
        </is>
      </c>
      <c r="I541" s="16">
        <f>E541-E540</f>
        <v/>
      </c>
      <c r="J541" s="16">
        <f>I541-58</f>
        <v/>
      </c>
      <c r="K541" s="16">
        <f>MAX(0,J541)</f>
        <v/>
      </c>
      <c r="L541" s="16">
        <f>MAX(0,-J541)</f>
        <v/>
      </c>
      <c r="M541" s="16">
        <f>M540+I541</f>
        <v/>
      </c>
      <c r="N541" s="16">
        <f>D541+F541-E541</f>
        <v/>
      </c>
      <c r="O541" s="15" t="inlineStr">
        <is>
          <t>能力满足</t>
        </is>
      </c>
      <c r="P541" s="15" t="inlineStr">
        <is>
          <t>ST1 引取(开:35095.0s 加:55.0s 等前:3775.0s 等后:9.5s) | ST2 集约(开:35159.5s 加:106.0s 等前:0.0s 等后:14.5s) | ST3 空气悬挂+快充(开:35280.0s 加:0.0s 等前:0.0s 等后:130.0s) | ST4 四轮定位上、下(开:35410.0s 加:115.0s 等前:0.0s 等后:0.0s) | ST5 ADAS(开:35525.0s 加:97.0s 等前:0.0s 等后:17.0s) | ST6 ARHUD+慢充(开:35639.0s 加:0.0s 等前:0.0s 等后:114.5s) | ST7 转毂(开:35753.5s 加:116.0s 等前:0.0s 等后:0.0s) | ST8 制动(开:35869.5s 加:108.0s 等前:0.0s 等后:2.5s) | ST9 EG漏液/底盘漏液(开:35980.0s 加:115.0s 等前:0.0s 等后:0.0s) | ST10 全景/空调检查(开:36095.0s 加:98.0s 等前:0.0s 等后:0.0s) | ST11 气囊安装+绝缘(开:36193.0s 加:0.0s 等前:0.0s 等后:0.0s) | ST12 L2++(开:36193.0s 加:0.0s 等前:0.0s 等后:91.0s) | ST13 电检1(开:36284.0s 加:0.0s 等前:0.0s 等后:116.0s) | ST14 电检2(开:36400.0s 加:0.0s 等前:0.0s 等后:50.0s) | ST15 小跑道(开:36450.0s 加:51.0s 等前:0.0s 等后:0.0s)</t>
        </is>
      </c>
    </row>
    <row r="542">
      <c r="A542" s="13" t="n">
        <v>541</v>
      </c>
      <c r="B542" s="13" t="inlineStr">
        <is>
          <t>Car#540</t>
        </is>
      </c>
      <c r="C542" s="13" t="inlineStr">
        <is>
          <t>C</t>
        </is>
      </c>
      <c r="D542" s="14" t="n">
        <v>35039</v>
      </c>
      <c r="E542" s="14" t="n">
        <v>36551</v>
      </c>
      <c r="F542" s="14" t="n">
        <v>1512</v>
      </c>
      <c r="G542" s="14" t="n">
        <v>3865.5</v>
      </c>
      <c r="H542" s="13" t="inlineStr">
        <is>
          <t>Car#541</t>
        </is>
      </c>
      <c r="I542" s="14">
        <f>E542-E541</f>
        <v/>
      </c>
      <c r="J542" s="14">
        <f>I542-58</f>
        <v/>
      </c>
      <c r="K542" s="14">
        <f>MAX(0,J542)</f>
        <v/>
      </c>
      <c r="L542" s="14">
        <f>MAX(0,-J542)</f>
        <v/>
      </c>
      <c r="M542" s="14">
        <f>M541+I542</f>
        <v/>
      </c>
      <c r="N542" s="14">
        <f>D542+F542-E542</f>
        <v/>
      </c>
      <c r="O542" s="13" t="inlineStr">
        <is>
          <t>能力超目标：四轮定位上、下、ARHUD+慢充</t>
        </is>
      </c>
      <c r="P542" s="13" t="inlineStr">
        <is>
          <t>ST1 引取(开:35039.0s 加:56.0s 等前:3777.0s 等后:0.0s) | ST2 集约(开:35095.0s 加:111.0s 等前:0.0s 等后:14.0s) | ST3 空气悬挂+快充(开:35220.0s 加:108.5s 等前:0.0s 等后:35.0s) | ST4 四轮定位上、下(开:35363.5s 加:120.5s 等前:0.0s 等后:23.0s) | ST5 ADAS(开:35507.0s 加:107.0s 等前:0.0s 等后:7.5s) | ST6 ARHUD+慢充(开:35621.5s 加:143.5s 等前:0.0s 等后:0.0s) | ST7 转毂(开:35765.0s 加:114.5s 等前:0.0s 等后:0.0s) | ST8 制动(开:35879.5s 加:114.0s 等前:0.0s 等后:0.0s) | ST9 EG漏液/底盘漏液(开:35993.5s 加:112.5s 等前:0.0s 等后:0.0s) | ST10 全景/空调检查(开:36106.0s 加:0.0s 等前:0.0s 等后:0.0s) | ST11 气囊安装+绝缘(开:36106.0s 加:116.0s 等前:0.0s 等后:0.0s) | ST12 L2++(开:36222.0s 加:88.0s 等前:0.0s 等后:0.0s) | ST13 电检1(开:36310.0s 加:84.5s 等前:0.0s 等后:0.0s) | ST14 电检2(开:36394.5s 加:97.5s 等前:0.0s 等后:9.0s) | ST15 小跑道(开:36501.0s 加:50.0s 等前:0.0s 等后:0.0s)</t>
        </is>
      </c>
    </row>
    <row r="543">
      <c r="A543" s="15" t="n">
        <v>542</v>
      </c>
      <c r="B543" s="15" t="inlineStr">
        <is>
          <t>Car#543</t>
        </is>
      </c>
      <c r="C543" s="15" t="inlineStr">
        <is>
          <t>C</t>
        </is>
      </c>
      <c r="D543" s="16" t="n">
        <v>35220</v>
      </c>
      <c r="E543" s="16" t="n">
        <v>36674</v>
      </c>
      <c r="F543" s="16" t="n">
        <v>1454</v>
      </c>
      <c r="G543" s="16" t="n">
        <v>3814.5</v>
      </c>
      <c r="H543" s="15" t="inlineStr">
        <is>
          <t>Car#540</t>
        </is>
      </c>
      <c r="I543" s="16">
        <f>E543-E542</f>
        <v/>
      </c>
      <c r="J543" s="16">
        <f>I543-58</f>
        <v/>
      </c>
      <c r="K543" s="16">
        <f>MAX(0,J543)</f>
        <v/>
      </c>
      <c r="L543" s="16">
        <f>MAX(0,-J543)</f>
        <v/>
      </c>
      <c r="M543" s="16">
        <f>M542+I543</f>
        <v/>
      </c>
      <c r="N543" s="16">
        <f>D543+F543-E543</f>
        <v/>
      </c>
      <c r="O543" s="15" t="inlineStr">
        <is>
          <t>能力超目标：四轮定位上、下、ARHUD+慢充</t>
        </is>
      </c>
      <c r="P543" s="15" t="inlineStr">
        <is>
          <t>ST1 引取(开:35220.0s 加:56.0s 等前:3784.0s 等后:4.0s) | ST2 集约(开:35280.0s 加:111.0s 等前:0.0s 等后:19.0s) | ST3 空气悬挂+快充(开:35410.0s 加:108.5s 等前:0.0s 等后:6.5s) | ST4 四轮定位上、下(开:35525.0s 加:120.5s 等前:0.0s 等后:0.0s) | ST5 ADAS(开:35645.5s 加:107.0s 等前:0.0s 等后:1.0s) | ST6 ARHUD+慢充(开:35753.5s 加:143.5s 等前:0.0s 等后:0.0s) | ST7 转毂(开:35897.0s 加:114.5s 等前:0.0s 等后:0.0s) | ST8 制动(开:36011.5s 加:114.0s 等前:0.0s 等后:0.0s) | ST9 EG漏液/底盘漏液(开:36125.5s 加:112.5s 等前:0.0s 等后:0.0s) | ST10 全景/空调检查(开:36238.0s 加:0.0s 等前:0.0s 等后:0.0s) | ST11 气囊安装+绝缘(开:36238.0s 加:116.0s 等前:0.0s 等后:0.0s) | ST12 L2++(开:36354.0s 加:88.0s 等前:0.0s 等后:0.0s) | ST13 电检1(开:36442.0s 加:84.5s 等前:0.0s 等后:0.0s) | ST14 电检2(开:36526.5s 加:97.5s 等前:0.0s 等后:0.0s) | ST15 小跑道(开:36624.0s 加:50.0s 等前:0.0s 等后:0.0s)</t>
        </is>
      </c>
    </row>
    <row r="544">
      <c r="A544" s="13" t="n">
        <v>543</v>
      </c>
      <c r="B544" s="13" t="inlineStr">
        <is>
          <t>Car#545</t>
        </is>
      </c>
      <c r="C544" s="13" t="inlineStr">
        <is>
          <t>A</t>
        </is>
      </c>
      <c r="D544" s="14" t="n">
        <v>35363.5</v>
      </c>
      <c r="E544" s="14" t="n">
        <v>36725</v>
      </c>
      <c r="F544" s="14" t="n">
        <v>1361.5</v>
      </c>
      <c r="G544" s="14" t="n">
        <v>4312</v>
      </c>
      <c r="H544" s="13" t="inlineStr">
        <is>
          <t>Car#543</t>
        </is>
      </c>
      <c r="I544" s="14">
        <f>E544-E543</f>
        <v/>
      </c>
      <c r="J544" s="14">
        <f>I544-58</f>
        <v/>
      </c>
      <c r="K544" s="14">
        <f>MAX(0,J544)</f>
        <v/>
      </c>
      <c r="L544" s="14">
        <f>MAX(0,-J544)</f>
        <v/>
      </c>
      <c r="M544" s="14">
        <f>M543+I544</f>
        <v/>
      </c>
      <c r="N544" s="14">
        <f>D544+F544-E544</f>
        <v/>
      </c>
      <c r="O544" s="13" t="inlineStr">
        <is>
          <t>能力满足</t>
        </is>
      </c>
      <c r="P544" s="13" t="inlineStr">
        <is>
          <t>ST1 引取(开:35363.5s 加:55.0s 等前:3811.5s 等后:0.0s) | ST2 集约(开:35418.5s 加:106.0s 等前:0.0s 等后:0.5s) | ST3 空气悬挂+快充(开:35525.0s 加:0.0s 等前:0.0s 等后:120.5s) | ST4 四轮定位上、下(开:35645.5s 加:115.0s 等前:0.0s 等后:0.0s) | ST5 ADAS(开:35760.5s 加:97.0s 等前:0.0s 等后:39.5s) | ST6 ARHUD+慢充(开:35897.0s 加:0.0s 等前:0.0s 等后:114.5s) | ST7 转毂(开:36011.5s 加:116.0s 等前:0.0s 等后:0.0s) | ST8 制动(开:36127.5s 加:108.0s 等前:0.0s 等后:2.5s) | ST9 EG漏液/底盘漏液(开:36238.0s 加:115.0s 等前:0.0s 等后:0.0s) | ST10 全景/空调检查(开:36353.0s 加:98.0s 等前:0.0s 等后:0.0s) | ST11 气囊安装+绝缘(开:36451.0s 加:0.0s 等前:0.0s 等后:0.0s) | ST12 L2++(开:36451.0s 加:0.0s 等前:0.0s 等后:75.5s) | ST13 电检1(开:36526.5s 加:0.0s 等前:0.0s 等后:97.5s) | ST14 电检2(开:36624.0s 加:0.0s 等前:0.0s 等后:50.0s) | ST15 小跑道(开:36674.0s 加:51.0s 等前:0.0s 等后:0.0s)</t>
        </is>
      </c>
    </row>
    <row r="545">
      <c r="A545" s="15" t="n">
        <v>544</v>
      </c>
      <c r="B545" s="15" t="inlineStr">
        <is>
          <t>Car#542</t>
        </is>
      </c>
      <c r="C545" s="15" t="inlineStr">
        <is>
          <t>C</t>
        </is>
      </c>
      <c r="D545" s="16" t="n">
        <v>35159.5</v>
      </c>
      <c r="E545" s="16" t="n">
        <v>36775</v>
      </c>
      <c r="F545" s="16" t="n">
        <v>1615.5</v>
      </c>
      <c r="G545" s="16" t="n">
        <v>3973.5</v>
      </c>
      <c r="H545" s="15" t="inlineStr">
        <is>
          <t>Car#545</t>
        </is>
      </c>
      <c r="I545" s="16">
        <f>E545-E544</f>
        <v/>
      </c>
      <c r="J545" s="16">
        <f>I545-58</f>
        <v/>
      </c>
      <c r="K545" s="16">
        <f>MAX(0,J545)</f>
        <v/>
      </c>
      <c r="L545" s="16">
        <f>MAX(0,-J545)</f>
        <v/>
      </c>
      <c r="M545" s="16">
        <f>M544+I545</f>
        <v/>
      </c>
      <c r="N545" s="16">
        <f>D545+F545-E545</f>
        <v/>
      </c>
      <c r="O545" s="15" t="inlineStr">
        <is>
          <t>能力超目标：四轮定位上、下、ARHUD+慢充</t>
        </is>
      </c>
      <c r="P545" s="15" t="inlineStr">
        <is>
          <t>ST1 引取(开:35159.5s 加:56.0s 等前:3781.5s 等后:4.5s) | ST2 集约(开:35220.0s 加:111.0s 等前:0.0s 等后:32.5s) | ST3 空气悬挂+快充(开:35363.5s 加:108.5s 等前:0.0s 等后:35.0s) | ST4 四轮定位上、下(开:35507.0s 加:120.5s 等前:0.0s 等后:0.0s) | ST5 ADAS(开:35627.5s 加:107.0s 等前:0.0s 等后:30.5s) | ST6 ARHUD+慢充(开:35765.0s 加:143.5s 等前:0.0s 等后:0.0s) | ST7 转毂(开:35908.5s 加:114.5s 等前:0.0s 等后:0.0s) | ST8 制动(开:36023.0s 加:114.0s 等前:0.0s 等后:0.0s) | ST9 EG漏液/底盘漏液(开:36137.0s 加:112.5s 等前:0.0s 等后:0.0s) | ST10 全景/空调检查(开:36249.5s 加:0.0s 等前:0.0s 等后:0.0s) | ST11 气囊安装+绝缘(开:36249.5s 加:116.0s 等前:0.0s 等后:0.0s) | ST12 L2++(开:36365.5s 加:88.0s 等前:0.0s 等后:0.0s) | ST13 电检1(开:36453.5s 加:84.5s 等前:0.0s 等后:0.0s) | ST14 电检2(开:36538.0s 加:97.5s 等前:0.0s 等后:89.5s) | ST15 小跑道(开:36725.0s 加:50.0s 等前:0.0s 等后:0.0s)</t>
        </is>
      </c>
    </row>
    <row r="546">
      <c r="A546" s="13" t="n">
        <v>545</v>
      </c>
      <c r="B546" s="13" t="inlineStr">
        <is>
          <t>Car#547</t>
        </is>
      </c>
      <c r="C546" s="13" t="inlineStr">
        <is>
          <t>A</t>
        </is>
      </c>
      <c r="D546" s="14" t="n">
        <v>35507</v>
      </c>
      <c r="E546" s="14" t="n">
        <v>36826</v>
      </c>
      <c r="F546" s="14" t="n">
        <v>1319</v>
      </c>
      <c r="G546" s="14" t="n">
        <v>4297</v>
      </c>
      <c r="H546" s="13" t="inlineStr">
        <is>
          <t>Car#542</t>
        </is>
      </c>
      <c r="I546" s="14">
        <f>E546-E545</f>
        <v/>
      </c>
      <c r="J546" s="14">
        <f>I546-58</f>
        <v/>
      </c>
      <c r="K546" s="14">
        <f>MAX(0,J546)</f>
        <v/>
      </c>
      <c r="L546" s="14">
        <f>MAX(0,-J546)</f>
        <v/>
      </c>
      <c r="M546" s="14">
        <f>M545+I546</f>
        <v/>
      </c>
      <c r="N546" s="14">
        <f>D546+F546-E546</f>
        <v/>
      </c>
      <c r="O546" s="13" t="inlineStr">
        <is>
          <t>能力满足</t>
        </is>
      </c>
      <c r="P546" s="13" t="inlineStr">
        <is>
          <t>ST1 引取(开:35507.0s 加:55.0s 等前:3839.0s 等后:0.0s) | ST2 集约(开:35562.0s 加:106.0s 等前:0.0s 等后:0.0s) | ST3 空气悬挂+快充(开:35668.0s 加:0.0s 等前:0.0s 等后:92.5s) | ST4 四轮定位上、下(开:35760.5s 加:115.0s 等前:0.0s 等后:21.5s) | ST5 ADAS(开:35897.0s 加:97.0s 等前:0.0s 等后:17.5s) | ST6 ARHUD+慢充(开:36011.5s 加:0.0s 等前:0.0s 等后:116.0s) | ST7 转毂(开:36127.5s 加:116.0s 等前:0.0s 等后:0.0s) | ST8 制动(开:36243.5s 加:108.0s 等前:0.0s 等后:1.5s) | ST9 EG漏液/底盘漏液(开:36353.0s 加:115.0s 等前:0.0s 等后:0.0s) | ST10 全景/空调检查(开:36468.0s 加:98.0s 等前:0.0s 等后:0.0s) | ST11 气囊安装+绝缘(开:36566.0s 加:0.0s 等前:0.0s 等后:0.0s) | ST12 L2++(开:36566.0s 加:0.0s 等前:0.0s 等后:58.0s) | ST13 电检1(开:36624.0s 加:0.0s 等前:0.0s 等后:50.0s) | ST14 电检2(开:36674.0s 加:0.0s 等前:0.0s 等后:101.0s) | ST15 小跑道(开:36775.0s 加:51.0s 等前:0.0s 等后:0.0s)</t>
        </is>
      </c>
    </row>
    <row r="547">
      <c r="A547" s="15" t="n">
        <v>546</v>
      </c>
      <c r="B547" s="15" t="inlineStr">
        <is>
          <t>Car#544</t>
        </is>
      </c>
      <c r="C547" s="15" t="inlineStr">
        <is>
          <t>C</t>
        </is>
      </c>
      <c r="D547" s="16" t="n">
        <v>35280</v>
      </c>
      <c r="E547" s="16" t="n">
        <v>36876</v>
      </c>
      <c r="F547" s="16" t="n">
        <v>1596</v>
      </c>
      <c r="G547" s="16" t="n">
        <v>3958.5</v>
      </c>
      <c r="H547" s="15" t="inlineStr">
        <is>
          <t>Car#547</t>
        </is>
      </c>
      <c r="I547" s="16">
        <f>E547-E546</f>
        <v/>
      </c>
      <c r="J547" s="16">
        <f>I547-58</f>
        <v/>
      </c>
      <c r="K547" s="16">
        <f>MAX(0,J547)</f>
        <v/>
      </c>
      <c r="L547" s="16">
        <f>MAX(0,-J547)</f>
        <v/>
      </c>
      <c r="M547" s="16">
        <f>M546+I547</f>
        <v/>
      </c>
      <c r="N547" s="16">
        <f>D547+F547-E547</f>
        <v/>
      </c>
      <c r="O547" s="15" t="inlineStr">
        <is>
          <t>能力超目标：四轮定位上、下、ARHUD+慢充</t>
        </is>
      </c>
      <c r="P547" s="15" t="inlineStr">
        <is>
          <t>ST1 引取(开:35280.0s 加:56.0s 等前:3786.0s 等后:27.5s) | ST2 集约(开:35363.5s 加:111.0s 等前:0.0s 等后:32.5s) | ST3 空气悬挂+快充(开:35507.0s 加:108.5s 等前:0.0s 等后:12.0s) | ST4 四轮定位上、下(开:35627.5s 加:120.5s 等前:0.0s 等后:17.0s) | ST5 ADAS(开:35765.0s 加:107.0s 等前:0.0s 等后:36.5s) | ST6 ARHUD+慢充(开:35908.5s 加:143.5s 等前:0.0s 等后:0.0s) | ST7 转毂(开:36052.0s 加:114.5s 等前:0.0s 等后:0.0s) | ST8 制动(开:36166.5s 加:114.0s 等前:0.0s 等后:0.0s) | ST9 EG漏液/底盘漏液(开:36280.5s 加:112.5s 等前:0.0s 等后:0.0s) | ST10 全景/空调检查(开:36393.0s 加:0.0s 等前:0.0s 等后:0.0s) | ST11 气囊安装+绝缘(开:36393.0s 加:116.0s 等前:0.0s 等后:0.0s) | ST12 L2++(开:36509.0s 加:88.0s 等前:0.0s 等后:0.0s) | ST13 电检1(开:36597.0s 加:84.5s 等前:0.0s 等后:43.5s) | ST14 电检2(开:36725.0s 加:97.5s 等前:0.0s 等后:3.5s) | ST15 小跑道(开:36826.0s 加:50.0s 等前:0.0s 等后:0.0s)</t>
        </is>
      </c>
    </row>
    <row r="548">
      <c r="A548" s="13" t="n">
        <v>547</v>
      </c>
      <c r="B548" s="13" t="inlineStr">
        <is>
          <t>Car#546</t>
        </is>
      </c>
      <c r="C548" s="13" t="inlineStr">
        <is>
          <t>A</t>
        </is>
      </c>
      <c r="D548" s="14" t="n">
        <v>35418.5</v>
      </c>
      <c r="E548" s="14" t="n">
        <v>36927</v>
      </c>
      <c r="F548" s="14" t="n">
        <v>1508.5</v>
      </c>
      <c r="G548" s="14" t="n">
        <v>4456</v>
      </c>
      <c r="H548" s="13" t="inlineStr">
        <is>
          <t>Car#544</t>
        </is>
      </c>
      <c r="I548" s="14">
        <f>E548-E547</f>
        <v/>
      </c>
      <c r="J548" s="14">
        <f>I548-58</f>
        <v/>
      </c>
      <c r="K548" s="14">
        <f>MAX(0,J548)</f>
        <v/>
      </c>
      <c r="L548" s="14">
        <f>MAX(0,-J548)</f>
        <v/>
      </c>
      <c r="M548" s="14">
        <f>M547+I548</f>
        <v/>
      </c>
      <c r="N548" s="14">
        <f>D548+F548-E548</f>
        <v/>
      </c>
      <c r="O548" s="13" t="inlineStr">
        <is>
          <t>能力满足</t>
        </is>
      </c>
      <c r="P548" s="13" t="inlineStr">
        <is>
          <t>ST1 引取(开:35418.5s 加:55.0s 等前:3808.5s 等后:33.5s) | ST2 集约(开:35507.0s 加:106.0s 等前:0.0s 等后:14.5s) | ST3 空气悬挂+快充(开:35627.5s 加:0.0s 等前:0.0s 等后:137.5s) | ST4 四轮定位上、下(开:35765.0s 加:115.0s 等前:0.0s 等后:28.5s) | ST5 ADAS(开:35908.5s 加:97.0s 等前:0.0s 等后:46.5s) | ST6 ARHUD+慢充(开:36052.0s 加:0.0s 等前:0.0s 等后:114.5s) | ST7 转毂(开:36166.5s 加:116.0s 等前:0.0s 等后:0.0s) | ST8 制动(开:36282.5s 加:108.0s 等前:0.0s 等后:2.5s) | ST9 EG漏液/底盘漏液(开:36393.0s 加:115.0s 等前:0.0s 等后:0.0s) | ST10 全景/空调检查(开:36508.0s 加:98.0s 等前:0.0s 等后:0.0s) | ST11 气囊安装+绝缘(开:36606.0s 加:0.0s 等前:0.0s 等后:0.0s) | ST12 L2++(开:36606.0s 加:0.0s 等前:0.0s 等后:119.0s) | ST13 电检1(开:36725.0s 加:0.0s 等前:0.0s 等后:101.0s) | ST14 电检2(开:36826.0s 加:0.0s 等前:0.0s 等后:50.0s) | ST15 小跑道(开:36876.0s 加:51.0s 等前:0.0s 等后:0.0s)</t>
        </is>
      </c>
    </row>
    <row r="549">
      <c r="A549" s="15" t="n">
        <v>548</v>
      </c>
      <c r="B549" s="15" t="inlineStr">
        <is>
          <t>Car#549</t>
        </is>
      </c>
      <c r="C549" s="15" t="inlineStr">
        <is>
          <t>B</t>
        </is>
      </c>
      <c r="D549" s="16" t="n">
        <v>35627.5</v>
      </c>
      <c r="E549" s="16" t="n">
        <v>37020.5</v>
      </c>
      <c r="F549" s="16" t="n">
        <v>1393</v>
      </c>
      <c r="G549" s="16" t="n">
        <v>3905</v>
      </c>
      <c r="H549" s="15" t="inlineStr">
        <is>
          <t>Car#546</t>
        </is>
      </c>
      <c r="I549" s="16">
        <f>E549-E548</f>
        <v/>
      </c>
      <c r="J549" s="16">
        <f>I549-58</f>
        <v/>
      </c>
      <c r="K549" s="16">
        <f>MAX(0,J549)</f>
        <v/>
      </c>
      <c r="L549" s="16">
        <f>MAX(0,-J549)</f>
        <v/>
      </c>
      <c r="M549" s="16">
        <f>M548+I549</f>
        <v/>
      </c>
      <c r="N549" s="16">
        <f>D549+F549-E549</f>
        <v/>
      </c>
      <c r="O549" s="15" t="inlineStr">
        <is>
          <t>能力超目标：四轮定位上、下</t>
        </is>
      </c>
      <c r="P549" s="15" t="inlineStr">
        <is>
          <t>ST1 引取(开:35627.5s 加:56.0s 等前:3843.5s 等后:0.0s) | ST2 集约(开:35683.5s 加:111.0s 等前:0.0s 等后:0.0s) | ST3 空气悬挂+快充(开:35794.5s 加:108.5s 等前:0.0s 等后:0.0s) | ST4 四轮定位上、下(开:35903.0s 加:120.5s 等前:0.0s 等后:0.0s) | ST5 ADAS(开:36023.5s 加:107.0s 等前:0.0s 等后:0.0s) | ST6 ARHUD+慢充(开:36130.5s 加:51.5s 等前:0.0s 等后:61.5s) | ST7 转毂(开:36243.5s 加:114.5s 等前:0.0s 等后:0.0s) | ST8 制动(开:36358.0s 加:114.0s 等前:0.0s 等后:0.0s) | ST9 EG漏液/底盘漏液(开:36472.0s 加:112.5s 等前:0.0s 等后:0.0s) | ST10 全景/空调检查(开:36584.5s 加:0.0s 等前:0.0s 等后:0.0s) | ST11 气囊安装+绝缘(开:36584.5s 加:116.0s 等前:0.0s 等后:0.0s) | ST12 L2++(开:36700.5s 加:88.0s 等前:0.0s 等后:0.0s) | ST13 电检1(开:36788.5s 加:84.5s 等前:0.0s 等后:0.0s) | ST14 电检2(开:36873.0s 加:97.5s 等前:0.0s 等后:0.0s) | ST15 小跑道(开:36970.5s 加:50.0s 等前:0.0s 等后:0.0s)</t>
        </is>
      </c>
    </row>
    <row r="550">
      <c r="A550" s="13" t="n">
        <v>549</v>
      </c>
      <c r="B550" s="13" t="inlineStr">
        <is>
          <t>Car#548</t>
        </is>
      </c>
      <c r="C550" s="13" t="inlineStr">
        <is>
          <t>C</t>
        </is>
      </c>
      <c r="D550" s="14" t="n">
        <v>35562</v>
      </c>
      <c r="E550" s="14" t="n">
        <v>37087</v>
      </c>
      <c r="F550" s="14" t="n">
        <v>1525</v>
      </c>
      <c r="G550" s="14" t="n">
        <v>3937.5</v>
      </c>
      <c r="H550" s="13" t="inlineStr">
        <is>
          <t>Car#549</t>
        </is>
      </c>
      <c r="I550" s="14">
        <f>E550-E549</f>
        <v/>
      </c>
      <c r="J550" s="14">
        <f>I550-58</f>
        <v/>
      </c>
      <c r="K550" s="14">
        <f>MAX(0,J550)</f>
        <v/>
      </c>
      <c r="L550" s="14">
        <f>MAX(0,-J550)</f>
        <v/>
      </c>
      <c r="M550" s="14">
        <f>M549+I550</f>
        <v/>
      </c>
      <c r="N550" s="14">
        <f>D550+F550-E550</f>
        <v/>
      </c>
      <c r="O550" s="13" t="inlineStr">
        <is>
          <t>能力超目标：四轮定位上、下、ARHUD+慢充</t>
        </is>
      </c>
      <c r="P550" s="13" t="inlineStr">
        <is>
          <t>ST1 引取(开:35562.0s 加:56.0s 等前:3836.0s 等后:9.5s) | ST2 集约(开:35627.5s 加:111.0s 等前:0.0s 等后:26.5s) | ST3 空气悬挂+快充(开:35765.0s 加:108.5s 等前:0.0s 等后:35.0s) | ST4 四轮定位上、下(开:35908.5s 加:120.5s 等前:0.0s 等后:23.0s) | ST5 ADAS(开:36052.0s 加:107.0s 等前:0.0s 等后:7.5s) | ST6 ARHUD+慢充(开:36166.5s 加:143.5s 等前:0.0s 等后:0.0s) | ST7 转毂(开:36310.0s 加:114.5s 等前:0.0s 等后:0.0s) | ST8 制动(开:36424.5s 加:114.0s 等前:0.0s 等后:0.0s) | ST9 EG漏液/底盘漏液(开:36538.5s 加:112.5s 等前:0.0s 等后:0.0s) | ST10 全景/空调检查(开:36651.0s 加:0.0s 等前:0.0s 等后:0.0s) | ST11 气囊安装+绝缘(开:36651.0s 加:116.0s 等前:0.0s 等后:0.0s) | ST12 L2++(开:36767.0s 加:88.0s 等前:0.0s 等后:0.0s) | ST13 电检1(开:36855.0s 加:84.5s 等前:0.0s 等后:0.0s) | ST14 电检2(开:36939.5s 加:97.5s 等前:0.0s 等后:0.0s) | ST15 小跑道(开:37037.0s 加:50.0s 等前:0.0s 等后:0.0s)</t>
        </is>
      </c>
    </row>
    <row r="551">
      <c r="A551" s="15" t="n">
        <v>550</v>
      </c>
      <c r="B551" s="15" t="inlineStr">
        <is>
          <t>Car#551</t>
        </is>
      </c>
      <c r="C551" s="15" t="inlineStr">
        <is>
          <t>C</t>
        </is>
      </c>
      <c r="D551" s="16" t="n">
        <v>35765</v>
      </c>
      <c r="E551" s="16" t="n">
        <v>37188.5</v>
      </c>
      <c r="F551" s="16" t="n">
        <v>1423.5</v>
      </c>
      <c r="G551" s="16" t="n">
        <v>3865</v>
      </c>
      <c r="H551" s="15" t="inlineStr">
        <is>
          <t>Car#548</t>
        </is>
      </c>
      <c r="I551" s="16">
        <f>E551-E550</f>
        <v/>
      </c>
      <c r="J551" s="16">
        <f>I551-58</f>
        <v/>
      </c>
      <c r="K551" s="16">
        <f>MAX(0,J551)</f>
        <v/>
      </c>
      <c r="L551" s="16">
        <f>MAX(0,-J551)</f>
        <v/>
      </c>
      <c r="M551" s="16">
        <f>M550+I551</f>
        <v/>
      </c>
      <c r="N551" s="16">
        <f>D551+F551-E551</f>
        <v/>
      </c>
      <c r="O551" s="15" t="inlineStr">
        <is>
          <t>能力超目标：四轮定位上、下、ARHUD+慢充</t>
        </is>
      </c>
      <c r="P551" s="15" t="inlineStr">
        <is>
          <t>ST1 引取(开:35765.0s 加:56.0s 等前:3865.0s 等后:0.0s) | ST2 集约(开:35821.0s 加:111.0s 等前:0.0s 等后:0.0s) | ST3 空气悬挂+快充(开:35932.0s 加:108.5s 等前:0.0s 等后:0.0s) | ST4 四轮定位上、下(开:36040.5s 加:120.5s 等前:0.0s 等后:0.0s) | ST5 ADAS(开:36161.0s 加:107.0s 等前:0.0s 等后:0.0s) | ST6 ARHUD+慢充(开:36268.0s 加:143.5s 等前:0.0s 等后:0.0s) | ST7 转毂(开:36411.5s 加:114.5s 等前:0.0s 等后:0.0s) | ST8 制动(开:36526.0s 加:114.0s 等前:0.0s 等后:0.0s) | ST9 EG漏液/底盘漏液(开:36640.0s 加:112.5s 等前:0.0s 等后:0.0s) | ST10 全景/空调检查(开:36752.5s 加:0.0s 等前:0.0s 等后:0.0s) | ST11 气囊安装+绝缘(开:36752.5s 加:116.0s 等前:0.0s 等后:0.0s) | ST12 L2++(开:36868.5s 加:88.0s 等前:0.0s 等后:0.0s) | ST13 电检1(开:36956.5s 加:84.5s 等前:0.0s 等后:0.0s) | ST14 电检2(开:37041.0s 加:97.5s 等前:0.0s 等后:0.0s) | ST15 小跑道(开:37138.5s 加:50.0s 等前:0.0s 等后:0.0s)</t>
        </is>
      </c>
    </row>
    <row r="552">
      <c r="A552" s="13" t="n">
        <v>551</v>
      </c>
      <c r="B552" s="13" t="inlineStr">
        <is>
          <t>Car#550</t>
        </is>
      </c>
      <c r="C552" s="13" t="inlineStr">
        <is>
          <t>C</t>
        </is>
      </c>
      <c r="D552" s="14" t="n">
        <v>35683.5</v>
      </c>
      <c r="E552" s="14" t="n">
        <v>37238.5</v>
      </c>
      <c r="F552" s="14" t="n">
        <v>1555</v>
      </c>
      <c r="G552" s="14" t="n">
        <v>3973</v>
      </c>
      <c r="H552" s="13" t="inlineStr">
        <is>
          <t>Car#551</t>
        </is>
      </c>
      <c r="I552" s="14">
        <f>E552-E551</f>
        <v/>
      </c>
      <c r="J552" s="14">
        <f>I552-58</f>
        <v/>
      </c>
      <c r="K552" s="14">
        <f>MAX(0,J552)</f>
        <v/>
      </c>
      <c r="L552" s="14">
        <f>MAX(0,-J552)</f>
        <v/>
      </c>
      <c r="M552" s="14">
        <f>M551+I552</f>
        <v/>
      </c>
      <c r="N552" s="14">
        <f>D552+F552-E552</f>
        <v/>
      </c>
      <c r="O552" s="13" t="inlineStr">
        <is>
          <t>能力超目标：四轮定位上、下、ARHUD+慢充</t>
        </is>
      </c>
      <c r="P552" s="13" t="inlineStr">
        <is>
          <t>ST1 引取(开:35683.5s 加:56.0s 等前:3841.5s 等后:25.5s) | ST2 集约(开:35765.0s 加:111.0s 等前:0.0s 等后:32.5s) | ST3 空气悬挂+快充(开:35908.5s 加:108.5s 等前:0.0s 等后:35.0s) | ST4 四轮定位上、下(开:36052.0s 加:120.5s 等前:0.0s 等后:0.0s) | ST5 ADAS(开:36172.5s 加:107.0s 等前:0.0s 等后:30.5s) | ST6 ARHUD+慢充(开:36310.0s 加:143.5s 等前:0.0s 等后:0.0s) | ST7 转毂(开:36453.5s 加:114.5s 等前:0.0s 等后:0.0s) | ST8 制动(开:36568.0s 加:114.0s 等前:0.0s 等后:0.0s) | ST9 EG漏液/底盘漏液(开:36682.0s 加:112.5s 等前:0.0s 等后:0.0s) | ST10 全景/空调检查(开:36794.5s 加:0.0s 等前:0.0s 等后:0.0s) | ST11 气囊安装+绝缘(开:36794.5s 加:116.0s 等前:0.0s 等后:0.0s) | ST12 L2++(开:36910.5s 加:88.0s 等前:0.0s 等后:0.0s) | ST13 电检1(开:36998.5s 加:84.5s 等前:0.0s 等后:0.0s) | ST14 电检2(开:37083.0s 加:97.5s 等前:0.0s 等后:8.0s) | ST15 小跑道(开:37188.5s 加:50.0s 等前:0.0s 等后:0.0s)</t>
        </is>
      </c>
    </row>
    <row r="553">
      <c r="A553" s="15" t="n">
        <v>552</v>
      </c>
      <c r="B553" s="15" t="inlineStr">
        <is>
          <t>Car#553</t>
        </is>
      </c>
      <c r="C553" s="15" t="inlineStr">
        <is>
          <t>B</t>
        </is>
      </c>
      <c r="D553" s="16" t="n">
        <v>35908.5</v>
      </c>
      <c r="E553" s="16" t="n">
        <v>37304.5</v>
      </c>
      <c r="F553" s="16" t="n">
        <v>1396</v>
      </c>
      <c r="G553" s="16" t="n">
        <v>3957</v>
      </c>
      <c r="H553" s="15" t="inlineStr">
        <is>
          <t>Car#550</t>
        </is>
      </c>
      <c r="I553" s="16">
        <f>E553-E552</f>
        <v/>
      </c>
      <c r="J553" s="16">
        <f>I553-58</f>
        <v/>
      </c>
      <c r="K553" s="16">
        <f>MAX(0,J553)</f>
        <v/>
      </c>
      <c r="L553" s="16">
        <f>MAX(0,-J553)</f>
        <v/>
      </c>
      <c r="M553" s="16">
        <f>M552+I553</f>
        <v/>
      </c>
      <c r="N553" s="16">
        <f>D553+F553-E553</f>
        <v/>
      </c>
      <c r="O553" s="15" t="inlineStr">
        <is>
          <t>能力超目标：四轮定位上、下</t>
        </is>
      </c>
      <c r="P553" s="15" t="inlineStr">
        <is>
          <t>ST1 引取(开:35908.5s 加:56.0s 等前:3892.5s 等后:0.0s) | ST2 集约(开:35964.5s 加:111.0s 等前:0.0s 等后:0.0s) | ST3 空气悬挂+快充(开:36075.5s 加:108.5s 等前:0.0s 等后:0.0s) | ST4 四轮定位上、下(开:36184.0s 加:120.5s 等前:0.0s 等后:0.0s) | ST5 ADAS(开:36304.5s 加:107.0s 等前:0.0s 等后:0.0s) | ST6 ARHUD+慢充(开:36411.5s 加:51.5s 等前:0.0s 等后:63.0s) | ST7 转毂(开:36526.0s 加:114.5s 等前:0.0s 等后:0.0s) | ST8 制动(开:36640.5s 加:114.0s 等前:0.0s 等后:0.0s) | ST9 EG漏液/底盘漏液(开:36754.5s 加:112.5s 等前:0.0s 等后:0.0s) | ST10 全景/空调检查(开:36867.0s 加:0.0s 等前:0.0s 等后:1.5s) | ST11 气囊安装+绝缘(开:36868.5s 加:116.0s 等前:0.0s 等后:0.0s) | ST12 L2++(开:36984.5s 加:88.0s 等前:0.0s 等后:0.0s) | ST13 电检1(开:37072.5s 加:84.5s 等前:0.0s 等后:0.0s) | ST14 电检2(开:37157.0s 加:97.5s 等前:0.0s 等后:0.0s) | ST15 小跑道(开:37254.5s 加:50.0s 等前:0.0s 等后:0.0s)</t>
        </is>
      </c>
    </row>
    <row r="554">
      <c r="A554" s="13" t="n">
        <v>553</v>
      </c>
      <c r="B554" s="13" t="inlineStr">
        <is>
          <t>Car#552</t>
        </is>
      </c>
      <c r="C554" s="13" t="inlineStr">
        <is>
          <t>B</t>
        </is>
      </c>
      <c r="D554" s="14" t="n">
        <v>35821</v>
      </c>
      <c r="E554" s="14" t="n">
        <v>37354.5</v>
      </c>
      <c r="F554" s="14" t="n">
        <v>1533.5</v>
      </c>
      <c r="G554" s="14" t="n">
        <v>4065</v>
      </c>
      <c r="H554" s="13" t="inlineStr">
        <is>
          <t>Car#553</t>
        </is>
      </c>
      <c r="I554" s="14">
        <f>E554-E553</f>
        <v/>
      </c>
      <c r="J554" s="14">
        <f>I554-58</f>
        <v/>
      </c>
      <c r="K554" s="14">
        <f>MAX(0,J554)</f>
        <v/>
      </c>
      <c r="L554" s="14">
        <f>MAX(0,-J554)</f>
        <v/>
      </c>
      <c r="M554" s="14">
        <f>M553+I554</f>
        <v/>
      </c>
      <c r="N554" s="14">
        <f>D554+F554-E554</f>
        <v/>
      </c>
      <c r="O554" s="13" t="inlineStr">
        <is>
          <t>能力超目标：四轮定位上、下</t>
        </is>
      </c>
      <c r="P554" s="13" t="inlineStr">
        <is>
          <t>ST1 引取(开:35821.0s 加:56.0s 等前:3863.0s 等后:31.5s) | ST2 集约(开:35908.5s 加:111.0s 等前:0.0s 等后:32.5s) | ST3 空气悬挂+快充(开:36052.0s 加:108.5s 等前:0.0s 等后:12.0s) | ST4 四轮定位上、下(开:36172.5s 加:120.5s 等前:0.0s 等后:17.0s) | ST5 ADAS(开:36310.0s 加:107.0s 等前:0.0s 等后:36.5s) | ST6 ARHUD+慢充(开:36453.5s 加:51.5s 等前:0.0s 等后:63.0s) | ST7 转毂(开:36568.0s 加:114.5s 等前:0.0s 等后:0.0s) | ST8 制动(开:36682.5s 加:114.0s 等前:0.0s 等后:0.0s) | ST9 EG漏液/底盘漏液(开:36796.5s 加:112.5s 等前:0.0s 等后:0.0s) | ST10 全景/空调检查(开:36909.0s 加:0.0s 等前:0.0s 等后:1.5s) | ST11 气囊安装+绝缘(开:36910.5s 加:116.0s 等前:0.0s 等后:0.0s) | ST12 L2++(开:37026.5s 加:88.0s 等前:0.0s 等后:0.0s) | ST13 电检1(开:37114.5s 加:84.5s 等前:0.0s 等后:0.0s) | ST14 电检2(开:37199.0s 加:97.5s 等前:0.0s 等后:8.0s) | ST15 小跑道(开:37304.5s 加:50.0s 等前:0.0s 等后:0.0s)</t>
        </is>
      </c>
    </row>
    <row r="555">
      <c r="A555" s="15" t="n">
        <v>554</v>
      </c>
      <c r="B555" s="15" t="inlineStr">
        <is>
          <t>Car#555</t>
        </is>
      </c>
      <c r="C555" s="15" t="inlineStr">
        <is>
          <t>C</t>
        </is>
      </c>
      <c r="D555" s="16" t="n">
        <v>36052</v>
      </c>
      <c r="E555" s="16" t="n">
        <v>37475.5</v>
      </c>
      <c r="F555" s="16" t="n">
        <v>1423.5</v>
      </c>
      <c r="G555" s="16" t="n">
        <v>3920</v>
      </c>
      <c r="H555" s="15" t="inlineStr">
        <is>
          <t>Car#552</t>
        </is>
      </c>
      <c r="I555" s="16">
        <f>E555-E554</f>
        <v/>
      </c>
      <c r="J555" s="16">
        <f>I555-58</f>
        <v/>
      </c>
      <c r="K555" s="16">
        <f>MAX(0,J555)</f>
        <v/>
      </c>
      <c r="L555" s="16">
        <f>MAX(0,-J555)</f>
        <v/>
      </c>
      <c r="M555" s="16">
        <f>M554+I555</f>
        <v/>
      </c>
      <c r="N555" s="16">
        <f>D555+F555-E555</f>
        <v/>
      </c>
      <c r="O555" s="15" t="inlineStr">
        <is>
          <t>能力超目标：四轮定位上、下、ARHUD+慢充</t>
        </is>
      </c>
      <c r="P555" s="15" t="inlineStr">
        <is>
          <t>ST1 引取(开:36052.0s 加:56.0s 等前:3920.0s 等后:0.0s) | ST2 集约(开:36108.0s 加:111.0s 等前:0.0s 等后:0.0s) | ST3 空气悬挂+快充(开:36219.0s 加:108.5s 等前:0.0s 等后:0.0s) | ST4 四轮定位上、下(开:36327.5s 加:120.5s 等前:0.0s 等后:0.0s) | ST5 ADAS(开:36448.0s 加:107.0s 等前:0.0s 等后:0.0s) | ST6 ARHUD+慢充(开:36555.0s 加:143.5s 等前:0.0s 等后:0.0s) | ST7 转毂(开:36698.5s 加:114.5s 等前:0.0s 等后:0.0s) | ST8 制动(开:36813.0s 加:114.0s 等前:0.0s 等后:0.0s) | ST9 EG漏液/底盘漏液(开:36927.0s 加:112.5s 等前:0.0s 等后:0.0s) | ST10 全景/空调检查(开:37039.5s 加:0.0s 等前:0.0s 等后:0.0s) | ST11 气囊安装+绝缘(开:37039.5s 加:116.0s 等前:0.0s 等后:0.0s) | ST12 L2++(开:37155.5s 加:88.0s 等前:0.0s 等后:0.0s) | ST13 电检1(开:37243.5s 加:84.5s 等前:0.0s 等后:0.0s) | ST14 电检2(开:37328.0s 加:97.5s 等前:0.0s 等后:0.0s) | ST15 小跑道(开:37425.5s 加:50.0s 等前:0.0s 等后:0.0s)</t>
        </is>
      </c>
    </row>
    <row r="556">
      <c r="A556" s="13" t="n">
        <v>555</v>
      </c>
      <c r="B556" s="13" t="inlineStr">
        <is>
          <t>Car#554</t>
        </is>
      </c>
      <c r="C556" s="13" t="inlineStr">
        <is>
          <t>C</t>
        </is>
      </c>
      <c r="D556" s="14" t="n">
        <v>35964.5</v>
      </c>
      <c r="E556" s="14" t="n">
        <v>37525.5</v>
      </c>
      <c r="F556" s="14" t="n">
        <v>1561</v>
      </c>
      <c r="G556" s="14" t="n">
        <v>4028</v>
      </c>
      <c r="H556" s="13" t="inlineStr">
        <is>
          <t>Car#555</t>
        </is>
      </c>
      <c r="I556" s="14">
        <f>E556-E555</f>
        <v/>
      </c>
      <c r="J556" s="14">
        <f>I556-58</f>
        <v/>
      </c>
      <c r="K556" s="14">
        <f>MAX(0,J556)</f>
        <v/>
      </c>
      <c r="L556" s="14">
        <f>MAX(0,-J556)</f>
        <v/>
      </c>
      <c r="M556" s="14">
        <f>M555+I556</f>
        <v/>
      </c>
      <c r="N556" s="14">
        <f>D556+F556-E556</f>
        <v/>
      </c>
      <c r="O556" s="13" t="inlineStr">
        <is>
          <t>能力超目标：四轮定位上、下、ARHUD+慢充</t>
        </is>
      </c>
      <c r="P556" s="13" t="inlineStr">
        <is>
          <t>ST1 引取(开:35964.5s 加:56.0s 等前:3890.5s 等后:31.5s) | ST2 集约(开:36052.0s 加:111.0s 等前:0.0s 等后:9.5s) | ST3 空气悬挂+快充(开:36172.5s 加:108.5s 等前:0.0s 等后:29.0s) | ST4 四轮定位上、下(开:36310.0s 加:120.5s 等前:0.0s 等后:23.0s) | ST5 ADAS(开:36453.5s 加:107.0s 等前:0.0s 等后:7.5s) | ST6 ARHUD+慢充(开:36568.0s 加:143.5s 等前:0.0s 等后:0.0s) | ST7 转毂(开:36711.5s 加:114.5s 等前:0.0s 等后:0.0s) | ST8 制动(开:36826.0s 加:114.0s 等前:0.0s 等后:0.0s) | ST9 EG漏液/底盘漏液(开:36940.0s 加:112.5s 等前:0.0s 等后:0.0s) | ST10 全景/空调检查(开:37052.5s 加:0.0s 等前:0.0s 等后:0.0s) | ST11 气囊安装+绝缘(开:37052.5s 加:116.0s 等前:0.0s 等后:0.0s) | ST12 L2++(开:37168.5s 加:88.0s 等前:0.0s 等后:0.0s) | ST13 电检1(开:37256.5s 加:84.5s 等前:0.0s 等后:0.0s) | ST14 电检2(开:37341.0s 加:97.5s 等前:0.0s 等后:37.0s) | ST15 小跑道(开:37475.5s 加:50.0s 等前:0.0s 等后:0.0s)</t>
        </is>
      </c>
    </row>
    <row r="557">
      <c r="A557" s="15" t="n">
        <v>556</v>
      </c>
      <c r="B557" s="15" t="inlineStr">
        <is>
          <t>Car#557</t>
        </is>
      </c>
      <c r="C557" s="15" t="inlineStr">
        <is>
          <t>C</t>
        </is>
      </c>
      <c r="D557" s="16" t="n">
        <v>36172.5</v>
      </c>
      <c r="E557" s="16" t="n">
        <v>37619</v>
      </c>
      <c r="F557" s="16" t="n">
        <v>1446.5</v>
      </c>
      <c r="G557" s="16" t="n">
        <v>3947.5</v>
      </c>
      <c r="H557" s="15" t="inlineStr">
        <is>
          <t>Car#554</t>
        </is>
      </c>
      <c r="I557" s="16">
        <f>E557-E556</f>
        <v/>
      </c>
      <c r="J557" s="16">
        <f>I557-58</f>
        <v/>
      </c>
      <c r="K557" s="16">
        <f>MAX(0,J557)</f>
        <v/>
      </c>
      <c r="L557" s="16">
        <f>MAX(0,-J557)</f>
        <v/>
      </c>
      <c r="M557" s="16">
        <f>M556+I557</f>
        <v/>
      </c>
      <c r="N557" s="16">
        <f>D557+F557-E557</f>
        <v/>
      </c>
      <c r="O557" s="15" t="inlineStr">
        <is>
          <t>能力超目标：四轮定位上、下、ARHUD+慢充</t>
        </is>
      </c>
      <c r="P557" s="15" t="inlineStr">
        <is>
          <t>ST1 引取(开:36172.5s 加:56.0s 等前:3924.5s 等后:0.0s) | ST2 集约(开:36228.5s 加:111.0s 等前:0.0s 等后:0.0s) | ST3 空气悬挂+快充(开:36339.5s 加:108.5s 等前:0.0s 等后:0.0s) | ST4 四轮定位上、下(开:36448.0s 加:120.5s 等前:0.0s 等后:0.0s) | ST5 ADAS(开:36568.5s 加:107.0s 等前:0.0s 等后:23.0s) | ST6 ARHUD+慢充(开:36698.5s 加:143.5s 等前:0.0s 等后:0.0s) | ST7 转毂(开:36842.0s 加:114.5s 等前:0.0s 等后:0.0s) | ST8 制动(开:36956.5s 加:114.0s 等前:0.0s 等后:0.0s) | ST9 EG漏液/底盘漏液(开:37070.5s 加:112.5s 等前:0.0s 等后:0.0s) | ST10 全景/空调检查(开:37183.0s 加:0.0s 等前:0.0s 等后:0.0s) | ST11 气囊安装+绝缘(开:37183.0s 加:116.0s 等前:0.0s 等后:0.0s) | ST12 L2++(开:37299.0s 加:88.0s 等前:0.0s 等后:0.0s) | ST13 电检1(开:37387.0s 加:84.5s 等前:0.0s 等后:0.0s) | ST14 电检2(开:37471.5s 加:97.5s 等前:0.0s 等后:0.0s) | ST15 小跑道(开:37569.0s 加:50.0s 等前:0.0s 等后:0.0s)</t>
        </is>
      </c>
    </row>
    <row r="558">
      <c r="A558" s="13" t="n">
        <v>557</v>
      </c>
      <c r="B558" s="13" t="inlineStr">
        <is>
          <t>Car#556</t>
        </is>
      </c>
      <c r="C558" s="13" t="inlineStr">
        <is>
          <t>C</t>
        </is>
      </c>
      <c r="D558" s="14" t="n">
        <v>36108</v>
      </c>
      <c r="E558" s="14" t="n">
        <v>37669</v>
      </c>
      <c r="F558" s="14" t="n">
        <v>1561</v>
      </c>
      <c r="G558" s="14" t="n">
        <v>4055.5</v>
      </c>
      <c r="H558" s="13" t="inlineStr">
        <is>
          <t>Car#557</t>
        </is>
      </c>
      <c r="I558" s="14">
        <f>E558-E557</f>
        <v/>
      </c>
      <c r="J558" s="14">
        <f>I558-58</f>
        <v/>
      </c>
      <c r="K558" s="14">
        <f>MAX(0,J558)</f>
        <v/>
      </c>
      <c r="L558" s="14">
        <f>MAX(0,-J558)</f>
        <v/>
      </c>
      <c r="M558" s="14">
        <f>M557+I558</f>
        <v/>
      </c>
      <c r="N558" s="14">
        <f>D558+F558-E558</f>
        <v/>
      </c>
      <c r="O558" s="13" t="inlineStr">
        <is>
          <t>能力超目标：四轮定位上、下、ARHUD+慢充</t>
        </is>
      </c>
      <c r="P558" s="13" t="inlineStr">
        <is>
          <t>ST1 引取(开:36108.0s 加:56.0s 等前:3918.0s 等后:8.5s) | ST2 集约(开:36172.5s 加:111.0s 等前:0.0s 等后:26.5s) | ST3 空气悬挂+快充(开:36310.0s 加:108.5s 等前:0.0s 等后:35.0s) | ST4 四轮定位上、下(开:36453.5s 加:120.5s 等前:0.0s 等后:0.0s) | ST5 ADAS(开:36574.0s 加:107.0s 等前:0.0s 等后:30.5s) | ST6 ARHUD+慢充(开:36711.5s 加:143.5s 等前:0.0s 等后:0.0s) | ST7 转毂(开:36855.0s 加:114.5s 等前:0.0s 等后:0.0s) | ST8 制动(开:36969.5s 加:114.0s 等前:0.0s 等后:0.0s) | ST9 EG漏液/底盘漏液(开:37083.5s 加:112.5s 等前:0.0s 等后:0.0s) | ST10 全景/空调检查(开:37196.0s 加:0.0s 等前:0.0s 等后:0.0s) | ST11 气囊安装+绝缘(开:37196.0s 加:116.0s 等前:0.0s 等后:0.0s) | ST12 L2++(开:37312.0s 加:88.0s 等前:0.0s 等后:0.0s) | ST13 电检1(开:37400.0s 加:84.5s 等前:0.0s 等后:0.0s) | ST14 电检2(开:37484.5s 加:97.5s 等前:0.0s 等后:37.0s) | ST15 小跑道(开:37619.0s 加:50.0s 等前:0.0s 等后:0.0s)</t>
        </is>
      </c>
    </row>
    <row r="559">
      <c r="A559" s="15" t="n">
        <v>558</v>
      </c>
      <c r="B559" s="15" t="inlineStr">
        <is>
          <t>Car#558</t>
        </is>
      </c>
      <c r="C559" s="15" t="inlineStr">
        <is>
          <t>A</t>
        </is>
      </c>
      <c r="D559" s="16" t="n">
        <v>36228.5</v>
      </c>
      <c r="E559" s="16" t="n">
        <v>37720</v>
      </c>
      <c r="F559" s="16" t="n">
        <v>1491.5</v>
      </c>
      <c r="G559" s="16" t="n">
        <v>4553</v>
      </c>
      <c r="H559" s="15" t="inlineStr">
        <is>
          <t>Car#556</t>
        </is>
      </c>
      <c r="I559" s="16">
        <f>E559-E558</f>
        <v/>
      </c>
      <c r="J559" s="16">
        <f>I559-58</f>
        <v/>
      </c>
      <c r="K559" s="16">
        <f>MAX(0,J559)</f>
        <v/>
      </c>
      <c r="L559" s="16">
        <f>MAX(0,-J559)</f>
        <v/>
      </c>
      <c r="M559" s="16">
        <f>M558+I559</f>
        <v/>
      </c>
      <c r="N559" s="16">
        <f>D559+F559-E559</f>
        <v/>
      </c>
      <c r="O559" s="15" t="inlineStr">
        <is>
          <t>能力满足</t>
        </is>
      </c>
      <c r="P559" s="15" t="inlineStr">
        <is>
          <t>ST1 引取(开:36228.5s 加:55.0s 等前:3922.5s 等后:26.5s) | ST2 集约(开:36310.0s 加:106.0s 等前:0.0s 等后:37.5s) | ST3 空气悬挂+快充(开:36453.5s 加:0.0s 等前:0.0s 等后:120.5s) | ST4 四轮定位上、下(开:36574.0s 加:115.0s 等前:0.0s 等后:22.5s) | ST5 ADAS(开:36711.5s 加:97.0s 等前:0.0s 等后:46.5s) | ST6 ARHUD+慢充(开:36855.0s 加:0.0s 等前:0.0s 等后:114.5s) | ST7 转毂(开:36969.5s 加:116.0s 等前:0.0s 等后:0.0s) | ST8 制动(开:37085.5s 加:108.0s 等前:0.0s 等后:2.5s) | ST9 EG漏液/底盘漏液(开:37196.0s 加:115.0s 等前:0.0s 等后:0.0s) | ST10 全景/空调检查(开:37311.0s 加:98.0s 等前:0.0s 等后:0.0s) | ST11 气囊安装+绝缘(开:37409.0s 加:0.0s 等前:0.0s 等后:0.0s) | ST12 L2++(开:37409.0s 加:0.0s 等前:0.0s 等后:75.5s) | ST13 电检1(开:37484.5s 加:0.0s 等前:0.0s 等后:134.5s) | ST14 电检2(开:37619.0s 加:0.0s 等前:0.0s 等后:50.0s) | ST15 小跑道(开:37669.0s 加:51.0s 等前:0.0s 等后:0.0s)</t>
        </is>
      </c>
    </row>
    <row r="560">
      <c r="A560" s="13" t="n">
        <v>559</v>
      </c>
      <c r="B560" s="13" t="inlineStr">
        <is>
          <t>Car#559</t>
        </is>
      </c>
      <c r="C560" s="13" t="inlineStr">
        <is>
          <t>B</t>
        </is>
      </c>
      <c r="D560" s="14" t="n">
        <v>36310</v>
      </c>
      <c r="E560" s="14" t="n">
        <v>37770</v>
      </c>
      <c r="F560" s="14" t="n">
        <v>1460</v>
      </c>
      <c r="G560" s="14" t="n">
        <v>4074.5</v>
      </c>
      <c r="H560" s="13" t="inlineStr">
        <is>
          <t>Car#558</t>
        </is>
      </c>
      <c r="I560" s="14">
        <f>E560-E559</f>
        <v/>
      </c>
      <c r="J560" s="14">
        <f>I560-58</f>
        <v/>
      </c>
      <c r="K560" s="14">
        <f>MAX(0,J560)</f>
        <v/>
      </c>
      <c r="L560" s="14">
        <f>MAX(0,-J560)</f>
        <v/>
      </c>
      <c r="M560" s="14">
        <f>M559+I560</f>
        <v/>
      </c>
      <c r="N560" s="14">
        <f>D560+F560-E560</f>
        <v/>
      </c>
      <c r="O560" s="13" t="inlineStr">
        <is>
          <t>能力超目标：四轮定位上、下</t>
        </is>
      </c>
      <c r="P560" s="13" t="inlineStr">
        <is>
          <t>ST1 引取(开:36310.0s 加:56.0s 等前:3946.0s 等后:0.0s) | ST2 集约(开:36366.0s 加:111.0s 等前:0.0s 等后:0.0s) | ST3 空气悬挂+快充(开:36477.0s 加:108.5s 等前:0.0s 等后:0.0s) | ST4 四轮定位上、下(开:36585.5s 加:120.5s 等前:0.0s 等后:0.0s) | ST5 ADAS(开:36706.0s 加:107.0s 等前:0.0s 等后:29.0s) | ST6 ARHUD+慢充(开:36842.0s 加:51.5s 等前:0.0s 等后:63.0s) | ST7 转毂(开:36956.5s 加:114.5s 等前:0.0s 等后:0.0s) | ST8 制动(开:37071.0s 加:114.0s 等前:0.0s 等后:0.0s) | ST9 EG漏液/底盘漏液(开:37185.0s 加:112.5s 等前:0.0s 等后:0.0s) | ST10 全景/空调检查(开:37297.5s 加:0.0s 等前:0.0s 等后:1.5s) | ST11 气囊安装+绝缘(开:37299.0s 加:116.0s 等前:0.0s 等后:0.0s) | ST12 L2++(开:37415.0s 加:88.0s 等前:0.0s 等后:0.0s) | ST13 电检1(开:37503.0s 加:84.5s 等前:0.0s 等后:0.0s) | ST14 电检2(开:37587.5s 加:97.5s 等前:0.0s 等后:35.0s) | ST15 小跑道(开:37720.0s 加:50.0s 等前:0.0s 等后:0.0s)</t>
        </is>
      </c>
    </row>
    <row r="561">
      <c r="A561" s="15" t="n">
        <v>560</v>
      </c>
      <c r="B561" s="15" t="inlineStr">
        <is>
          <t>Car#560</t>
        </is>
      </c>
      <c r="C561" s="15" t="inlineStr">
        <is>
          <t>B</t>
        </is>
      </c>
      <c r="D561" s="16" t="n">
        <v>36366</v>
      </c>
      <c r="E561" s="16" t="n">
        <v>37862.5</v>
      </c>
      <c r="F561" s="16" t="n">
        <v>1496.5</v>
      </c>
      <c r="G561" s="16" t="n">
        <v>4109</v>
      </c>
      <c r="H561" s="15" t="inlineStr">
        <is>
          <t>Car#559</t>
        </is>
      </c>
      <c r="I561" s="16">
        <f>E561-E560</f>
        <v/>
      </c>
      <c r="J561" s="16">
        <f>I561-58</f>
        <v/>
      </c>
      <c r="K561" s="16">
        <f>MAX(0,J561)</f>
        <v/>
      </c>
      <c r="L561" s="16">
        <f>MAX(0,-J561)</f>
        <v/>
      </c>
      <c r="M561" s="16">
        <f>M560+I561</f>
        <v/>
      </c>
      <c r="N561" s="16">
        <f>D561+F561-E561</f>
        <v/>
      </c>
      <c r="O561" s="15" t="inlineStr">
        <is>
          <t>能力超目标：四轮定位上、下</t>
        </is>
      </c>
      <c r="P561" s="15" t="inlineStr">
        <is>
          <t>ST1 引取(开:36366.0s 加:56.0s 等前:3944.0s 等后:31.5s) | ST2 集约(开:36453.5s 加:111.0s 等前:0.0s 等后:9.5s) | ST3 空气悬挂+快充(开:36574.0s 加:108.5s 等前:0.0s 等后:29.0s) | ST4 四轮定位上、下(开:36711.5s 加:120.5s 等前:0.0s 等后:23.0s) | ST5 ADAS(开:36855.0s 加:107.0s 等前:0.0s 等后:7.5s) | ST6 ARHUD+慢充(开:36969.5s 加:51.5s 等前:0.0s 等后:64.5s) | ST7 转毂(开:37085.5s 加:114.5s 等前:0.0s 等后:0.0s) | ST8 制动(开:37200.0s 加:114.0s 等前:0.0s 等后:0.0s) | ST9 EG漏液/底盘漏液(开:37314.0s 加:112.5s 等前:0.0s 等后:0.0s) | ST10 全景/空调检查(开:37426.5s 加:0.0s 等前:0.0s 等后:0.0s) | ST11 气囊安装+绝缘(开:37426.5s 加:116.0s 等前:0.0s 等后:0.0s) | ST12 L2++(开:37542.5s 加:88.0s 等前:0.0s 等后:0.0s) | ST13 电检1(开:37630.5s 加:84.5s 等前:0.0s 等后:0.0s) | ST14 电检2(开:37715.0s 加:97.5s 等前:0.0s 等后:0.0s) | ST15 小跑道(开:37812.5s 加:50.0s 等前:0.0s 等后:0.0s)</t>
        </is>
      </c>
    </row>
    <row r="562">
      <c r="A562" s="13" t="n">
        <v>561</v>
      </c>
      <c r="B562" s="13" t="inlineStr">
        <is>
          <t>Car#562</t>
        </is>
      </c>
      <c r="C562" s="13" t="inlineStr">
        <is>
          <t>A</t>
        </is>
      </c>
      <c r="D562" s="14" t="n">
        <v>36509.5</v>
      </c>
      <c r="E562" s="14" t="n">
        <v>37913.5</v>
      </c>
      <c r="F562" s="14" t="n">
        <v>1404</v>
      </c>
      <c r="G562" s="14" t="n">
        <v>4514.5</v>
      </c>
      <c r="H562" s="13" t="inlineStr">
        <is>
          <t>Car#560</t>
        </is>
      </c>
      <c r="I562" s="14">
        <f>E562-E561</f>
        <v/>
      </c>
      <c r="J562" s="14">
        <f>I562-58</f>
        <v/>
      </c>
      <c r="K562" s="14">
        <f>MAX(0,J562)</f>
        <v/>
      </c>
      <c r="L562" s="14">
        <f>MAX(0,-J562)</f>
        <v/>
      </c>
      <c r="M562" s="14">
        <f>M561+I562</f>
        <v/>
      </c>
      <c r="N562" s="14">
        <f>D562+F562-E562</f>
        <v/>
      </c>
      <c r="O562" s="13" t="inlineStr">
        <is>
          <t>能力满足</t>
        </is>
      </c>
      <c r="P562" s="13" t="inlineStr">
        <is>
          <t>ST1 引取(开:36509.5s 加:55.0s 等前:3971.5s 等后:9.5s) | ST2 集约(开:36574.0s 加:106.0s 等前:0.0s 等后:31.5s) | ST3 空气悬挂+快充(开:36711.5s 加:0.0s 等前:0.0s 等后:143.5s) | ST4 四轮定位上、下(开:36855.0s 加:115.0s 等前:0.0s 等后:0.0s) | ST5 ADAS(开:36970.0s 加:97.0s 等前:0.0s 等后:18.5s) | ST6 ARHUD+慢充(开:37085.5s 加:0.0s 等前:0.0s 等后:114.5s) | ST7 转毂(开:37200.0s 加:116.0s 等前:0.0s 等后:0.0s) | ST8 制动(开:37316.0s 加:108.0s 等前:0.0s 等后:2.5s) | ST9 EG漏液/底盘漏液(开:37426.5s 加:115.0s 等前:0.0s 等后:0.0s) | ST10 全景/空调检查(开:37541.5s 加:98.0s 等前:0.0s 等后:0.0s) | ST11 气囊安装+绝缘(开:37639.5s 加:0.0s 等前:0.0s 等后:0.0s) | ST12 L2++(开:37639.5s 加:0.0s 等前:0.0s 等后:75.5s) | ST13 电检1(开:37715.0s 加:0.0s 等前:0.0s 等后:97.5s) | ST14 电检2(开:37812.5s 加:0.0s 等前:0.0s 等后:50.0s) | ST15 小跑道(开:37862.5s 加:51.0s 等前:0.0s 等后:0.0s)</t>
        </is>
      </c>
    </row>
    <row r="563">
      <c r="A563" s="15" t="n">
        <v>562</v>
      </c>
      <c r="B563" s="15" t="inlineStr">
        <is>
          <t>Car#561</t>
        </is>
      </c>
      <c r="C563" s="15" t="inlineStr">
        <is>
          <t>B</t>
        </is>
      </c>
      <c r="D563" s="16" t="n">
        <v>36453.5</v>
      </c>
      <c r="E563" s="16" t="n">
        <v>37963.5</v>
      </c>
      <c r="F563" s="16" t="n">
        <v>1510</v>
      </c>
      <c r="G563" s="16" t="n">
        <v>4152</v>
      </c>
      <c r="H563" s="15" t="inlineStr">
        <is>
          <t>Car#562</t>
        </is>
      </c>
      <c r="I563" s="16">
        <f>E563-E562</f>
        <v/>
      </c>
      <c r="J563" s="16">
        <f>I563-58</f>
        <v/>
      </c>
      <c r="K563" s="16">
        <f>MAX(0,J563)</f>
        <v/>
      </c>
      <c r="L563" s="16">
        <f>MAX(0,-J563)</f>
        <v/>
      </c>
      <c r="M563" s="16">
        <f>M562+I563</f>
        <v/>
      </c>
      <c r="N563" s="16">
        <f>D563+F563-E563</f>
        <v/>
      </c>
      <c r="O563" s="15" t="inlineStr">
        <is>
          <t>能力超目标：四轮定位上、下</t>
        </is>
      </c>
      <c r="P563" s="15" t="inlineStr">
        <is>
          <t>ST1 引取(开:36453.5s 加:56.0s 等前:3973.5s 等后:0.0s) | ST2 集约(开:36509.5s 加:111.0s 等前:0.0s 等后:0.0s) | ST3 空气悬挂+快充(开:36620.5s 加:108.5s 等前:0.0s 等后:0.0s) | ST4 四轮定位上、下(开:36729.0s 加:120.5s 等前:0.0s 等后:0.0s) | ST5 ADAS(开:36849.5s 加:107.0s 等前:0.0s 等后:0.0s) | ST6 ARHUD+慢充(开:36956.5s 加:51.5s 等前:0.0s 等后:63.0s) | ST7 转毂(开:37071.0s 加:114.5s 等前:0.0s 等后:0.0s) | ST8 制动(开:37185.5s 加:114.0s 等前:0.0s 等后:0.0s) | ST9 EG漏液/底盘漏液(开:37299.5s 加:112.5s 等前:0.0s 等后:0.0s) | ST10 全景/空调检查(开:37412.0s 加:0.0s 等前:0.0s 等后:3.0s) | ST11 气囊安装+绝缘(开:37415.0s 加:116.0s 等前:0.0s 等后:0.0s) | ST12 L2++(开:37531.0s 加:88.0s 等前:0.0s 等后:0.0s) | ST13 电检1(开:37619.0s 加:84.5s 等前:0.0s 等后:16.5s) | ST14 电检2(开:37720.0s 加:97.5s 等前:0.0s 等后:96.0s) | ST15 小跑道(开:37913.5s 加:50.0s 等前:0.0s 等后:0.0s)</t>
        </is>
      </c>
    </row>
    <row r="564">
      <c r="A564" s="13" t="n">
        <v>563</v>
      </c>
      <c r="B564" s="13" t="inlineStr">
        <is>
          <t>Car#563</t>
        </is>
      </c>
      <c r="C564" s="13" t="inlineStr">
        <is>
          <t>C</t>
        </is>
      </c>
      <c r="D564" s="14" t="n">
        <v>36574</v>
      </c>
      <c r="E564" s="14" t="n">
        <v>38061</v>
      </c>
      <c r="F564" s="14" t="n">
        <v>1487</v>
      </c>
      <c r="G564" s="14" t="n">
        <v>4041.5</v>
      </c>
      <c r="H564" s="13" t="inlineStr">
        <is>
          <t>Car#561</t>
        </is>
      </c>
      <c r="I564" s="14">
        <f>E564-E563</f>
        <v/>
      </c>
      <c r="J564" s="14">
        <f>I564-58</f>
        <v/>
      </c>
      <c r="K564" s="14">
        <f>MAX(0,J564)</f>
        <v/>
      </c>
      <c r="L564" s="14">
        <f>MAX(0,-J564)</f>
        <v/>
      </c>
      <c r="M564" s="14">
        <f>M563+I564</f>
        <v/>
      </c>
      <c r="N564" s="14">
        <f>D564+F564-E564</f>
        <v/>
      </c>
      <c r="O564" s="13" t="inlineStr">
        <is>
          <t>能力超目标：四轮定位上、下、ARHUD+慢充</t>
        </is>
      </c>
      <c r="P564" s="13" t="inlineStr">
        <is>
          <t>ST1 引取(开:36574.0s 加:56.0s 等前:3978.0s 等后:0.0s) | ST2 集约(开:36630.0s 加:111.0s 等前:0.0s 等后:0.0s) | ST3 空气悬挂+快充(开:36741.0s 加:108.5s 等前:0.0s 等后:0.0s) | ST4 四轮定位上、下(开:36849.5s 加:120.5s 等前:0.0s 等后:0.0s) | ST5 ADAS(开:36970.0s 加:107.0s 等前:0.0s 等后:0.0s) | ST6 ARHUD+慢充(开:37077.0s 加:143.5s 等前:0.0s 等后:0.0s) | ST7 转毂(开:37220.5s 加:114.5s 等前:0.0s 等后:0.0s) | ST8 制动(开:37335.0s 加:114.0s 等前:0.0s 等后:0.0s) | ST9 EG漏液/底盘漏液(开:37449.0s 加:112.5s 等前:0.0s 等后:0.0s) | ST10 全景/空调检查(开:37561.5s 加:0.0s 等前:0.0s 等后:0.0s) | ST11 气囊安装+绝缘(开:37561.5s 加:116.0s 等前:0.0s 等后:0.0s) | ST12 L2++(开:37677.5s 加:88.0s 等前:0.0s 等后:0.0s) | ST13 电检1(开:37765.5s 加:84.5s 等前:0.0s 等后:63.5s) | ST14 电检2(开:37913.5s 加:97.5s 等前:0.0s 等后:0.0s) | ST15 小跑道(开:38011.0s 加:50.0s 等前:0.0s 等后:0.0s)</t>
        </is>
      </c>
    </row>
    <row r="565">
      <c r="A565" s="15" t="n">
        <v>564</v>
      </c>
      <c r="B565" s="15" t="inlineStr">
        <is>
          <t>Car#564</t>
        </is>
      </c>
      <c r="C565" s="15" t="inlineStr">
        <is>
          <t>C</t>
        </is>
      </c>
      <c r="D565" s="16" t="n">
        <v>36630</v>
      </c>
      <c r="E565" s="16" t="n">
        <v>38120.5</v>
      </c>
      <c r="F565" s="16" t="n">
        <v>1490.5</v>
      </c>
      <c r="G565" s="16" t="n">
        <v>4043</v>
      </c>
      <c r="H565" s="15" t="inlineStr">
        <is>
          <t>Car#563</t>
        </is>
      </c>
      <c r="I565" s="16">
        <f>E565-E564</f>
        <v/>
      </c>
      <c r="J565" s="16">
        <f>I565-58</f>
        <v/>
      </c>
      <c r="K565" s="16">
        <f>MAX(0,J565)</f>
        <v/>
      </c>
      <c r="L565" s="16">
        <f>MAX(0,-J565)</f>
        <v/>
      </c>
      <c r="M565" s="16">
        <f>M564+I565</f>
        <v/>
      </c>
      <c r="N565" s="16">
        <f>D565+F565-E565</f>
        <v/>
      </c>
      <c r="O565" s="15" t="inlineStr">
        <is>
          <t>能力超目标：四轮定位上、下、ARHUD+慢充</t>
        </is>
      </c>
      <c r="P565" s="15" t="inlineStr">
        <is>
          <t>ST1 引取(开:36630.0s 加:56.0s 等前:3976.0s 等后:25.5s) | ST2 集约(开:36711.5s 加:111.0s 等前:0.0s 等后:32.5s) | ST3 空气悬挂+快充(开:36855.0s 加:108.5s 等前:0.0s 等后:6.5s) | ST4 四轮定位上、下(开:36970.0s 加:120.5s 等前:0.0s 等后:0.0s) | ST5 ADAS(开:37090.5s 加:107.0s 等前:0.0s 等后:2.5s) | ST6 ARHUD+慢充(开:37200.0s 加:143.5s 等前:0.0s 等后:0.0s) | ST7 转毂(开:37343.5s 加:114.5s 等前:0.0s 等后:0.0s) | ST8 制动(开:37458.0s 加:114.0s 等前:0.0s 等后:0.0s) | ST9 EG漏液/底盘漏液(开:37572.0s 加:112.5s 等前:0.0s 等后:0.0s) | ST10 全景/空调检查(开:37684.5s 加:0.0s 等前:0.0s 等后:0.0s) | ST11 气囊安装+绝缘(开:37684.5s 加:116.0s 等前:0.0s 等后:0.0s) | ST12 L2++(开:37800.5s 加:88.0s 等前:0.0s 等后:0.0s) | ST13 电检1(开:37888.5s 加:84.5s 等前:0.0s 等后:0.0s) | ST14 电检2(开:37973.0s 加:97.5s 等前:0.0s 等后:0.0s) | ST15 小跑道(开:38070.5s 加:50.0s 等前:0.0s 等后:0.0s)</t>
        </is>
      </c>
    </row>
    <row r="566">
      <c r="A566" s="13" t="n">
        <v>565</v>
      </c>
      <c r="B566" s="13" t="inlineStr">
        <is>
          <t>Car#566</t>
        </is>
      </c>
      <c r="C566" s="13" t="inlineStr">
        <is>
          <t>A</t>
        </is>
      </c>
      <c r="D566" s="14" t="n">
        <v>36767.5</v>
      </c>
      <c r="E566" s="14" t="n">
        <v>38171.5</v>
      </c>
      <c r="F566" s="14" t="n">
        <v>1404</v>
      </c>
      <c r="G566" s="14" t="n">
        <v>4540.5</v>
      </c>
      <c r="H566" s="13" t="inlineStr">
        <is>
          <t>Car#564</t>
        </is>
      </c>
      <c r="I566" s="14">
        <f>E566-E565</f>
        <v/>
      </c>
      <c r="J566" s="14">
        <f>I566-58</f>
        <v/>
      </c>
      <c r="K566" s="14">
        <f>MAX(0,J566)</f>
        <v/>
      </c>
      <c r="L566" s="14">
        <f>MAX(0,-J566)</f>
        <v/>
      </c>
      <c r="M566" s="14">
        <f>M565+I566</f>
        <v/>
      </c>
      <c r="N566" s="14">
        <f>D566+F566-E566</f>
        <v/>
      </c>
      <c r="O566" s="13" t="inlineStr">
        <is>
          <t>能力满足</t>
        </is>
      </c>
      <c r="P566" s="13" t="inlineStr">
        <is>
          <t>ST1 引取(开:36767.5s 加:55.0s 等前:3997.5s 等后:32.5s) | ST2 集约(开:36855.0s 加:106.0s 等前:0.0s 等后:9.0s) | ST3 空气悬挂+快充(开:36970.0s 加:0.0s 等前:0.0s 等后:120.5s) | ST4 四轮定位上、下(开:37090.5s 加:115.0s 等前:0.0s 等后:0.0s) | ST5 ADAS(开:37205.5s 加:97.0s 等前:0.0s 等后:41.0s) | ST6 ARHUD+慢充(开:37343.5s 加:0.0s 等前:0.0s 等后:114.5s) | ST7 转毂(开:37458.0s 加:116.0s 等前:0.0s 等后:0.0s) | ST8 制动(开:37574.0s 加:108.0s 等前:0.0s 等后:2.5s) | ST9 EG漏液/底盘漏液(开:37684.5s 加:115.0s 等前:0.0s 等后:0.0s) | ST10 全景/空调检查(开:37799.5s 加:98.0s 等前:0.0s 等后:0.0s) | ST11 气囊安装+绝缘(开:37897.5s 加:0.0s 等前:0.0s 等后:0.0s) | ST12 L2++(开:37897.5s 加:0.0s 等前:0.0s 等后:75.5s) | ST13 电检1(开:37973.0s 加:0.0s 等前:0.0s 等后:97.5s) | ST14 电检2(开:38070.5s 加:0.0s 等前:0.0s 等后:50.0s) | ST15 小跑道(开:38120.5s 加:51.0s 等前:0.0s 等后:0.0s)</t>
        </is>
      </c>
    </row>
    <row r="567">
      <c r="A567" s="15" t="n">
        <v>566</v>
      </c>
      <c r="B567" s="15" t="inlineStr">
        <is>
          <t>Car#565</t>
        </is>
      </c>
      <c r="C567" s="15" t="inlineStr">
        <is>
          <t>C</t>
        </is>
      </c>
      <c r="D567" s="16" t="n">
        <v>36711.5</v>
      </c>
      <c r="E567" s="16" t="n">
        <v>38221.5</v>
      </c>
      <c r="F567" s="16" t="n">
        <v>1510</v>
      </c>
      <c r="G567" s="16" t="n">
        <v>4086</v>
      </c>
      <c r="H567" s="15" t="inlineStr">
        <is>
          <t>Car#566</t>
        </is>
      </c>
      <c r="I567" s="16">
        <f>E567-E566</f>
        <v/>
      </c>
      <c r="J567" s="16">
        <f>I567-58</f>
        <v/>
      </c>
      <c r="K567" s="16">
        <f>MAX(0,J567)</f>
        <v/>
      </c>
      <c r="L567" s="16">
        <f>MAX(0,-J567)</f>
        <v/>
      </c>
      <c r="M567" s="16">
        <f>M566+I567</f>
        <v/>
      </c>
      <c r="N567" s="16">
        <f>D567+F567-E567</f>
        <v/>
      </c>
      <c r="O567" s="15" t="inlineStr">
        <is>
          <t>能力超目标：四轮定位上、下、ARHUD+慢充</t>
        </is>
      </c>
      <c r="P567" s="15" t="inlineStr">
        <is>
          <t>ST1 引取(开:36711.5s 加:56.0s 等前:3999.5s 等后:0.0s) | ST2 集约(开:36767.5s 加:111.0s 等前:0.0s 等后:0.0s) | ST3 空气悬挂+快充(开:36878.5s 加:108.5s 等前:0.0s 等后:0.0s) | ST4 四轮定位上、下(开:36987.0s 加:120.5s 等前:0.0s 等后:0.0s) | ST5 ADAS(开:37107.5s 加:107.0s 等前:0.0s 等后:6.0s) | ST6 ARHUD+慢充(开:37220.5s 加:143.5s 等前:0.0s 等后:0.0s) | ST7 转毂(开:37364.0s 加:114.5s 等前:0.0s 等后:0.0s) | ST8 制动(开:37478.5s 加:114.0s 等前:0.0s 等后:0.0s) | ST9 EG漏液/底盘漏液(开:37592.5s 加:112.5s 等前:0.0s 等后:0.0s) | ST10 全景/空调检查(开:37705.0s 加:0.0s 等前:0.0s 等后:0.0s) | ST11 气囊安装+绝缘(开:37705.0s 加:116.0s 等前:0.0s 等后:0.0s) | ST12 L2++(开:37821.0s 加:88.0s 等前:0.0s 等后:4.5s) | ST13 电检1(开:37913.5s 加:84.5s 等前:0.0s 等后:13.0s) | ST14 电检2(开:38011.0s 加:97.5s 等前:0.0s 等后:63.0s) | ST15 小跑道(开:38171.5s 加:50.0s 等前:0.0s 等后:0.0s)</t>
        </is>
      </c>
    </row>
    <row r="568">
      <c r="A568" s="13" t="n">
        <v>567</v>
      </c>
      <c r="B568" s="13" t="inlineStr">
        <is>
          <t>Car#567</t>
        </is>
      </c>
      <c r="C568" s="13" t="inlineStr">
        <is>
          <t>A</t>
        </is>
      </c>
      <c r="D568" s="14" t="n">
        <v>36855</v>
      </c>
      <c r="E568" s="14" t="n">
        <v>38272.5</v>
      </c>
      <c r="F568" s="14" t="n">
        <v>1417.5</v>
      </c>
      <c r="G568" s="14" t="n">
        <v>4583.5</v>
      </c>
      <c r="H568" s="13" t="inlineStr">
        <is>
          <t>Car#565</t>
        </is>
      </c>
      <c r="I568" s="14">
        <f>E568-E567</f>
        <v/>
      </c>
      <c r="J568" s="14">
        <f>I568-58</f>
        <v/>
      </c>
      <c r="K568" s="14">
        <f>MAX(0,J568)</f>
        <v/>
      </c>
      <c r="L568" s="14">
        <f>MAX(0,-J568)</f>
        <v/>
      </c>
      <c r="M568" s="14">
        <f>M567+I568</f>
        <v/>
      </c>
      <c r="N568" s="14">
        <f>D568+F568-E568</f>
        <v/>
      </c>
      <c r="O568" s="13" t="inlineStr">
        <is>
          <t>能力满足</t>
        </is>
      </c>
      <c r="P568" s="13" t="inlineStr">
        <is>
          <t>ST1 引取(开:36855.0s 加:55.0s 等前:4027.0s 等后:0.0s) | ST2 集约(开:36910.0s 加:106.0s 等前:0.0s 等后:0.0s) | ST3 空气悬挂+快充(开:37016.0s 加:0.0s 等前:0.0s 等后:91.5s) | ST4 四轮定位上、下(开:37107.5s 加:115.0s 等前:0.0s 等后:0.0s) | ST5 ADAS(开:37222.5s 加:97.0s 等前:0.0s 等后:44.5s) | ST6 ARHUD+慢充(开:37364.0s 加:0.0s 等前:0.0s 等后:114.5s) | ST7 转毂(开:37478.5s 加:116.0s 等前:0.0s 等后:0.0s) | ST8 制动(开:37594.5s 加:108.0s 等前:0.0s 等后:2.5s) | ST9 EG漏液/底盘漏液(开:37705.0s 加:115.0s 等前:0.0s 等后:0.0s) | ST10 全景/空调检查(开:37820.0s 加:98.0s 等前:0.0s 等后:0.0s) | ST11 气囊安装+绝缘(开:37918.0s 加:0.0s 等前:0.0s 等后:0.0s) | ST12 L2++(开:37918.0s 加:0.0s 等前:0.0s 等后:93.0s) | ST13 电检1(开:38011.0s 加:0.0s 等前:0.0s 等后:160.5s) | ST14 电检2(开:38171.5s 加:0.0s 等前:0.0s 等后:50.0s) | ST15 小跑道(开:38221.5s 加:51.0s 等前:0.0s 等后:0.0s)</t>
        </is>
      </c>
    </row>
    <row r="569">
      <c r="A569" s="15" t="n">
        <v>568</v>
      </c>
      <c r="B569" s="15" t="inlineStr">
        <is>
          <t>Car#568</t>
        </is>
      </c>
      <c r="C569" s="15" t="inlineStr">
        <is>
          <t>C</t>
        </is>
      </c>
      <c r="D569" s="16" t="n">
        <v>36910</v>
      </c>
      <c r="E569" s="16" t="n">
        <v>38378.5</v>
      </c>
      <c r="F569" s="16" t="n">
        <v>1468.5</v>
      </c>
      <c r="G569" s="16" t="n">
        <v>4069</v>
      </c>
      <c r="H569" s="15" t="inlineStr">
        <is>
          <t>Car#567</t>
        </is>
      </c>
      <c r="I569" s="16">
        <f>E569-E568</f>
        <v/>
      </c>
      <c r="J569" s="16">
        <f>I569-58</f>
        <v/>
      </c>
      <c r="K569" s="16">
        <f>MAX(0,J569)</f>
        <v/>
      </c>
      <c r="L569" s="16">
        <f>MAX(0,-J569)</f>
        <v/>
      </c>
      <c r="M569" s="16">
        <f>M568+I569</f>
        <v/>
      </c>
      <c r="N569" s="16">
        <f>D569+F569-E569</f>
        <v/>
      </c>
      <c r="O569" s="15" t="inlineStr">
        <is>
          <t>能力超目标：四轮定位上、下、ARHUD+慢充</t>
        </is>
      </c>
      <c r="P569" s="15" t="inlineStr">
        <is>
          <t>ST1 引取(开:36910.0s 加:56.0s 等前:4024.0s 等后:4.0s) | ST2 集约(开:36970.0s 加:111.0s 等前:0.0s 等后:9.5s) | ST3 空气悬挂+快充(开:37090.5s 加:108.5s 等前:0.0s 等后:6.5s) | ST4 四轮定位上、下(开:37205.5s 加:120.5s 等前:0.0s 等后:17.5s) | ST5 ADAS(开:37343.5s 加:107.0s 等前:0.0s 等后:7.5s) | ST6 ARHUD+慢充(开:37458.0s 加:143.5s 等前:0.0s 等后:0.0s) | ST7 转毂(开:37601.5s 加:114.5s 等前:0.0s 等后:0.0s) | ST8 制动(开:37716.0s 加:114.0s 等前:0.0s 等后:0.0s) | ST9 EG漏液/底盘漏液(开:37830.0s 加:112.5s 等前:0.0s 等后:0.0s) | ST10 全景/空调检查(开:37942.5s 加:0.0s 等前:0.0s 等后:0.0s) | ST11 气囊安装+绝缘(开:37942.5s 加:116.0s 等前:0.0s 等后:0.0s) | ST12 L2++(开:38058.5s 加:88.0s 等前:0.0s 等后:0.0s) | ST13 电检1(开:38146.5s 加:84.5s 等前:0.0s 等后:0.0s) | ST14 电检2(开:38231.0s 加:97.5s 等前:0.0s 等后:0.0s) | ST15 小跑道(开:38328.5s 加:50.0s 等前:0.0s 等后:0.0s)</t>
        </is>
      </c>
    </row>
    <row r="570">
      <c r="A570" s="13" t="n">
        <v>569</v>
      </c>
      <c r="B570" s="13" t="inlineStr">
        <is>
          <t>Car#569</t>
        </is>
      </c>
      <c r="C570" s="13" t="inlineStr">
        <is>
          <t>C</t>
        </is>
      </c>
      <c r="D570" s="14" t="n">
        <v>36970</v>
      </c>
      <c r="E570" s="14" t="n">
        <v>38428.5</v>
      </c>
      <c r="F570" s="14" t="n">
        <v>1458.5</v>
      </c>
      <c r="G570" s="14" t="n">
        <v>4061</v>
      </c>
      <c r="H570" s="13" t="inlineStr">
        <is>
          <t>Car#568</t>
        </is>
      </c>
      <c r="I570" s="14">
        <f>E570-E569</f>
        <v/>
      </c>
      <c r="J570" s="14">
        <f>I570-58</f>
        <v/>
      </c>
      <c r="K570" s="14">
        <f>MAX(0,J570)</f>
        <v/>
      </c>
      <c r="L570" s="14">
        <f>MAX(0,-J570)</f>
        <v/>
      </c>
      <c r="M570" s="14">
        <f>M569+I570</f>
        <v/>
      </c>
      <c r="N570" s="14">
        <f>D570+F570-E570</f>
        <v/>
      </c>
      <c r="O570" s="13" t="inlineStr">
        <is>
          <t>能力超目标：四轮定位上、下、ARHUD+慢充</t>
        </is>
      </c>
      <c r="P570" s="13" t="inlineStr">
        <is>
          <t>ST1 引取(开:36970.0s 加:56.0s 等前:4026.0s 等后:0.0s) | ST2 集约(开:37026.0s 加:111.0s 等前:0.0s 等后:0.0s) | ST3 空气悬挂+快充(开:37137.0s 加:108.5s 等前:0.0s 等后:0.0s) | ST4 四轮定位上、下(开:37245.5s 加:120.5s 等前:0.0s 等后:0.0s) | ST5 ADAS(开:37366.0s 加:107.0s 等前:0.0s 等后:5.5s) | ST6 ARHUD+慢充(开:37478.5s 加:143.5s 等前:0.0s 等后:0.0s) | ST7 转毂(开:37622.0s 加:114.5s 等前:0.0s 等后:0.0s) | ST8 制动(开:37736.5s 加:114.0s 等前:0.0s 等后:0.0s) | ST9 EG漏液/底盘漏液(开:37850.5s 加:112.5s 等前:0.0s 等后:0.0s) | ST10 全景/空调检查(开:37963.0s 加:0.0s 等前:0.0s 等后:0.0s) | ST11 气囊安装+绝缘(开:37963.0s 加:116.0s 等前:0.0s 等后:0.0s) | ST12 L2++(开:38079.0s 加:88.0s 等前:0.0s 等后:4.5s) | ST13 电检1(开:38171.5s 加:84.5s 等前:0.0s 等后:0.0s) | ST14 电检2(开:38256.0s 加:97.5s 等前:0.0s 等后:25.0s) | ST15 小跑道(开:38378.5s 加:50.0s 等前:0.0s 等后:0.0s)</t>
        </is>
      </c>
    </row>
    <row r="571">
      <c r="A571" s="15" t="n">
        <v>570</v>
      </c>
      <c r="B571" s="15" t="inlineStr">
        <is>
          <t>Car#570</t>
        </is>
      </c>
      <c r="C571" s="15" t="inlineStr">
        <is>
          <t>C</t>
        </is>
      </c>
      <c r="D571" s="16" t="n">
        <v>37026</v>
      </c>
      <c r="E571" s="16" t="n">
        <v>38522</v>
      </c>
      <c r="F571" s="16" t="n">
        <v>1496</v>
      </c>
      <c r="G571" s="16" t="n">
        <v>4096.5</v>
      </c>
      <c r="H571" s="15" t="inlineStr">
        <is>
          <t>Car#569</t>
        </is>
      </c>
      <c r="I571" s="16">
        <f>E571-E570</f>
        <v/>
      </c>
      <c r="J571" s="16">
        <f>I571-58</f>
        <v/>
      </c>
      <c r="K571" s="16">
        <f>MAX(0,J571)</f>
        <v/>
      </c>
      <c r="L571" s="16">
        <f>MAX(0,-J571)</f>
        <v/>
      </c>
      <c r="M571" s="16">
        <f>M570+I571</f>
        <v/>
      </c>
      <c r="N571" s="16">
        <f>D571+F571-E571</f>
        <v/>
      </c>
      <c r="O571" s="15" t="inlineStr">
        <is>
          <t>能力超目标：四轮定位上、下、ARHUD+慢充</t>
        </is>
      </c>
      <c r="P571" s="15" t="inlineStr">
        <is>
          <t>ST1 引取(开:37026.0s 加:56.0s 等前:4024.0s 等后:8.5s) | ST2 集约(开:37090.5s 加:111.0s 等前:0.0s 等后:4.0s) | ST3 空气悬挂+快充(开:37205.5s 加:108.5s 等前:0.0s 等后:29.5s) | ST4 四轮定位上、下(开:37343.5s 加:120.5s 等前:0.0s 等后:0.0s) | ST5 ADAS(开:37464.0s 加:107.0s 等前:0.0s 等后:30.5s) | ST6 ARHUD+慢充(开:37601.5s 加:143.5s 等前:0.0s 等后:0.0s) | ST7 转毂(开:37745.0s 加:114.5s 等前:0.0s 等后:0.0s) | ST8 制动(开:37859.5s 加:114.0s 等前:0.0s 等后:0.0s) | ST9 EG漏液/底盘漏液(开:37973.5s 加:112.5s 等前:0.0s 等后:0.0s) | ST10 全景/空调检查(开:38086.0s 加:0.0s 等前:0.0s 等后:0.0s) | ST11 气囊安装+绝缘(开:38086.0s 加:116.0s 等前:0.0s 等后:0.0s) | ST12 L2++(开:38202.0s 加:88.0s 等前:0.0s 等后:0.0s) | ST13 电检1(开:38290.0s 加:84.5s 等前:0.0s 等后:0.0s) | ST14 电检2(开:38374.5s 加:97.5s 等前:0.0s 等后:0.0s) | ST15 小跑道(开:38472.0s 加:50.0s 等前:0.0s 等后:0.0s)</t>
        </is>
      </c>
    </row>
    <row r="572">
      <c r="A572" s="13" t="n">
        <v>571</v>
      </c>
      <c r="B572" s="13" t="inlineStr">
        <is>
          <t>Car#571</t>
        </is>
      </c>
      <c r="C572" s="13" t="inlineStr">
        <is>
          <t>B</t>
        </is>
      </c>
      <c r="D572" s="14" t="n">
        <v>37090.5</v>
      </c>
      <c r="E572" s="14" t="n">
        <v>38572</v>
      </c>
      <c r="F572" s="14" t="n">
        <v>1481.5</v>
      </c>
      <c r="G572" s="14" t="n">
        <v>4180.5</v>
      </c>
      <c r="H572" s="13" t="inlineStr">
        <is>
          <t>Car#570</t>
        </is>
      </c>
      <c r="I572" s="14">
        <f>E572-E571</f>
        <v/>
      </c>
      <c r="J572" s="14">
        <f>I572-58</f>
        <v/>
      </c>
      <c r="K572" s="14">
        <f>MAX(0,J572)</f>
        <v/>
      </c>
      <c r="L572" s="14">
        <f>MAX(0,-J572)</f>
        <v/>
      </c>
      <c r="M572" s="14">
        <f>M571+I572</f>
        <v/>
      </c>
      <c r="N572" s="14">
        <f>D572+F572-E572</f>
        <v/>
      </c>
      <c r="O572" s="13" t="inlineStr">
        <is>
          <t>能力超目标：四轮定位上、下</t>
        </is>
      </c>
      <c r="P572" s="13" t="inlineStr">
        <is>
          <t>ST1 引取(开:37090.5s 加:56.0s 等前:4030.5s 等后:0.0s) | ST2 集约(开:37146.5s 加:111.0s 等前:0.0s 等后:0.0s) | ST3 空气悬挂+快充(开:37257.5s 加:108.5s 等前:0.0s 等后:0.0s) | ST4 四轮定位上、下(开:37366.0s 加:120.5s 等前:0.0s 等后:0.0s) | ST5 ADAS(开:37486.5s 加:107.0s 等前:0.0s 等后:28.5s) | ST6 ARHUD+慢充(开:37622.0s 加:51.5s 等前:0.0s 等后:63.0s) | ST7 转毂(开:37736.5s 加:114.5s 等前:0.0s 等后:0.0s) | ST8 制动(开:37851.0s 加:114.0s 等前:0.0s 等后:0.0s) | ST9 EG漏液/底盘漏液(开:37965.0s 加:112.5s 等前:0.0s 等后:0.0s) | ST10 全景/空调检查(开:38077.5s 加:0.0s 等前:0.0s 等后:1.5s) | ST11 气囊安装+绝缘(开:38079.0s 加:116.0s 等前:0.0s 等后:0.0s) | ST12 L2++(开:38195.0s 加:88.0s 等前:0.0s 等后:0.0s) | ST13 电检1(开:38283.0s 加:84.5s 等前:0.0s 等后:11.0s) | ST14 电检2(开:38378.5s 加:97.5s 等前:0.0s 等后:46.0s) | ST15 小跑道(开:38522.0s 加:50.0s 等前:0.0s 等后:0.0s)</t>
        </is>
      </c>
    </row>
    <row r="573">
      <c r="A573" s="15" t="n">
        <v>572</v>
      </c>
      <c r="B573" s="15" t="inlineStr">
        <is>
          <t>Car#572</t>
        </is>
      </c>
      <c r="C573" s="15" t="inlineStr">
        <is>
          <t>B</t>
        </is>
      </c>
      <c r="D573" s="16" t="n">
        <v>37146.5</v>
      </c>
      <c r="E573" s="16" t="n">
        <v>38638</v>
      </c>
      <c r="F573" s="16" t="n">
        <v>1491.5</v>
      </c>
      <c r="G573" s="16" t="n">
        <v>4188.5</v>
      </c>
      <c r="H573" s="15" t="inlineStr">
        <is>
          <t>Car#571</t>
        </is>
      </c>
      <c r="I573" s="16">
        <f>E573-E572</f>
        <v/>
      </c>
      <c r="J573" s="16">
        <f>I573-58</f>
        <v/>
      </c>
      <c r="K573" s="16">
        <f>MAX(0,J573)</f>
        <v/>
      </c>
      <c r="L573" s="16">
        <f>MAX(0,-J573)</f>
        <v/>
      </c>
      <c r="M573" s="16">
        <f>M572+I573</f>
        <v/>
      </c>
      <c r="N573" s="16">
        <f>D573+F573-E573</f>
        <v/>
      </c>
      <c r="O573" s="15" t="inlineStr">
        <is>
          <t>能力超目标：四轮定位上、下</t>
        </is>
      </c>
      <c r="P573" s="15" t="inlineStr">
        <is>
          <t>ST1 引取(开:37146.5s 加:56.0s 等前:4028.5s 等后:3.0s) | ST2 集约(开:37205.5s 加:111.0s 等前:0.0s 等后:27.0s) | ST3 空气悬挂+快充(开:37343.5s 加:108.5s 等前:0.0s 等后:12.0s) | ST4 四轮定位上、下(开:37464.0s 加:120.5s 等前:0.0s 等后:17.0s) | ST5 ADAS(开:37601.5s 加:107.0s 等前:0.0s 等后:36.5s) | ST6 ARHUD+慢充(开:37745.0s 加:51.5s 等前:0.0s 等后:63.0s) | ST7 转毂(开:37859.5s 加:114.5s 等前:0.0s 等后:0.0s) | ST8 制动(开:37974.0s 加:114.0s 等前:0.0s 等后:0.0s) | ST9 EG漏液/底盘漏液(开:38088.0s 加:112.5s 等前:0.0s 等后:0.0s) | ST10 全景/空调检查(开:38200.5s 加:0.0s 等前:0.0s 等后:1.5s) | ST11 气囊安装+绝缘(开:38202.0s 加:116.0s 等前:0.0s 等后:0.0s) | ST12 L2++(开:38318.0s 加:88.0s 等前:0.0s 等后:0.0s) | ST13 电检1(开:38406.0s 加:84.5s 等前:0.0s 等后:0.0s) | ST14 电检2(开:38490.5s 加:97.5s 等前:0.0s 等后:0.0s) | ST15 小跑道(开:38588.0s 加:50.0s 等前:0.0s 等后:0.0s)</t>
        </is>
      </c>
    </row>
    <row r="574">
      <c r="A574" s="13" t="n">
        <v>573</v>
      </c>
      <c r="B574" s="13" t="inlineStr">
        <is>
          <t>Car#573</t>
        </is>
      </c>
      <c r="C574" s="13" t="inlineStr">
        <is>
          <t>B</t>
        </is>
      </c>
      <c r="D574" s="14" t="n">
        <v>37205.5</v>
      </c>
      <c r="E574" s="14" t="n">
        <v>38688</v>
      </c>
      <c r="F574" s="14" t="n">
        <v>1482.5</v>
      </c>
      <c r="G574" s="14" t="n">
        <v>4180.5</v>
      </c>
      <c r="H574" s="13" t="inlineStr">
        <is>
          <t>Car#572</t>
        </is>
      </c>
      <c r="I574" s="14">
        <f>E574-E573</f>
        <v/>
      </c>
      <c r="J574" s="14">
        <f>I574-58</f>
        <v/>
      </c>
      <c r="K574" s="14">
        <f>MAX(0,J574)</f>
        <v/>
      </c>
      <c r="L574" s="14">
        <f>MAX(0,-J574)</f>
        <v/>
      </c>
      <c r="M574" s="14">
        <f>M573+I574</f>
        <v/>
      </c>
      <c r="N574" s="14">
        <f>D574+F574-E574</f>
        <v/>
      </c>
      <c r="O574" s="13" t="inlineStr">
        <is>
          <t>能力超目标：四轮定位上、下</t>
        </is>
      </c>
      <c r="P574" s="13" t="inlineStr">
        <is>
          <t>ST1 引取(开:37205.5s 加:56.0s 等前:4029.5s 等后:0.0s) | ST2 集约(开:37261.5s 加:111.0s 等前:0.0s 等后:0.0s) | ST3 空气悬挂+快充(开:37372.5s 加:108.5s 等前:0.0s 等后:5.5s) | ST4 四轮定位上、下(开:37486.5s 加:120.5s 等前:0.0s 等后:15.0s) | ST5 ADAS(开:37622.0s 加:107.0s 等前:0.0s 等后:7.5s) | ST6 ARHUD+慢充(开:37736.5s 加:51.5s 等前:0.0s 等后:63.0s) | ST7 转毂(开:37851.0s 加:114.5s 等前:0.0s 等后:0.0s) | ST8 制动(开:37965.5s 加:114.0s 等前:0.0s 等后:0.0s) | ST9 EG漏液/底盘漏液(开:38079.5s 加:112.5s 等前:0.0s 等后:0.0s) | ST10 全景/空调检查(开:38192.0s 加:0.0s 等前:0.0s 等后:3.0s) | ST11 气囊安装+绝缘(开:38195.0s 加:116.0s 等前:0.0s 等后:0.0s) | ST12 L2++(开:38311.0s 加:88.0s 等前:0.0s 等后:0.0s) | ST13 电检1(开:38399.0s 加:84.5s 等前:0.0s 等后:38.5s) | ST14 电检2(开:38522.0s 加:97.5s 等前:0.0s 等后:18.5s) | ST15 小跑道(开:38638.0s 加:50.0s 等前:0.0s 等后:0.0s)</t>
        </is>
      </c>
    </row>
    <row r="575">
      <c r="A575" s="15" t="n">
        <v>574</v>
      </c>
      <c r="B575" s="15" t="inlineStr">
        <is>
          <t>Car#575</t>
        </is>
      </c>
      <c r="C575" s="15" t="inlineStr">
        <is>
          <t>A</t>
        </is>
      </c>
      <c r="D575" s="16" t="n">
        <v>37343.5</v>
      </c>
      <c r="E575" s="16" t="n">
        <v>38739</v>
      </c>
      <c r="F575" s="16" t="n">
        <v>1395.5</v>
      </c>
      <c r="G575" s="16" t="n">
        <v>4586</v>
      </c>
      <c r="H575" s="15" t="inlineStr">
        <is>
          <t>Car#573</t>
        </is>
      </c>
      <c r="I575" s="16">
        <f>E575-E574</f>
        <v/>
      </c>
      <c r="J575" s="16">
        <f>I575-58</f>
        <v/>
      </c>
      <c r="K575" s="16">
        <f>MAX(0,J575)</f>
        <v/>
      </c>
      <c r="L575" s="16">
        <f>MAX(0,-J575)</f>
        <v/>
      </c>
      <c r="M575" s="16">
        <f>M574+I575</f>
        <v/>
      </c>
      <c r="N575" s="16">
        <f>D575+F575-E575</f>
        <v/>
      </c>
      <c r="O575" s="15" t="inlineStr">
        <is>
          <t>能力满足</t>
        </is>
      </c>
      <c r="P575" s="15" t="inlineStr">
        <is>
          <t>ST1 引取(开:37343.5s 加:55.0s 等前:4051.5s 等后:0.0s) | ST2 集约(开:37398.5s 加:106.0s 等前:0.0s 等后:0.0s) | ST3 空气悬挂+快充(开:37504.5s 加:0.0s 等前:0.0s 等后:117.5s) | ST4 四轮定位上、下(开:37622.0s 加:115.0s 等前:0.0s 等后:0.0s) | ST5 ADAS(开:37737.0s 加:97.0s 等前:0.0s 等后:17.0s) | ST6 ARHUD+慢充(开:37851.0s 加:0.0s 等前:0.0s 等后:114.5s) | ST7 转毂(开:37965.5s 加:116.0s 等前:0.0s 等后:0.0s) | ST8 制动(开:38081.5s 加:108.0s 等前:0.0s 等后:2.5s) | ST9 EG漏液/底盘漏液(开:38192.0s 加:115.0s 等前:0.0s 等后:0.0s) | ST10 全景/空调检查(开:38307.0s 加:98.0s 等前:0.0s 等后:0.0s) | ST11 气囊安装+绝缘(开:38405.0s 加:0.0s 等前:0.0s 等后:0.0s) | ST12 L2++(开:38405.0s 加:0.0s 等前:0.0s 等后:117.0s) | ST13 电检1(开:38522.0s 加:0.0s 等前:0.0s 等后:116.0s) | ST14 电检2(开:38638.0s 加:0.0s 等前:0.0s 等后:50.0s) | ST15 小跑道(开:38688.0s 加:51.0s 等前:0.0s 等后:0.0s)</t>
        </is>
      </c>
    </row>
    <row r="576">
      <c r="A576" s="13" t="n">
        <v>575</v>
      </c>
      <c r="B576" s="13" t="inlineStr">
        <is>
          <t>Car#574</t>
        </is>
      </c>
      <c r="C576" s="13" t="inlineStr">
        <is>
          <t>C</t>
        </is>
      </c>
      <c r="D576" s="14" t="n">
        <v>37261.5</v>
      </c>
      <c r="E576" s="14" t="n">
        <v>38789</v>
      </c>
      <c r="F576" s="14" t="n">
        <v>1527.5</v>
      </c>
      <c r="G576" s="14" t="n">
        <v>4131.5</v>
      </c>
      <c r="H576" s="13" t="inlineStr">
        <is>
          <t>Car#575</t>
        </is>
      </c>
      <c r="I576" s="14">
        <f>E576-E575</f>
        <v/>
      </c>
      <c r="J576" s="14">
        <f>I576-58</f>
        <v/>
      </c>
      <c r="K576" s="14">
        <f>MAX(0,J576)</f>
        <v/>
      </c>
      <c r="L576" s="14">
        <f>MAX(0,-J576)</f>
        <v/>
      </c>
      <c r="M576" s="14">
        <f>M575+I576</f>
        <v/>
      </c>
      <c r="N576" s="14">
        <f>D576+F576-E576</f>
        <v/>
      </c>
      <c r="O576" s="13" t="inlineStr">
        <is>
          <t>能力超目标：四轮定位上、下、ARHUD+慢充</t>
        </is>
      </c>
      <c r="P576" s="13" t="inlineStr">
        <is>
          <t>ST1 引取(开:37261.5s 加:56.0s 等前:4027.5s 等后:26.0s) | ST2 集约(开:37343.5s 加:111.0s 等前:0.0s 等后:9.5s) | ST3 空气悬挂+快充(开:37464.0s 加:108.5s 等前:0.0s 等后:29.0s) | ST4 四轮定位上、下(开:37601.5s 加:120.5s 等前:0.0s 等后:23.0s) | ST5 ADAS(开:37745.0s 加:107.0s 等前:0.0s 等后:7.5s) | ST6 ARHUD+慢充(开:37859.5s 加:143.5s 等前:0.0s 等后:0.0s) | ST7 转毂(开:38003.0s 加:114.5s 等前:0.0s 等后:0.0s) | ST8 制动(开:38117.5s 加:114.0s 等前:0.0s 等后:0.0s) | ST9 EG漏液/底盘漏液(开:38231.5s 加:112.5s 等前:0.0s 等后:0.0s) | ST10 全景/空调检查(开:38344.0s 加:0.0s 等前:0.0s 等后:0.0s) | ST11 气囊安装+绝缘(开:38344.0s 加:116.0s 等前:0.0s 等后:0.0s) | ST12 L2++(开:38460.0s 加:88.0s 等前:0.0s 等后:0.0s) | ST13 电检1(开:38548.0s 加:84.5s 等前:0.0s 等后:0.0s) | ST14 电检2(开:38632.5s 加:97.5s 等前:0.0s 等后:9.0s) | ST15 小跑道(开:38739.0s 加:50.0s 等前:0.0s 等后:0.0s)</t>
        </is>
      </c>
    </row>
    <row r="577">
      <c r="A577" s="15" t="n">
        <v>576</v>
      </c>
      <c r="B577" s="15" t="inlineStr">
        <is>
          <t>Car#576</t>
        </is>
      </c>
      <c r="C577" s="15" t="inlineStr">
        <is>
          <t>A</t>
        </is>
      </c>
      <c r="D577" s="16" t="n">
        <v>37398.5</v>
      </c>
      <c r="E577" s="16" t="n">
        <v>38840</v>
      </c>
      <c r="F577" s="16" t="n">
        <v>1441.5</v>
      </c>
      <c r="G577" s="16" t="n">
        <v>4629</v>
      </c>
      <c r="H577" s="15" t="inlineStr">
        <is>
          <t>Car#574</t>
        </is>
      </c>
      <c r="I577" s="16">
        <f>E577-E576</f>
        <v/>
      </c>
      <c r="J577" s="16">
        <f>I577-58</f>
        <v/>
      </c>
      <c r="K577" s="16">
        <f>MAX(0,J577)</f>
        <v/>
      </c>
      <c r="L577" s="16">
        <f>MAX(0,-J577)</f>
        <v/>
      </c>
      <c r="M577" s="16">
        <f>M576+I577</f>
        <v/>
      </c>
      <c r="N577" s="16">
        <f>D577+F577-E577</f>
        <v/>
      </c>
      <c r="O577" s="15" t="inlineStr">
        <is>
          <t>能力满足</t>
        </is>
      </c>
      <c r="P577" s="15" t="inlineStr">
        <is>
          <t>ST1 引取(开:37398.5s 加:55.0s 等前:4048.5s 等后:10.5s) | ST2 集约(开:37464.0s 加:106.0s 等前:0.0s 等后:31.5s) | ST3 空气悬挂+快充(开:37601.5s 加:0.0s 等前:0.0s 等后:143.5s) | ST4 四轮定位上、下(开:37745.0s 加:115.0s 等前:0.0s 等后:0.0s) | ST5 ADAS(开:37860.0s 加:97.0s 等前:0.0s 等后:46.0s) | ST6 ARHUD+慢充(开:38003.0s 加:0.0s 等前:0.0s 等后:114.5s) | ST7 转毂(开:38117.5s 加:116.0s 等前:0.0s 等后:0.0s) | ST8 制动(开:38233.5s 加:108.0s 等前:0.0s 等后:2.5s) | ST9 EG漏液/底盘漏液(开:38344.0s 加:115.0s 等前:0.0s 等后:0.0s) | ST10 全景/空调检查(开:38459.0s 加:98.0s 等前:0.0s 等后:0.0s) | ST11 气囊安装+绝缘(开:38557.0s 加:0.0s 等前:0.0s 等后:0.0s) | ST12 L2++(开:38557.0s 加:0.0s 等前:0.0s 等后:75.5s) | ST13 电检1(开:38632.5s 加:0.0s 等前:0.0s 等后:106.5s) | ST14 电检2(开:38739.0s 加:0.0s 等前:0.0s 等后:50.0s) | ST15 小跑道(开:38789.0s 加:51.0s 等前:0.0s 等后:0.0s)</t>
        </is>
      </c>
    </row>
    <row r="578">
      <c r="A578" s="13" t="n">
        <v>577</v>
      </c>
      <c r="B578" s="13" t="inlineStr">
        <is>
          <t>Car#577</t>
        </is>
      </c>
      <c r="C578" s="13" t="inlineStr">
        <is>
          <t>C</t>
        </is>
      </c>
      <c r="D578" s="14" t="n">
        <v>37464</v>
      </c>
      <c r="E578" s="14" t="n">
        <v>38890</v>
      </c>
      <c r="F578" s="14" t="n">
        <v>1426</v>
      </c>
      <c r="G578" s="14" t="n">
        <v>4058.5</v>
      </c>
      <c r="H578" s="13" t="inlineStr">
        <is>
          <t>Car#576</t>
        </is>
      </c>
      <c r="I578" s="14">
        <f>E578-E577</f>
        <v/>
      </c>
      <c r="J578" s="14">
        <f>I578-58</f>
        <v/>
      </c>
      <c r="K578" s="14">
        <f>MAX(0,J578)</f>
        <v/>
      </c>
      <c r="L578" s="14">
        <f>MAX(0,-J578)</f>
        <v/>
      </c>
      <c r="M578" s="14">
        <f>M577+I578</f>
        <v/>
      </c>
      <c r="N578" s="14">
        <f>D578+F578-E578</f>
        <v/>
      </c>
      <c r="O578" s="13" t="inlineStr">
        <is>
          <t>能力超目标：四轮定位上、下、ARHUD+慢充</t>
        </is>
      </c>
      <c r="P578" s="13" t="inlineStr">
        <is>
          <t>ST1 引取(开:37464.0s 加:56.0s 等前:4056.0s 等后:0.0s) | ST2 集约(开:37520.0s 加:111.0s 等前:0.0s 等后:0.0s) | ST3 空气悬挂+快充(开:37631.0s 加:108.5s 等前:0.0s 等后:0.0s) | ST4 四轮定位上、下(开:37739.5s 加:120.5s 等前:0.0s 等后:0.0s) | ST5 ADAS(开:37860.0s 加:107.0s 等前:0.0s 等后:0.0s) | ST6 ARHUD+慢充(开:37967.0s 加:143.5s 等前:0.0s 等后:0.0s) | ST7 转毂(开:38110.5s 加:114.5s 等前:0.0s 等后:0.0s) | ST8 制动(开:38225.0s 加:114.0s 等前:0.0s 等后:0.0s) | ST9 EG漏液/底盘漏液(开:38339.0s 加:112.5s 等前:0.0s 等后:0.0s) | ST10 全景/空调检查(开:38451.5s 加:0.0s 等前:0.0s 等后:0.0s) | ST11 气囊安装+绝缘(开:38451.5s 加:116.0s 等前:0.0s 等后:0.0s) | ST12 L2++(开:38567.5s 加:88.0s 等前:0.0s 等后:0.0s) | ST13 电检1(开:38655.5s 加:84.5s 等前:0.0s 等后:0.0s) | ST14 电检2(开:38740.0s 加:97.5s 等前:0.0s 等后:2.5s) | ST15 小跑道(开:38840.0s 加:50.0s 等前:0.0s 等后:0.0s)</t>
        </is>
      </c>
    </row>
    <row r="579">
      <c r="A579" s="15" t="n">
        <v>578</v>
      </c>
      <c r="B579" s="15" t="inlineStr">
        <is>
          <t>Car#579</t>
        </is>
      </c>
      <c r="C579" s="15" t="inlineStr">
        <is>
          <t>C</t>
        </is>
      </c>
      <c r="D579" s="16" t="n">
        <v>37601.5</v>
      </c>
      <c r="E579" s="16" t="n">
        <v>39031</v>
      </c>
      <c r="F579" s="16" t="n">
        <v>1429.5</v>
      </c>
      <c r="G579" s="16" t="n">
        <v>4083.5</v>
      </c>
      <c r="H579" s="15" t="inlineStr">
        <is>
          <t>Car#577</t>
        </is>
      </c>
      <c r="I579" s="16">
        <f>E579-E578</f>
        <v/>
      </c>
      <c r="J579" s="16">
        <f>I579-58</f>
        <v/>
      </c>
      <c r="K579" s="16">
        <f>MAX(0,J579)</f>
        <v/>
      </c>
      <c r="L579" s="16">
        <f>MAX(0,-J579)</f>
        <v/>
      </c>
      <c r="M579" s="16">
        <f>M578+I579</f>
        <v/>
      </c>
      <c r="N579" s="16">
        <f>D579+F579-E579</f>
        <v/>
      </c>
      <c r="O579" s="15" t="inlineStr">
        <is>
          <t>能力超目标：四轮定位上、下、ARHUD+慢充</t>
        </is>
      </c>
      <c r="P579" s="15" t="inlineStr">
        <is>
          <t>ST1 引取(开:37601.5s 加:56.0s 等前:4077.5s 等后:0.0s) | ST2 集约(开:37657.5s 加:111.0s 等前:0.0s 等后:0.0s) | ST3 空气悬挂+快充(开:37768.5s 加:108.5s 等前:0.0s 等后:0.0s) | ST4 四轮定位上、下(开:37877.0s 加:120.5s 等前:0.0s 等后:0.0s) | ST5 ADAS(开:37997.5s 加:107.0s 等前:0.0s 等后:6.0s) | ST6 ARHUD+慢充(开:38110.5s 加:143.5s 等前:0.0s 等后:0.0s) | ST7 转毂(开:38254.0s 加:114.5s 等前:0.0s 等后:0.0s) | ST8 制动(开:38368.5s 加:114.0s 等前:0.0s 等后:0.0s) | ST9 EG漏液/底盘漏液(开:38482.5s 加:112.5s 等前:0.0s 等后:0.0s) | ST10 全景/空调检查(开:38595.0s 加:0.0s 等前:0.0s 等后:0.0s) | ST11 气囊安装+绝缘(开:38595.0s 加:116.0s 等前:0.0s 等后:0.0s) | ST12 L2++(开:38711.0s 加:88.0s 等前:0.0s 等后:0.0s) | ST13 电检1(开:38799.0s 加:84.5s 等前:0.0s 等后:0.0s) | ST14 电检2(开:38883.5s 加:97.5s 等前:0.0s 等后:0.0s) | ST15 小跑道(开:38981.0s 加:50.0s 等前:0.0s 等后:0.0s)</t>
        </is>
      </c>
    </row>
    <row r="580">
      <c r="A580" s="13" t="n">
        <v>579</v>
      </c>
      <c r="B580" s="13" t="inlineStr">
        <is>
          <t>Car#578</t>
        </is>
      </c>
      <c r="C580" s="13" t="inlineStr">
        <is>
          <t>C</t>
        </is>
      </c>
      <c r="D580" s="14" t="n">
        <v>37520</v>
      </c>
      <c r="E580" s="14" t="n">
        <v>39081</v>
      </c>
      <c r="F580" s="14" t="n">
        <v>1561</v>
      </c>
      <c r="G580" s="14" t="n">
        <v>4191.5</v>
      </c>
      <c r="H580" s="13" t="inlineStr">
        <is>
          <t>Car#579</t>
        </is>
      </c>
      <c r="I580" s="14">
        <f>E580-E579</f>
        <v/>
      </c>
      <c r="J580" s="14">
        <f>I580-58</f>
        <v/>
      </c>
      <c r="K580" s="14">
        <f>MAX(0,J580)</f>
        <v/>
      </c>
      <c r="L580" s="14">
        <f>MAX(0,-J580)</f>
        <v/>
      </c>
      <c r="M580" s="14">
        <f>M579+I580</f>
        <v/>
      </c>
      <c r="N580" s="14">
        <f>D580+F580-E580</f>
        <v/>
      </c>
      <c r="O580" s="13" t="inlineStr">
        <is>
          <t>能力超目标：四轮定位上、下、ARHUD+慢充</t>
        </is>
      </c>
      <c r="P580" s="13" t="inlineStr">
        <is>
          <t>ST1 引取(开:37520.0s 加:56.0s 等前:4054.0s 等后:25.5s) | ST2 集约(开:37601.5s 加:111.0s 等前:0.0s 等后:32.5s) | ST3 空气悬挂+快充(开:37745.0s 加:108.5s 等前:0.0s 等后:6.5s) | ST4 四轮定位上、下(开:37860.0s 加:120.5s 等前:0.0s 等后:22.5s) | ST5 ADAS(开:38003.0s 加:107.0s 等前:0.0s 等后:7.5s) | ST6 ARHUD+慢充(开:38117.5s 加:143.5s 等前:0.0s 等后:0.0s) | ST7 转毂(开:38261.0s 加:114.5s 等前:0.0s 等后:0.0s) | ST8 制动(开:38375.5s 加:114.0s 等前:0.0s 等后:0.0s) | ST9 EG漏液/底盘漏液(开:38489.5s 加:112.5s 等前:0.0s 等后:0.0s) | ST10 全景/空调检查(开:38602.0s 加:0.0s 等前:0.0s 等后:0.0s) | ST11 气囊安装+绝缘(开:38602.0s 加:116.0s 等前:0.0s 等后:0.0s) | ST12 L2++(开:38718.0s 加:88.0s 等前:0.0s 等后:0.0s) | ST13 电检1(开:38806.0s 加:84.5s 等前:0.0s 等后:0.0s) | ST14 电检2(开:38890.5s 加:97.5s 等前:0.0s 等后:43.0s) | ST15 小跑道(开:39031.0s 加:50.0s 等前:0.0s 等后:0.0s)</t>
        </is>
      </c>
    </row>
    <row r="581">
      <c r="A581" s="15" t="n">
        <v>580</v>
      </c>
      <c r="B581" s="15" t="inlineStr">
        <is>
          <t>Car#581</t>
        </is>
      </c>
      <c r="C581" s="15" t="inlineStr">
        <is>
          <t>C</t>
        </is>
      </c>
      <c r="D581" s="16" t="n">
        <v>37745</v>
      </c>
      <c r="E581" s="16" t="n">
        <v>39174.5</v>
      </c>
      <c r="F581" s="16" t="n">
        <v>1429.5</v>
      </c>
      <c r="G581" s="16" t="n">
        <v>4111</v>
      </c>
      <c r="H581" s="15" t="inlineStr">
        <is>
          <t>Car#578</t>
        </is>
      </c>
      <c r="I581" s="16">
        <f>E581-E580</f>
        <v/>
      </c>
      <c r="J581" s="16">
        <f>I581-58</f>
        <v/>
      </c>
      <c r="K581" s="16">
        <f>MAX(0,J581)</f>
        <v/>
      </c>
      <c r="L581" s="16">
        <f>MAX(0,-J581)</f>
        <v/>
      </c>
      <c r="M581" s="16">
        <f>M580+I581</f>
        <v/>
      </c>
      <c r="N581" s="16">
        <f>D581+F581-E581</f>
        <v/>
      </c>
      <c r="O581" s="15" t="inlineStr">
        <is>
          <t>能力超目标：四轮定位上、下、ARHUD+慢充</t>
        </is>
      </c>
      <c r="P581" s="15" t="inlineStr">
        <is>
          <t>ST1 引取(开:37745.0s 加:56.0s 等前:4105.0s 等后:0.0s) | ST2 集约(开:37801.0s 加:111.0s 等前:0.0s 等后:0.0s) | ST3 空气悬挂+快充(开:37912.0s 加:108.5s 等前:0.0s 等后:0.0s) | ST4 四轮定位上、下(开:38020.5s 加:120.5s 等前:0.0s 等后:0.0s) | ST5 ADAS(开:38141.0s 加:107.0s 等前:0.0s 等后:6.0s) | ST6 ARHUD+慢充(开:38254.0s 加:143.5s 等前:0.0s 等后:0.0s) | ST7 转毂(开:38397.5s 加:114.5s 等前:0.0s 等后:0.0s) | ST8 制动(开:38512.0s 加:114.0s 等前:0.0s 等后:0.0s) | ST9 EG漏液/底盘漏液(开:38626.0s 加:112.5s 等前:0.0s 等后:0.0s) | ST10 全景/空调检查(开:38738.5s 加:0.0s 等前:0.0s 等后:0.0s) | ST11 气囊安装+绝缘(开:38738.5s 加:116.0s 等前:0.0s 等后:0.0s) | ST12 L2++(开:38854.5s 加:88.0s 等前:0.0s 等后:0.0s) | ST13 电检1(开:38942.5s 加:84.5s 等前:0.0s 等后:0.0s) | ST14 电检2(开:39027.0s 加:97.5s 等前:0.0s 等后:0.0s) | ST15 小跑道(开:39124.5s 加:50.0s 等前:0.0s 等后:0.0s)</t>
        </is>
      </c>
    </row>
    <row r="582">
      <c r="A582" s="13" t="n">
        <v>581</v>
      </c>
      <c r="B582" s="13" t="inlineStr">
        <is>
          <t>Car#583</t>
        </is>
      </c>
      <c r="C582" s="13" t="inlineStr">
        <is>
          <t>A</t>
        </is>
      </c>
      <c r="D582" s="14" t="n">
        <v>37860</v>
      </c>
      <c r="E582" s="14" t="n">
        <v>39225.5</v>
      </c>
      <c r="F582" s="14" t="n">
        <v>1365.5</v>
      </c>
      <c r="G582" s="14" t="n">
        <v>4608.5</v>
      </c>
      <c r="H582" s="13" t="inlineStr">
        <is>
          <t>Car#581</t>
        </is>
      </c>
      <c r="I582" s="14">
        <f>E582-E581</f>
        <v/>
      </c>
      <c r="J582" s="14">
        <f>I582-58</f>
        <v/>
      </c>
      <c r="K582" s="14">
        <f>MAX(0,J582)</f>
        <v/>
      </c>
      <c r="L582" s="14">
        <f>MAX(0,-J582)</f>
        <v/>
      </c>
      <c r="M582" s="14">
        <f>M581+I582</f>
        <v/>
      </c>
      <c r="N582" s="14">
        <f>D582+F582-E582</f>
        <v/>
      </c>
      <c r="O582" s="13" t="inlineStr">
        <is>
          <t>能力满足</t>
        </is>
      </c>
      <c r="P582" s="13" t="inlineStr">
        <is>
          <t>ST1 引取(开:37860.0s 加:55.0s 等前:4104.0s 等后:0.0s) | ST2 集约(开:37915.0s 加:106.0s 等前:0.0s 等后:0.0s) | ST3 空气悬挂+快充(开:38021.0s 加:0.0s 等前:0.0s 等后:120.0s) | ST4 四轮定位上、下(开:38141.0s 加:115.0s 等前:0.0s 等后:0.0s) | ST5 ADAS(开:38256.0s 加:97.0s 等前:0.0s 等后:44.5s) | ST6 ARHUD+慢充(开:38397.5s 加:0.0s 等前:0.0s 等后:114.5s) | ST7 转毂(开:38512.0s 加:116.0s 等前:0.0s 等后:0.0s) | ST8 制动(开:38628.0s 加:108.0s 等前:0.0s 等后:2.5s) | ST9 EG漏液/底盘漏液(开:38738.5s 加:115.0s 等前:0.0s 等后:0.0s) | ST10 全景/空调检查(开:38853.5s 加:98.0s 等前:0.0s 等后:0.0s) | ST11 气囊安装+绝缘(开:38951.5s 加:0.0s 等前:0.0s 等后:0.0s) | ST12 L2++(开:38951.5s 加:0.0s 等前:0.0s 等后:75.5s) | ST13 电检1(开:39027.0s 加:0.0s 等前:0.0s 等后:97.5s) | ST14 电检2(开:39124.5s 加:0.0s 等前:0.0s 等后:50.0s) | ST15 小跑道(开:39174.5s 加:51.0s 等前:0.0s 等后:0.0s)</t>
        </is>
      </c>
    </row>
    <row r="583">
      <c r="A583" s="15" t="n">
        <v>582</v>
      </c>
      <c r="B583" s="15" t="inlineStr">
        <is>
          <t>Car#580</t>
        </is>
      </c>
      <c r="C583" s="15" t="inlineStr">
        <is>
          <t>C</t>
        </is>
      </c>
      <c r="D583" s="16" t="n">
        <v>37657.5</v>
      </c>
      <c r="E583" s="16" t="n">
        <v>39275.5</v>
      </c>
      <c r="F583" s="16" t="n">
        <v>1618</v>
      </c>
      <c r="G583" s="16" t="n">
        <v>4270</v>
      </c>
      <c r="H583" s="15" t="inlineStr">
        <is>
          <t>Car#583</t>
        </is>
      </c>
      <c r="I583" s="16">
        <f>E583-E582</f>
        <v/>
      </c>
      <c r="J583" s="16">
        <f>I583-58</f>
        <v/>
      </c>
      <c r="K583" s="16">
        <f>MAX(0,J583)</f>
        <v/>
      </c>
      <c r="L583" s="16">
        <f>MAX(0,-J583)</f>
        <v/>
      </c>
      <c r="M583" s="16">
        <f>M582+I583</f>
        <v/>
      </c>
      <c r="N583" s="16">
        <f>D583+F583-E583</f>
        <v/>
      </c>
      <c r="O583" s="15" t="inlineStr">
        <is>
          <t>能力超目标：四轮定位上、下、ARHUD+慢充</t>
        </is>
      </c>
      <c r="P583" s="15" t="inlineStr">
        <is>
          <t>ST1 引取(开:37657.5s 加:56.0s 等前:4075.5s 等后:31.5s) | ST2 集约(开:37745.0s 加:111.0s 等前:0.0s 等后:4.0s) | ST3 空气悬挂+快充(开:37860.0s 加:108.5s 等前:0.0s 等后:34.5s) | ST4 四轮定位上、下(开:38003.0s 加:120.5s 等前:0.0s 等后:0.0s) | ST5 ADAS(开:38123.5s 加:107.0s 等前:0.0s 等后:30.5s) | ST6 ARHUD+慢充(开:38261.0s 加:143.5s 等前:0.0s 等后:0.0s) | ST7 转毂(开:38404.5s 加:114.5s 等前:0.0s 等后:0.0s) | ST8 制动(开:38519.0s 加:114.0s 等前:0.0s 等后:0.0s) | ST9 EG漏液/底盘漏液(开:38633.0s 加:112.5s 等前:0.0s 等后:0.0s) | ST10 全景/空调检查(开:38745.5s 加:0.0s 等前:0.0s 等后:0.0s) | ST11 气囊安装+绝缘(开:38745.5s 加:116.0s 等前:0.0s 等后:0.0s) | ST12 L2++(开:38861.5s 加:88.0s 等前:0.0s 等后:0.0s) | ST13 电检1(开:38949.5s 加:84.5s 等前:0.0s 等后:0.0s) | ST14 电检2(开:39034.0s 加:97.5s 等前:0.0s 等后:94.0s) | ST15 小跑道(开:39225.5s 加:50.0s 等前:0.0s 等后:0.0s)</t>
        </is>
      </c>
    </row>
    <row r="584">
      <c r="A584" s="13" t="n">
        <v>583</v>
      </c>
      <c r="B584" s="13" t="inlineStr">
        <is>
          <t>Car#585</t>
        </is>
      </c>
      <c r="C584" s="13" t="inlineStr">
        <is>
          <t>A</t>
        </is>
      </c>
      <c r="D584" s="14" t="n">
        <v>38003</v>
      </c>
      <c r="E584" s="14" t="n">
        <v>39326.5</v>
      </c>
      <c r="F584" s="14" t="n">
        <v>1323.5</v>
      </c>
      <c r="G584" s="14" t="n">
        <v>4593.5</v>
      </c>
      <c r="H584" s="13" t="inlineStr">
        <is>
          <t>Car#580</t>
        </is>
      </c>
      <c r="I584" s="14">
        <f>E584-E583</f>
        <v/>
      </c>
      <c r="J584" s="14">
        <f>I584-58</f>
        <v/>
      </c>
      <c r="K584" s="14">
        <f>MAX(0,J584)</f>
        <v/>
      </c>
      <c r="L584" s="14">
        <f>MAX(0,-J584)</f>
        <v/>
      </c>
      <c r="M584" s="14">
        <f>M583+I584</f>
        <v/>
      </c>
      <c r="N584" s="14">
        <f>D584+F584-E584</f>
        <v/>
      </c>
      <c r="O584" s="13" t="inlineStr">
        <is>
          <t>能力满足</t>
        </is>
      </c>
      <c r="P584" s="13" t="inlineStr">
        <is>
          <t>ST1 引取(开:38003.0s 加:55.0s 等前:4131.0s 等后:0.0s) | ST2 集约(开:38058.0s 加:106.0s 等前:0.0s 等后:0.0s) | ST3 空气悬挂+快充(开:38164.0s 加:0.0s 等前:0.0s 等后:92.0s) | ST4 四轮定位上、下(开:38256.0s 加:115.0s 等前:0.0s 等后:26.5s) | ST5 ADAS(开:38397.5s 加:97.0s 等前:0.0s 等后:17.5s) | ST6 ARHUD+慢充(开:38512.0s 加:0.0s 等前:0.0s 等后:116.0s) | ST7 转毂(开:38628.0s 加:116.0s 等前:0.0s 等后:0.0s) | ST8 制动(开:38744.0s 加:108.0s 等前:0.0s 等后:1.5s) | ST9 EG漏液/底盘漏液(开:38853.5s 加:115.0s 等前:0.0s 等后:0.0s) | ST10 全景/空调检查(开:38968.5s 加:98.0s 等前:0.0s 等后:0.0s) | ST11 气囊安装+绝缘(开:39066.5s 加:0.0s 等前:0.0s 等后:0.0s) | ST12 L2++(开:39066.5s 加:0.0s 等前:0.0s 等后:58.0s) | ST13 电检1(开:39124.5s 加:0.0s 等前:0.0s 等后:50.0s) | ST14 电检2(开:39174.5s 加:0.0s 等前:0.0s 等后:101.0s) | ST15 小跑道(开:39275.5s 加:51.0s 等前:0.0s 等后:0.0s)</t>
        </is>
      </c>
    </row>
    <row r="585">
      <c r="A585" s="15" t="n">
        <v>584</v>
      </c>
      <c r="B585" s="15" t="inlineStr">
        <is>
          <t>Car#582</t>
        </is>
      </c>
      <c r="C585" s="15" t="inlineStr">
        <is>
          <t>B</t>
        </is>
      </c>
      <c r="D585" s="16" t="n">
        <v>37801</v>
      </c>
      <c r="E585" s="16" t="n">
        <v>39376.5</v>
      </c>
      <c r="F585" s="16" t="n">
        <v>1575.5</v>
      </c>
      <c r="G585" s="16" t="n">
        <v>4347</v>
      </c>
      <c r="H585" s="15" t="inlineStr">
        <is>
          <t>Car#585</t>
        </is>
      </c>
      <c r="I585" s="16">
        <f>E585-E584</f>
        <v/>
      </c>
      <c r="J585" s="16">
        <f>I585-58</f>
        <v/>
      </c>
      <c r="K585" s="16">
        <f>MAX(0,J585)</f>
        <v/>
      </c>
      <c r="L585" s="16">
        <f>MAX(0,-J585)</f>
        <v/>
      </c>
      <c r="M585" s="16">
        <f>M584+I585</f>
        <v/>
      </c>
      <c r="N585" s="16">
        <f>D585+F585-E585</f>
        <v/>
      </c>
      <c r="O585" s="15" t="inlineStr">
        <is>
          <t>能力超目标：四轮定位上、下</t>
        </is>
      </c>
      <c r="P585" s="15" t="inlineStr">
        <is>
          <t>ST1 引取(开:37801.0s 加:56.0s 等前:4103.0s 等后:3.0s) | ST2 集约(开:37860.0s 加:111.0s 等前:0.0s 等后:32.0s) | ST3 空气悬挂+快充(开:38003.0s 加:108.5s 等前:0.0s 等后:12.0s) | ST4 四轮定位上、下(开:38123.5s 加:120.5s 等前:0.0s 等后:17.0s) | ST5 ADAS(开:38261.0s 加:107.0s 等前:0.0s 等后:36.5s) | ST6 ARHUD+慢充(开:38404.5s 加:51.5s 等前:0.0s 等后:63.0s) | ST7 转毂(开:38519.0s 加:114.5s 等前:0.0s 等后:0.0s) | ST8 制动(开:38633.5s 加:114.0s 等前:0.0s 等后:0.0s) | ST9 EG漏液/底盘漏液(开:38747.5s 加:112.5s 等前:0.0s 等后:0.0s) | ST10 全景/空调检查(开:38860.0s 加:0.0s 等前:0.0s 等后:1.5s) | ST11 气囊安装+绝缘(开:38861.5s 加:116.0s 等前:0.0s 等后:0.0s) | ST12 L2++(开:38977.5s 加:88.0s 等前:0.0s 等后:0.0s) | ST13 电检1(开:39065.5s 加:84.5s 等前:0.0s 等后:75.5s) | ST14 电检2(开:39225.5s 加:97.5s 等前:0.0s 等后:3.5s) | ST15 小跑道(开:39326.5s 加:50.0s 等前:0.0s 等后:0.0s)</t>
        </is>
      </c>
    </row>
    <row r="586">
      <c r="A586" s="13" t="n">
        <v>585</v>
      </c>
      <c r="B586" s="13" t="inlineStr">
        <is>
          <t>Car#584</t>
        </is>
      </c>
      <c r="C586" s="13" t="inlineStr">
        <is>
          <t>A</t>
        </is>
      </c>
      <c r="D586" s="14" t="n">
        <v>37915</v>
      </c>
      <c r="E586" s="14" t="n">
        <v>39427.5</v>
      </c>
      <c r="F586" s="14" t="n">
        <v>1512.5</v>
      </c>
      <c r="G586" s="14" t="n">
        <v>4752.5</v>
      </c>
      <c r="H586" s="13" t="inlineStr">
        <is>
          <t>Car#582</t>
        </is>
      </c>
      <c r="I586" s="14">
        <f>E586-E585</f>
        <v/>
      </c>
      <c r="J586" s="14">
        <f>I586-58</f>
        <v/>
      </c>
      <c r="K586" s="14">
        <f>MAX(0,J586)</f>
        <v/>
      </c>
      <c r="L586" s="14">
        <f>MAX(0,-J586)</f>
        <v/>
      </c>
      <c r="M586" s="14">
        <f>M585+I586</f>
        <v/>
      </c>
      <c r="N586" s="14">
        <f>D586+F586-E586</f>
        <v/>
      </c>
      <c r="O586" s="13" t="inlineStr">
        <is>
          <t>能力满足</t>
        </is>
      </c>
      <c r="P586" s="13" t="inlineStr">
        <is>
          <t>ST1 引取(开:37915.0s 加:55.0s 等前:4101.0s 等后:33.0s) | ST2 集约(开:38003.0s 加:106.0s 等前:0.0s 等后:14.5s) | ST3 空气悬挂+快充(开:38123.5s 加:0.0s 等前:0.0s 等后:137.5s) | ST4 四轮定位上、下(开:38261.0s 加:115.0s 等前:0.0s 等后:28.5s) | ST5 ADAS(开:38404.5s 加:97.0s 等前:0.0s 等后:17.5s) | ST6 ARHUD+慢充(开:38519.0s 加:0.0s 等前:0.0s 等后:114.5s) | ST7 转毂(开:38633.5s 加:116.0s 等前:0.0s 等后:0.0s) | ST8 制动(开:38749.5s 加:108.0s 等前:0.0s 等后:2.5s) | ST9 EG漏液/底盘漏液(开:38860.0s 加:115.0s 等前:0.0s 等后:0.0s) | ST10 全景/空调检查(开:38975.0s 加:98.0s 等前:0.0s 等后:0.0s) | ST11 气囊安装+绝缘(开:39073.0s 加:0.0s 等前:0.0s 等后:0.0s) | ST12 L2++(开:39073.0s 加:0.0s 等前:0.0s 等后:152.5s) | ST13 电检1(开:39225.5s 加:0.0s 等前:0.0s 等后:101.0s) | ST14 电检2(开:39326.5s 加:0.0s 等前:0.0s 等后:50.0s) | ST15 小跑道(开:39376.5s 加:51.0s 等前:0.0s 等后:0.0s)</t>
        </is>
      </c>
    </row>
    <row r="587">
      <c r="A587" s="15" t="n">
        <v>586</v>
      </c>
      <c r="B587" s="15" t="inlineStr">
        <is>
          <t>Car#587</t>
        </is>
      </c>
      <c r="C587" s="15" t="inlineStr">
        <is>
          <t>C</t>
        </is>
      </c>
      <c r="D587" s="16" t="n">
        <v>38123.5</v>
      </c>
      <c r="E587" s="16" t="n">
        <v>39548.5</v>
      </c>
      <c r="F587" s="16" t="n">
        <v>1425</v>
      </c>
      <c r="G587" s="16" t="n">
        <v>4137</v>
      </c>
      <c r="H587" s="15" t="inlineStr">
        <is>
          <t>Car#584</t>
        </is>
      </c>
      <c r="I587" s="16">
        <f>E587-E586</f>
        <v/>
      </c>
      <c r="J587" s="16">
        <f>I587-58</f>
        <v/>
      </c>
      <c r="K587" s="16">
        <f>MAX(0,J587)</f>
        <v/>
      </c>
      <c r="L587" s="16">
        <f>MAX(0,-J587)</f>
        <v/>
      </c>
      <c r="M587" s="16">
        <f>M586+I587</f>
        <v/>
      </c>
      <c r="N587" s="16">
        <f>D587+F587-E587</f>
        <v/>
      </c>
      <c r="O587" s="15" t="inlineStr">
        <is>
          <t>能力超目标：四轮定位上、下、ARHUD+慢充</t>
        </is>
      </c>
      <c r="P587" s="15" t="inlineStr">
        <is>
          <t>ST1 引取(开:38123.5s 加:56.0s 等前:4135.5s 等后:0.0s) | ST2 集约(开:38179.5s 加:111.0s 等前:0.0s 等后:0.0s) | ST3 空气悬挂+快充(开:38290.5s 加:108.5s 等前:0.0s 等后:0.0s) | ST4 四轮定位上、下(开:38399.0s 加:120.5s 等前:0.0s 等后:0.0s) | ST5 ADAS(开:38519.5s 加:107.0s 等前:0.0s 等后:1.5s) | ST6 ARHUD+慢充(开:38628.0s 加:143.5s 等前:0.0s 等后:0.0s) | ST7 转毂(开:38771.5s 加:114.5s 等前:0.0s 等后:0.0s) | ST8 制动(开:38886.0s 加:114.0s 等前:0.0s 等后:0.0s) | ST9 EG漏液/底盘漏液(开:39000.0s 加:112.5s 等前:0.0s 等后:0.0s) | ST10 全景/空调检查(开:39112.5s 加:0.0s 等前:0.0s 等后:0.0s) | ST11 气囊安装+绝缘(开:39112.5s 加:116.0s 等前:0.0s 等后:0.0s) | ST12 L2++(开:39228.5s 加:88.0s 等前:0.0s 等后:0.0s) | ST13 电检1(开:39316.5s 加:84.5s 等前:0.0s 等后:0.0s) | ST14 电检2(开:39401.0s 加:97.5s 等前:0.0s 等后:0.0s) | ST15 小跑道(开:39498.5s 加:50.0s 等前:0.0s 等后:0.0s)</t>
        </is>
      </c>
    </row>
    <row r="588">
      <c r="A588" s="13" t="n">
        <v>587</v>
      </c>
      <c r="B588" s="13" t="inlineStr">
        <is>
          <t>Car#586</t>
        </is>
      </c>
      <c r="C588" s="13" t="inlineStr">
        <is>
          <t>B</t>
        </is>
      </c>
      <c r="D588" s="14" t="n">
        <v>38058</v>
      </c>
      <c r="E588" s="14" t="n">
        <v>39598.5</v>
      </c>
      <c r="F588" s="14" t="n">
        <v>1540.5</v>
      </c>
      <c r="G588" s="14" t="n">
        <v>4337</v>
      </c>
      <c r="H588" s="13" t="inlineStr">
        <is>
          <t>Car#587</t>
        </is>
      </c>
      <c r="I588" s="14">
        <f>E588-E587</f>
        <v/>
      </c>
      <c r="J588" s="14">
        <f>I588-58</f>
        <v/>
      </c>
      <c r="K588" s="14">
        <f>MAX(0,J588)</f>
        <v/>
      </c>
      <c r="L588" s="14">
        <f>MAX(0,-J588)</f>
        <v/>
      </c>
      <c r="M588" s="14">
        <f>M587+I588</f>
        <v/>
      </c>
      <c r="N588" s="14">
        <f>D588+F588-E588</f>
        <v/>
      </c>
      <c r="O588" s="13" t="inlineStr">
        <is>
          <t>能力超目标：四轮定位上、下</t>
        </is>
      </c>
      <c r="P588" s="13" t="inlineStr">
        <is>
          <t>ST1 引取(开:38058.0s 加:56.0s 等前:4128.0s 等后:9.5s) | ST2 集约(开:38123.5s 加:111.0s 等前:0.0s 等后:26.5s) | ST3 空气悬挂+快充(开:38261.0s 加:108.5s 等前:0.0s 等后:35.0s) | ST4 四轮定位上、下(开:38404.5s 加:120.5s 等前:0.0s 等后:0.0s) | ST5 ADAS(开:38525.0s 加:107.0s 等前:0.0s 等后:1.5s) | ST6 ARHUD+慢充(开:38633.5s 加:51.5s 等前:0.0s 等后:64.5s) | ST7 转毂(开:38749.5s 加:114.5s 等前:0.0s 等后:0.0s) | ST8 制动(开:38864.0s 加:114.0s 等前:0.0s 等后:0.0s) | ST9 EG漏液/底盘漏液(开:38978.0s 加:112.5s 等前:0.0s 等后:0.0s) | ST10 全景/空调检查(开:39090.5s 加:0.0s 等前:0.0s 等后:0.0s) | ST11 气囊安装+绝缘(开:39090.5s 加:116.0s 等前:0.0s 等后:19.0s) | ST12 L2++(开:39225.5s 加:88.0s 等前:0.0s 等后:13.0s) | ST13 电检1(开:39326.5s 加:84.5s 等前:0.0s 等后:0.0s) | ST14 电检2(开:39411.0s 加:97.5s 等前:0.0s 等后:40.0s) | ST15 小跑道(开:39548.5s 加:50.0s 等前:0.0s 等后:0.0s)</t>
        </is>
      </c>
    </row>
    <row r="589">
      <c r="A589" s="15" t="n">
        <v>588</v>
      </c>
      <c r="B589" s="15" t="inlineStr">
        <is>
          <t>Car#589</t>
        </is>
      </c>
      <c r="C589" s="15" t="inlineStr">
        <is>
          <t>C</t>
        </is>
      </c>
      <c r="D589" s="16" t="n">
        <v>38261</v>
      </c>
      <c r="E589" s="16" t="n">
        <v>39692</v>
      </c>
      <c r="F589" s="16" t="n">
        <v>1431</v>
      </c>
      <c r="G589" s="16" t="n">
        <v>4164.5</v>
      </c>
      <c r="H589" s="15" t="inlineStr">
        <is>
          <t>Car#586</t>
        </is>
      </c>
      <c r="I589" s="16">
        <f>E589-E588</f>
        <v/>
      </c>
      <c r="J589" s="16">
        <f>I589-58</f>
        <v/>
      </c>
      <c r="K589" s="16">
        <f>MAX(0,J589)</f>
        <v/>
      </c>
      <c r="L589" s="16">
        <f>MAX(0,-J589)</f>
        <v/>
      </c>
      <c r="M589" s="16">
        <f>M588+I589</f>
        <v/>
      </c>
      <c r="N589" s="16">
        <f>D589+F589-E589</f>
        <v/>
      </c>
      <c r="O589" s="15" t="inlineStr">
        <is>
          <t>能力超目标：四轮定位上、下、ARHUD+慢充</t>
        </is>
      </c>
      <c r="P589" s="15" t="inlineStr">
        <is>
          <t>ST1 引取(开:38261.0s 加:56.0s 等前:4157.0s 等后:0.0s) | ST2 集约(开:38317.0s 加:111.0s 等前:0.0s 等后:0.0s) | ST3 空气悬挂+快充(开:38428.0s 加:108.5s 等前:0.0s 等后:0.0s) | ST4 四轮定位上、下(开:38536.5s 加:120.5s 等前:0.0s 等后:0.0s) | ST5 ADAS(开:38657.0s 加:107.0s 等前:0.0s 等后:7.5s) | ST6 ARHUD+慢充(开:38771.5s 加:143.5s 等前:0.0s 等后:0.0s) | ST7 转毂(开:38915.0s 加:114.5s 等前:0.0s 等后:0.0s) | ST8 制动(开:39029.5s 加:114.0s 等前:0.0s 等后:0.0s) | ST9 EG漏液/底盘漏液(开:39143.5s 加:112.5s 等前:0.0s 等后:0.0s) | ST10 全景/空调检查(开:39256.0s 加:0.0s 等前:0.0s 等后:0.0s) | ST11 气囊安装+绝缘(开:39256.0s 加:116.0s 等前:0.0s 等后:0.0s) | ST12 L2++(开:39372.0s 加:88.0s 等前:0.0s 等后:0.0s) | ST13 电检1(开:39460.0s 加:84.5s 等前:0.0s 等后:0.0s) | ST14 电检2(开:39544.5s 加:97.5s 等前:0.0s 等后:0.0s) | ST15 小跑道(开:39642.0s 加:50.0s 等前:0.0s 等后:0.0s)</t>
        </is>
      </c>
    </row>
    <row r="590">
      <c r="A590" s="13" t="n">
        <v>589</v>
      </c>
      <c r="B590" s="13" t="inlineStr">
        <is>
          <t>Car#588</t>
        </is>
      </c>
      <c r="C590" s="13" t="inlineStr">
        <is>
          <t>C</t>
        </is>
      </c>
      <c r="D590" s="14" t="n">
        <v>38179.5</v>
      </c>
      <c r="E590" s="14" t="n">
        <v>39742</v>
      </c>
      <c r="F590" s="14" t="n">
        <v>1562.5</v>
      </c>
      <c r="G590" s="14" t="n">
        <v>4272.5</v>
      </c>
      <c r="H590" s="13" t="inlineStr">
        <is>
          <t>Car#589</t>
        </is>
      </c>
      <c r="I590" s="14">
        <f>E590-E589</f>
        <v/>
      </c>
      <c r="J590" s="14">
        <f>I590-58</f>
        <v/>
      </c>
      <c r="K590" s="14">
        <f>MAX(0,J590)</f>
        <v/>
      </c>
      <c r="L590" s="14">
        <f>MAX(0,-J590)</f>
        <v/>
      </c>
      <c r="M590" s="14">
        <f>M589+I590</f>
        <v/>
      </c>
      <c r="N590" s="14">
        <f>D590+F590-E590</f>
        <v/>
      </c>
      <c r="O590" s="13" t="inlineStr">
        <is>
          <t>能力超目标：四轮定位上、下、ARHUD+慢充</t>
        </is>
      </c>
      <c r="P590" s="13" t="inlineStr">
        <is>
          <t>ST1 引取(开:38179.5s 加:56.0s 等前:4133.5s 等后:25.5s) | ST2 集约(开:38261.0s 加:111.0s 等前:0.0s 等后:32.5s) | ST3 空气悬挂+快充(开:38404.5s 加:108.5s 等前:0.0s 等后:12.0s) | ST4 四轮定位上、下(开:38525.0s 加:120.5s 等前:0.0s 等后:0.0s) | ST5 ADAS(开:38645.5s 加:107.0s 等前:0.0s 等后:0.0s) | ST6 ARHUD+慢充(开:38752.5s 加:143.5s 等前:0.0s 等后:0.0s) | ST7 转毂(开:38896.0s 加:114.5s 等前:0.0s 等后:0.0s) | ST8 制动(开:39010.5s 加:114.0s 等前:0.0s 等后:0.0s) | ST9 EG漏液/底盘漏液(开:39124.5s 加:112.5s 等前:0.0s 等后:0.0s) | ST10 全景/空调检查(开:39237.0s 加:0.0s 等前:0.0s 等后:0.0s) | ST11 气囊安装+绝缘(开:39237.0s 加:116.0s 等前:0.0s 等后:0.0s) | ST12 L2++(开:39353.0s 加:88.0s 等前:0.0s 等后:0.0s) | ST13 电检1(开:39441.0s 加:84.5s 等前:0.0s 等后:23.0s) | ST14 电检2(开:39548.5s 加:97.5s 等前:0.0s 等后:46.0s) | ST15 小跑道(开:39692.0s 加:50.0s 等前:0.0s 等后:0.0s)</t>
        </is>
      </c>
    </row>
    <row r="591">
      <c r="A591" s="15" t="n">
        <v>590</v>
      </c>
      <c r="B591" s="15" t="inlineStr">
        <is>
          <t>Car#591</t>
        </is>
      </c>
      <c r="C591" s="15" t="inlineStr">
        <is>
          <t>B</t>
        </is>
      </c>
      <c r="D591" s="16" t="n">
        <v>38404.5</v>
      </c>
      <c r="E591" s="16" t="n">
        <v>39808</v>
      </c>
      <c r="F591" s="16" t="n">
        <v>1403.5</v>
      </c>
      <c r="G591" s="16" t="n">
        <v>4256.5</v>
      </c>
      <c r="H591" s="15" t="inlineStr">
        <is>
          <t>Car#588</t>
        </is>
      </c>
      <c r="I591" s="16">
        <f>E591-E590</f>
        <v/>
      </c>
      <c r="J591" s="16">
        <f>I591-58</f>
        <v/>
      </c>
      <c r="K591" s="16">
        <f>MAX(0,J591)</f>
        <v/>
      </c>
      <c r="L591" s="16">
        <f>MAX(0,-J591)</f>
        <v/>
      </c>
      <c r="M591" s="16">
        <f>M590+I591</f>
        <v/>
      </c>
      <c r="N591" s="16">
        <f>D591+F591-E591</f>
        <v/>
      </c>
      <c r="O591" s="15" t="inlineStr">
        <is>
          <t>能力超目标：四轮定位上、下</t>
        </is>
      </c>
      <c r="P591" s="15" t="inlineStr">
        <is>
          <t>ST1 引取(开:38404.5s 加:56.0s 等前:4184.5s 等后:0.0s) | ST2 集约(开:38460.5s 加:111.0s 等前:0.0s 等后:0.0s) | ST3 空气悬挂+快充(开:38571.5s 加:108.5s 等前:0.0s 等后:0.0s) | ST4 四轮定位上、下(开:38680.0s 加:120.5s 等前:0.0s 等后:0.0s) | ST5 ADAS(开:38800.5s 加:107.0s 等前:0.0s 等后:7.5s) | ST6 ARHUD+慢充(开:38915.0s 加:51.5s 等前:0.0s 等后:63.0s) | ST7 转毂(开:39029.5s 加:114.5s 等前:0.0s 等后:0.0s) | ST8 制动(开:39144.0s 加:114.0s 等前:0.0s 等后:0.0s) | ST9 EG漏液/底盘漏液(开:39258.0s 加:112.5s 等前:0.0s 等后:0.0s) | ST10 全景/空调检查(开:39370.5s 加:0.0s 等前:0.0s 等后:1.5s) | ST11 气囊安装+绝缘(开:39372.0s 加:116.0s 等前:0.0s 等后:0.0s) | ST12 L2++(开:39488.0s 加:88.0s 等前:0.0s 等后:0.0s) | ST13 电检1(开:39576.0s 加:84.5s 等前:0.0s 等后:0.0s) | ST14 电检2(开:39660.5s 加:97.5s 等前:0.0s 等后:0.0s) | ST15 小跑道(开:39758.0s 加:50.0s 等前:0.0s 等后:0.0s)</t>
        </is>
      </c>
    </row>
    <row r="592">
      <c r="A592" s="13" t="n">
        <v>591</v>
      </c>
      <c r="B592" s="13" t="inlineStr">
        <is>
          <t>Car#590</t>
        </is>
      </c>
      <c r="C592" s="13" t="inlineStr">
        <is>
          <t>B</t>
        </is>
      </c>
      <c r="D592" s="14" t="n">
        <v>38317</v>
      </c>
      <c r="E592" s="14" t="n">
        <v>39858</v>
      </c>
      <c r="F592" s="14" t="n">
        <v>1541</v>
      </c>
      <c r="G592" s="14" t="n">
        <v>4364.5</v>
      </c>
      <c r="H592" s="13" t="inlineStr">
        <is>
          <t>Car#591</t>
        </is>
      </c>
      <c r="I592" s="14">
        <f>E592-E591</f>
        <v/>
      </c>
      <c r="J592" s="14">
        <f>I592-58</f>
        <v/>
      </c>
      <c r="K592" s="14">
        <f>MAX(0,J592)</f>
        <v/>
      </c>
      <c r="L592" s="14">
        <f>MAX(0,-J592)</f>
        <v/>
      </c>
      <c r="M592" s="14">
        <f>M591+I592</f>
        <v/>
      </c>
      <c r="N592" s="14">
        <f>D592+F592-E592</f>
        <v/>
      </c>
      <c r="O592" s="13" t="inlineStr">
        <is>
          <t>能力超目标：四轮定位上、下</t>
        </is>
      </c>
      <c r="P592" s="13" t="inlineStr">
        <is>
          <t>ST1 引取(开:38317.0s 加:56.0s 等前:4155.0s 等后:31.5s) | ST2 集约(开:38404.5s 加:111.0s 等前:0.0s 等后:9.5s) | ST3 空气悬挂+快充(开:38525.0s 加:108.5s 等前:0.0s 等后:12.0s) | ST4 四轮定位上、下(开:38645.5s 加:120.5s 等前:0.0s 等后:0.0s) | ST5 ADAS(开:38766.0s 加:107.0s 等前:0.0s 等后:23.0s) | ST6 ARHUD+慢充(开:38896.0s 加:51.5s 等前:0.0s 等后:63.0s) | ST7 转毂(开:39010.5s 加:114.5s 等前:0.0s 等后:0.0s) | ST8 制动(开:39125.0s 加:114.0s 等前:0.0s 等后:0.0s) | ST9 EG漏液/底盘漏液(开:39239.0s 加:112.5s 等前:0.0s 等后:0.0s) | ST10 全景/空调检查(开:39351.5s 加:0.0s 等前:0.0s 等后:1.5s) | ST11 气囊安装+绝缘(开:39353.0s 加:116.0s 等前:0.0s 等后:0.0s) | ST12 L2++(开:39469.0s 加:88.0s 等前:0.0s 等后:0.0s) | ST13 电检1(开:39557.0s 加:84.5s 等前:0.0s 等后:50.5s) | ST14 电检2(开:39692.0s 加:97.5s 等前:0.0s 等后:18.5s) | ST15 小跑道(开:39808.0s 加:50.0s 等前:0.0s 等后:0.0s)</t>
        </is>
      </c>
    </row>
    <row r="593">
      <c r="A593" s="15" t="n">
        <v>592</v>
      </c>
      <c r="B593" s="15" t="inlineStr">
        <is>
          <t>Car#593</t>
        </is>
      </c>
      <c r="C593" s="15" t="inlineStr">
        <is>
          <t>C</t>
        </is>
      </c>
      <c r="D593" s="16" t="n">
        <v>38525</v>
      </c>
      <c r="E593" s="16" t="n">
        <v>39950</v>
      </c>
      <c r="F593" s="16" t="n">
        <v>1425</v>
      </c>
      <c r="G593" s="16" t="n">
        <v>4190.5</v>
      </c>
      <c r="H593" s="15" t="inlineStr">
        <is>
          <t>Car#590</t>
        </is>
      </c>
      <c r="I593" s="16">
        <f>E593-E592</f>
        <v/>
      </c>
      <c r="J593" s="16">
        <f>I593-58</f>
        <v/>
      </c>
      <c r="K593" s="16">
        <f>MAX(0,J593)</f>
        <v/>
      </c>
      <c r="L593" s="16">
        <f>MAX(0,-J593)</f>
        <v/>
      </c>
      <c r="M593" s="16">
        <f>M592+I593</f>
        <v/>
      </c>
      <c r="N593" s="16">
        <f>D593+F593-E593</f>
        <v/>
      </c>
      <c r="O593" s="15" t="inlineStr">
        <is>
          <t>能力超目标：四轮定位上、下、ARHUD+慢充</t>
        </is>
      </c>
      <c r="P593" s="15" t="inlineStr">
        <is>
          <t>ST1 引取(开:38525.0s 加:56.0s 等前:4189.0s 等后:0.0s) | ST2 集约(开:38581.0s 加:111.0s 等前:0.0s 等后:0.0s) | ST3 空气悬挂+快充(开:38692.0s 加:108.5s 等前:0.0s 等后:0.0s) | ST4 四轮定位上、下(开:38800.5s 加:120.5s 等前:0.0s 等后:0.0s) | ST5 ADAS(开:38921.0s 加:107.0s 等前:0.0s 等后:1.5s) | ST6 ARHUD+慢充(开:39029.5s 加:143.5s 等前:0.0s 等后:0.0s) | ST7 转毂(开:39173.0s 加:114.5s 等前:0.0s 等后:0.0s) | ST8 制动(开:39287.5s 加:114.0s 等前:0.0s 等后:0.0s) | ST9 EG漏液/底盘漏液(开:39401.5s 加:112.5s 等前:0.0s 等后:0.0s) | ST10 全景/空调检查(开:39514.0s 加:0.0s 等前:0.0s 等后:0.0s) | ST11 气囊安装+绝缘(开:39514.0s 加:116.0s 等前:0.0s 等后:0.0s) | ST12 L2++(开:39630.0s 加:88.0s 等前:0.0s 等后:0.0s) | ST13 电检1(开:39718.0s 加:84.5s 等前:0.0s 等后:0.0s) | ST14 电检2(开:39802.5s 加:97.5s 等前:0.0s 等后:0.0s) | ST15 小跑道(开:39900.0s 加:50.0s 等前:0.0s 等后:0.0s)</t>
        </is>
      </c>
    </row>
    <row r="594">
      <c r="A594" s="13" t="n">
        <v>593</v>
      </c>
      <c r="B594" s="13" t="inlineStr">
        <is>
          <t>Car#595</t>
        </is>
      </c>
      <c r="C594" s="13" t="inlineStr">
        <is>
          <t>A</t>
        </is>
      </c>
      <c r="D594" s="14" t="n">
        <v>38645.5</v>
      </c>
      <c r="E594" s="14" t="n">
        <v>40001</v>
      </c>
      <c r="F594" s="14" t="n">
        <v>1355.5</v>
      </c>
      <c r="G594" s="14" t="n">
        <v>4688</v>
      </c>
      <c r="H594" s="13" t="inlineStr">
        <is>
          <t>Car#593</t>
        </is>
      </c>
      <c r="I594" s="14">
        <f>E594-E593</f>
        <v/>
      </c>
      <c r="J594" s="14">
        <f>I594-58</f>
        <v/>
      </c>
      <c r="K594" s="14">
        <f>MAX(0,J594)</f>
        <v/>
      </c>
      <c r="L594" s="14">
        <f>MAX(0,-J594)</f>
        <v/>
      </c>
      <c r="M594" s="14">
        <f>M593+I594</f>
        <v/>
      </c>
      <c r="N594" s="14">
        <f>D594+F594-E594</f>
        <v/>
      </c>
      <c r="O594" s="13" t="inlineStr">
        <is>
          <t>能力满足</t>
        </is>
      </c>
      <c r="P594" s="13" t="inlineStr">
        <is>
          <t>ST1 引取(开:38645.5s 加:55.0s 等前:4193.5s 等后:0.0s) | ST2 集约(开:38700.5s 加:106.0s 等前:0.0s 等后:0.0s) | ST3 空气悬挂+快充(开:38806.5s 加:0.0s 等前:0.0s 等后:114.5s) | ST4 四轮定位上、下(开:38921.0s 加:115.0s 等前:0.0s 等后:0.0s) | ST5 ADAS(开:39036.0s 加:97.0s 等前:0.0s 等后:40.0s) | ST6 ARHUD+慢充(开:39173.0s 加:0.0s 等前:0.0s 等后:114.5s) | ST7 转毂(开:39287.5s 加:116.0s 等前:0.0s 等后:0.0s) | ST8 制动(开:39403.5s 加:108.0s 等前:0.0s 等后:2.5s) | ST9 EG漏液/底盘漏液(开:39514.0s 加:115.0s 等前:0.0s 等后:0.0s) | ST10 全景/空调检查(开:39629.0s 加:98.0s 等前:0.0s 等后:0.0s) | ST11 气囊安装+绝缘(开:39727.0s 加:0.0s 等前:0.0s 等后:0.0s) | ST12 L2++(开:39727.0s 加:0.0s 等前:0.0s 等后:75.5s) | ST13 电检1(开:39802.5s 加:0.0s 等前:0.0s 等后:97.5s) | ST14 电检2(开:39900.0s 加:0.0s 等前:0.0s 等后:50.0s) | ST15 小跑道(开:39950.0s 加:51.0s 等前:0.0s 等后:0.0s)</t>
        </is>
      </c>
    </row>
    <row r="595">
      <c r="A595" s="15" t="n">
        <v>594</v>
      </c>
      <c r="B595" s="15" t="inlineStr">
        <is>
          <t>Car#592</t>
        </is>
      </c>
      <c r="C595" s="15" t="inlineStr">
        <is>
          <t>B</t>
        </is>
      </c>
      <c r="D595" s="16" t="n">
        <v>38460.5</v>
      </c>
      <c r="E595" s="16" t="n">
        <v>40051</v>
      </c>
      <c r="F595" s="16" t="n">
        <v>1590.5</v>
      </c>
      <c r="G595" s="16" t="n">
        <v>4441.5</v>
      </c>
      <c r="H595" s="15" t="inlineStr">
        <is>
          <t>Car#595</t>
        </is>
      </c>
      <c r="I595" s="16">
        <f>E595-E594</f>
        <v/>
      </c>
      <c r="J595" s="16">
        <f>I595-58</f>
        <v/>
      </c>
      <c r="K595" s="16">
        <f>MAX(0,J595)</f>
        <v/>
      </c>
      <c r="L595" s="16">
        <f>MAX(0,-J595)</f>
        <v/>
      </c>
      <c r="M595" s="16">
        <f>M594+I595</f>
        <v/>
      </c>
      <c r="N595" s="16">
        <f>D595+F595-E595</f>
        <v/>
      </c>
      <c r="O595" s="15" t="inlineStr">
        <is>
          <t>能力超目标：四轮定位上、下</t>
        </is>
      </c>
      <c r="P595" s="15" t="inlineStr">
        <is>
          <t>ST1 引取(开:38460.5s 加:56.0s 等前:4182.5s 等后:8.5s) | ST2 集约(开:38525.0s 加:111.0s 等前:0.0s 等后:9.5s) | ST3 空气悬挂+快充(开:38645.5s 加:108.5s 等前:0.0s 等后:12.0s) | ST4 四轮定位上、下(开:38766.0s 加:120.5s 等前:0.0s 等后:9.5s) | ST5 ADAS(开:38896.0s 加:107.0s 等前:0.0s 等后:7.5s) | ST6 ARHUD+慢充(开:39010.5s 加:51.5s 等前:0.0s 等后:63.0s) | ST7 转毂(开:39125.0s 加:114.5s 等前:0.0s 等后:0.0s) | ST8 制动(开:39239.5s 加:114.0s 等前:0.0s 等后:0.0s) | ST9 EG漏液/底盘漏液(开:39353.5s 加:112.5s 等前:0.0s 等后:0.0s) | ST10 全景/空调检查(开:39466.0s 加:0.0s 等前:0.0s 等后:3.0s) | ST11 气囊安装+绝缘(开:39469.0s 加:116.0s 等前:0.0s 等后:0.0s) | ST12 L2++(开:39585.0s 加:88.0s 等前:0.0s 等后:19.0s) | ST13 电检1(开:39692.0s 加:84.5s 等前:0.0s 等后:31.5s) | ST14 电检2(开:39808.0s 加:97.5s 等前:0.0s 等后:95.5s) | ST15 小跑道(开:40001.0s 加:50.0s 等前:0.0s 等后:0.0s)</t>
        </is>
      </c>
    </row>
    <row r="596">
      <c r="A596" s="13" t="n">
        <v>595</v>
      </c>
      <c r="B596" s="13" t="inlineStr">
        <is>
          <t>Car#594</t>
        </is>
      </c>
      <c r="C596" s="13" t="inlineStr">
        <is>
          <t>C</t>
        </is>
      </c>
      <c r="D596" s="14" t="n">
        <v>38581</v>
      </c>
      <c r="E596" s="14" t="n">
        <v>40148.5</v>
      </c>
      <c r="F596" s="14" t="n">
        <v>1567.5</v>
      </c>
      <c r="G596" s="14" t="n">
        <v>4331</v>
      </c>
      <c r="H596" s="13" t="inlineStr">
        <is>
          <t>Car#592</t>
        </is>
      </c>
      <c r="I596" s="14">
        <f>E596-E595</f>
        <v/>
      </c>
      <c r="J596" s="14">
        <f>I596-58</f>
        <v/>
      </c>
      <c r="K596" s="14">
        <f>MAX(0,J596)</f>
        <v/>
      </c>
      <c r="L596" s="14">
        <f>MAX(0,-J596)</f>
        <v/>
      </c>
      <c r="M596" s="14">
        <f>M595+I596</f>
        <v/>
      </c>
      <c r="N596" s="14">
        <f>D596+F596-E596</f>
        <v/>
      </c>
      <c r="O596" s="13" t="inlineStr">
        <is>
          <t>能力超目标：四轮定位上、下、ARHUD+慢充</t>
        </is>
      </c>
      <c r="P596" s="13" t="inlineStr">
        <is>
          <t>ST1 引取(开:38581.0s 加:56.0s 等前:4187.0s 等后:8.5s) | ST2 集约(开:38645.5s 加:111.0s 等前:0.0s 等后:9.5s) | ST3 空气悬挂+快充(开:38766.0s 加:108.5s 等前:0.0s 等后:21.5s) | ST4 四轮定位上、下(开:38896.0s 加:120.5s 等前:0.0s 等后:0.0s) | ST5 ADAS(开:39016.5s 加:107.0s 等前:0.0s 等后:1.5s) | ST6 ARHUD+慢充(开:39125.0s 加:143.5s 等前:0.0s 等后:0.0s) | ST7 转毂(开:39268.5s 加:114.5s 等前:0.0s 等后:0.0s) | ST8 制动(开:39383.0s 加:114.0s 等前:0.0s 等后:0.0s) | ST9 EG漏液/底盘漏液(开:39497.0s 加:112.5s 等前:0.0s 等后:0.0s) | ST10 全景/空调检查(开:39609.5s 加:0.0s 等前:0.0s 等后:0.0s) | ST11 气囊安装+绝缘(开:39609.5s 加:116.0s 等前:0.0s 等后:0.0s) | ST12 L2++(开:39725.5s 加:88.0s 等前:0.0s 等后:0.0s) | ST13 电检1(开:39813.5s 加:84.5s 等前:0.0s 等后:103.0s) | ST14 电检2(开:40001.0s 加:97.5s 等前:0.0s 等后:0.0s) | ST15 小跑道(开:40098.5s 加:50.0s 等前:0.0s 等后:0.0s)</t>
        </is>
      </c>
    </row>
    <row r="597">
      <c r="A597" s="15" t="n">
        <v>596</v>
      </c>
      <c r="B597" s="15" t="inlineStr">
        <is>
          <t>Car#596</t>
        </is>
      </c>
      <c r="C597" s="15" t="inlineStr">
        <is>
          <t>A</t>
        </is>
      </c>
      <c r="D597" s="16" t="n">
        <v>38700.5</v>
      </c>
      <c r="E597" s="16" t="n">
        <v>40199.5</v>
      </c>
      <c r="F597" s="16" t="n">
        <v>1499</v>
      </c>
      <c r="G597" s="16" t="n">
        <v>4828.5</v>
      </c>
      <c r="H597" s="15" t="inlineStr">
        <is>
          <t>Car#594</t>
        </is>
      </c>
      <c r="I597" s="16">
        <f>E597-E596</f>
        <v/>
      </c>
      <c r="J597" s="16">
        <f>I597-58</f>
        <v/>
      </c>
      <c r="K597" s="16">
        <f>MAX(0,J597)</f>
        <v/>
      </c>
      <c r="L597" s="16">
        <f>MAX(0,-J597)</f>
        <v/>
      </c>
      <c r="M597" s="16">
        <f>M596+I597</f>
        <v/>
      </c>
      <c r="N597" s="16">
        <f>D597+F597-E597</f>
        <v/>
      </c>
      <c r="O597" s="15" t="inlineStr">
        <is>
          <t>能力满足</t>
        </is>
      </c>
      <c r="P597" s="15" t="inlineStr">
        <is>
          <t>ST1 引取(开:38700.5s 加:55.0s 等前:4190.5s 等后:10.5s) | ST2 集约(开:38766.0s 加:106.0s 等前:0.0s 等后:24.0s) | ST3 空气悬挂+快充(开:38896.0s 加:0.0s 等前:0.0s 等后:120.5s) | ST4 四轮定位上、下(开:39016.5s 加:115.0s 等前:0.0s 等后:0.0s) | ST5 ADAS(开:39131.5s 加:97.0s 等前:0.0s 等后:40.0s) | ST6 ARHUD+慢充(开:39268.5s 加:0.0s 等前:0.0s 等后:114.5s) | ST7 转毂(开:39383.0s 加:116.0s 等前:0.0s 等后:0.0s) | ST8 制动(开:39499.0s 加:108.0s 等前:0.0s 等后:2.5s) | ST9 EG漏液/底盘漏液(开:39609.5s 加:115.0s 等前:0.0s 等后:0.0s) | ST10 全景/空调检查(开:39724.5s 加:98.0s 等前:0.0s 等后:0.0s) | ST11 气囊安装+绝缘(开:39822.5s 加:0.0s 等前:0.0s 等后:0.0s) | ST12 L2++(开:39822.5s 加:0.0s 等前:0.0s 等后:178.5s) | ST13 电检1(开:40001.0s 加:0.0s 等前:0.0s 等后:97.5s) | ST14 电检2(开:40098.5s 加:0.0s 等前:0.0s 等后:50.0s) | ST15 小跑道(开:40148.5s 加:51.0s 等前:0.0s 等后:0.0s)</t>
        </is>
      </c>
    </row>
    <row r="598">
      <c r="A598" s="13" t="n">
        <v>597</v>
      </c>
      <c r="B598" s="13" t="inlineStr">
        <is>
          <t>Car#597</t>
        </is>
      </c>
      <c r="C598" s="13" t="inlineStr">
        <is>
          <t>C</t>
        </is>
      </c>
      <c r="D598" s="14" t="n">
        <v>38766</v>
      </c>
      <c r="E598" s="14" t="n">
        <v>40249.5</v>
      </c>
      <c r="F598" s="14" t="n">
        <v>1483.5</v>
      </c>
      <c r="G598" s="14" t="n">
        <v>4258</v>
      </c>
      <c r="H598" s="13" t="inlineStr">
        <is>
          <t>Car#596</t>
        </is>
      </c>
      <c r="I598" s="14">
        <f>E598-E597</f>
        <v/>
      </c>
      <c r="J598" s="14">
        <f>I598-58</f>
        <v/>
      </c>
      <c r="K598" s="14">
        <f>MAX(0,J598)</f>
        <v/>
      </c>
      <c r="L598" s="14">
        <f>MAX(0,-J598)</f>
        <v/>
      </c>
      <c r="M598" s="14">
        <f>M597+I598</f>
        <v/>
      </c>
      <c r="N598" s="14">
        <f>D598+F598-E598</f>
        <v/>
      </c>
      <c r="O598" s="13" t="inlineStr">
        <is>
          <t>能力超目标：四轮定位上、下、ARHUD+慢充</t>
        </is>
      </c>
      <c r="P598" s="13" t="inlineStr">
        <is>
          <t>ST1 引取(开:38766.0s 加:56.0s 等前:4198.0s 等后:0.0s) | ST2 集约(开:38822.0s 加:111.0s 等前:0.0s 等后:0.0s) | ST3 空气悬挂+快充(开:38933.0s 加:108.5s 等前:0.0s 等后:0.0s) | ST4 四轮定位上、下(开:39041.5s 加:120.5s 等前:0.0s 等后:11.0s) | ST5 ADAS(开:39173.0s 加:107.0s 等前:0.0s 等后:7.5s) | ST6 ARHUD+慢充(开:39287.5s 加:143.5s 等前:0.0s 等后:0.0s) | ST7 转毂(开:39431.0s 加:114.5s 等前:0.0s 等后:0.0s) | ST8 制动(开:39545.5s 加:114.0s 等前:0.0s 等后:0.0s) | ST9 EG漏液/底盘漏液(开:39659.5s 加:112.5s 等前:0.0s 等后:0.0s) | ST10 全景/空调检查(开:39772.0s 加:0.0s 等前:0.0s 等后:0.0s) | ST11 气囊安装+绝缘(开:39772.0s 加:116.0s 等前:0.0s 等后:0.0s) | ST12 L2++(开:39888.0s 加:88.0s 等前:0.0s 等后:0.0s) | ST13 电检1(开:39976.0s 加:84.5s 等前:0.0s 等后:0.0s) | ST14 电检2(开:40060.5s 加:97.5s 等前:0.0s 等后:41.5s) | ST15 小跑道(开:40199.5s 加:50.0s 等前:0.0s 等后:0.0s)</t>
        </is>
      </c>
    </row>
    <row r="599">
      <c r="A599" s="15" t="n">
        <v>598</v>
      </c>
      <c r="B599" s="15" t="inlineStr">
        <is>
          <t>Car#598</t>
        </is>
      </c>
      <c r="C599" s="15" t="inlineStr">
        <is>
          <t>C</t>
        </is>
      </c>
      <c r="D599" s="16" t="n">
        <v>38822</v>
      </c>
      <c r="E599" s="16" t="n">
        <v>40330.5</v>
      </c>
      <c r="F599" s="16" t="n">
        <v>1508.5</v>
      </c>
      <c r="G599" s="16" t="n">
        <v>4281</v>
      </c>
      <c r="H599" s="15" t="inlineStr">
        <is>
          <t>Car#597</t>
        </is>
      </c>
      <c r="I599" s="16">
        <f>E599-E598</f>
        <v/>
      </c>
      <c r="J599" s="16">
        <f>I599-58</f>
        <v/>
      </c>
      <c r="K599" s="16">
        <f>MAX(0,J599)</f>
        <v/>
      </c>
      <c r="L599" s="16">
        <f>MAX(0,-J599)</f>
        <v/>
      </c>
      <c r="M599" s="16">
        <f>M598+I599</f>
        <v/>
      </c>
      <c r="N599" s="16">
        <f>D599+F599-E599</f>
        <v/>
      </c>
      <c r="O599" s="15" t="inlineStr">
        <is>
          <t>能力超目标：四轮定位上、下、ARHUD+慢充</t>
        </is>
      </c>
      <c r="P599" s="15" t="inlineStr">
        <is>
          <t>ST1 引取(开:38822.0s 加:56.0s 等前:4196.0s 等后:18.0s) | ST2 集约(开:38896.0s 加:111.0s 等前:0.0s 等后:9.5s) | ST3 空气悬挂+快充(开:39016.5s 加:108.5s 等前:0.0s 等后:6.5s) | ST4 四轮定位上、下(开:39131.5s 加:120.5s 等前:0.0s 等后:16.5s) | ST5 ADAS(开:39268.5s 加:107.0s 等前:0.0s 等后:7.5s) | ST6 ARHUD+慢充(开:39383.0s 加:143.5s 等前:0.0s 等后:0.0s) | ST7 转毂(开:39526.5s 加:114.5s 等前:0.0s 等后:0.0s) | ST8 制动(开:39641.0s 加:114.0s 等前:0.0s 等后:0.0s) | ST9 EG漏液/底盘漏液(开:39755.0s 加:112.5s 等前:0.0s 等后:0.0s) | ST10 全景/空调检查(开:39867.5s 加:0.0s 等前:0.0s 等后:0.0s) | ST11 气囊安装+绝缘(开:39867.5s 加:116.0s 等前:0.0s 等后:17.5s) | ST12 L2++(开:40001.0s 加:88.0s 等前:0.0s 等后:9.5s) | ST13 电检1(开:40098.5s 加:84.5s 等前:0.0s 等后:0.0s) | ST14 电检2(开:40183.0s 加:97.5s 等前:0.0s 等后:0.0s) | ST15 小跑道(开:40280.5s 加:50.0s 等前:0.0s 等后:0.0s)</t>
        </is>
      </c>
    </row>
    <row r="600">
      <c r="A600" s="13" t="n">
        <v>599</v>
      </c>
      <c r="B600" s="13" t="inlineStr">
        <is>
          <t>Car#599</t>
        </is>
      </c>
      <c r="C600" s="13" t="inlineStr">
        <is>
          <t>C</t>
        </is>
      </c>
      <c r="D600" s="14" t="n">
        <v>38896</v>
      </c>
      <c r="E600" s="14" t="n">
        <v>40380.5</v>
      </c>
      <c r="F600" s="14" t="n">
        <v>1484.5</v>
      </c>
      <c r="G600" s="14" t="n">
        <v>4273</v>
      </c>
      <c r="H600" s="13" t="inlineStr">
        <is>
          <t>Car#598</t>
        </is>
      </c>
      <c r="I600" s="14">
        <f>E600-E599</f>
        <v/>
      </c>
      <c r="J600" s="14">
        <f>I600-58</f>
        <v/>
      </c>
      <c r="K600" s="14">
        <f>MAX(0,J600)</f>
        <v/>
      </c>
      <c r="L600" s="14">
        <f>MAX(0,-J600)</f>
        <v/>
      </c>
      <c r="M600" s="14">
        <f>M599+I600</f>
        <v/>
      </c>
      <c r="N600" s="14">
        <f>D600+F600-E600</f>
        <v/>
      </c>
      <c r="O600" s="13" t="inlineStr">
        <is>
          <t>能力超目标：四轮定位上、下、ARHUD+慢充</t>
        </is>
      </c>
      <c r="P600" s="13" t="inlineStr">
        <is>
          <t>ST1 引取(开:38896.0s 加:56.0s 等前:4212.0s 等后:0.0s) | ST2 集约(开:38952.0s 加:111.0s 等前:0.0s 等后:0.0s) | ST3 空气悬挂+快充(开:39063.0s 加:108.5s 等前:0.0s 等后:1.5s) | ST4 四轮定位上、下(开:39173.0s 加:120.5s 等前:0.0s 等后:0.0s) | ST5 ADAS(开:39293.5s 加:107.0s 等前:0.0s 等后:30.5s) | ST6 ARHUD+慢充(开:39431.0s 加:143.5s 等前:0.0s 等后:0.0s) | ST7 转毂(开:39574.5s 加:114.5s 等前:0.0s 等后:0.0s) | ST8 制动(开:39689.0s 加:114.0s 等前:0.0s 等后:0.0s) | ST9 EG漏液/底盘漏液(开:39803.0s 加:112.5s 等前:0.0s 等后:0.0s) | ST10 全景/空调检查(开:39915.5s 加:0.0s 等前:0.0s 等后:0.0s) | ST11 气囊安装+绝缘(开:39915.5s 加:116.0s 等前:0.0s 等后:0.0s) | ST12 L2++(开:40031.5s 加:88.0s 等前:0.0s 等后:0.0s) | ST13 电检1(开:40119.5s 加:84.5s 等前:0.0s 等后:0.0s) | ST14 电检2(开:40204.0s 加:97.5s 等前:0.0s 等后:29.0s) | ST15 小跑道(开:40330.5s 加:50.0s 等前:0.0s 等后:0.0s)</t>
        </is>
      </c>
    </row>
    <row r="601">
      <c r="A601" s="15" t="n">
        <v>600</v>
      </c>
      <c r="B601" s="15" t="inlineStr">
        <is>
          <t>Car#600</t>
        </is>
      </c>
      <c r="C601" s="15" t="inlineStr">
        <is>
          <t>C</t>
        </is>
      </c>
      <c r="D601" s="16" t="n">
        <v>38952</v>
      </c>
      <c r="E601" s="16" t="n">
        <v>40447</v>
      </c>
      <c r="F601" s="16" t="n">
        <v>1495</v>
      </c>
      <c r="G601" s="16" t="n">
        <v>4281.5</v>
      </c>
      <c r="H601" s="15" t="inlineStr">
        <is>
          <t>Car#599</t>
        </is>
      </c>
      <c r="I601" s="16">
        <f>E601-E600</f>
        <v/>
      </c>
      <c r="J601" s="16">
        <f>I601-58</f>
        <v/>
      </c>
      <c r="K601" s="16">
        <f>MAX(0,J601)</f>
        <v/>
      </c>
      <c r="L601" s="16">
        <f>MAX(0,-J601)</f>
        <v/>
      </c>
      <c r="M601" s="16">
        <f>M600+I601</f>
        <v/>
      </c>
      <c r="N601" s="16">
        <f>D601+F601-E601</f>
        <v/>
      </c>
      <c r="O601" s="15" t="inlineStr">
        <is>
          <t>能力超目标：四轮定位上、下、ARHUD+慢充</t>
        </is>
      </c>
      <c r="P601" s="15" t="inlineStr">
        <is>
          <t>ST1 引取(开:38952.0s 加:56.0s 等前:4210.0s 等后:8.5s) | ST2 集约(开:39016.5s 加:111.0s 等前:0.0s 等后:4.0s) | ST3 空气悬挂+快充(开:39131.5s 加:108.5s 等前:0.0s 等后:28.5s) | ST4 四轮定位上、下(开:39268.5s 加:120.5s 等前:0.0s 等后:0.0s) | ST5 ADAS(开:39389.0s 加:107.0s 等前:0.0s 等后:30.5s) | ST6 ARHUD+慢充(开:39526.5s 加:143.5s 等前:0.0s 等后:0.0s) | ST7 转毂(开:39670.0s 加:114.5s 等前:0.0s 等后:0.0s) | ST8 制动(开:39784.5s 加:114.0s 等前:0.0s 等后:0.0s) | ST9 EG漏液/底盘漏液(开:39898.5s 加:112.5s 等前:0.0s 等后:0.0s) | ST10 全景/空调检查(开:40011.0s 加:0.0s 等前:0.0s 等后:0.0s) | ST11 气囊安装+绝缘(开:40011.0s 加:116.0s 等前:0.0s 等后:0.0s) | ST12 L2++(开:40127.0s 加:88.0s 等前:0.0s 等后:0.0s) | ST13 电检1(开:40215.0s 加:84.5s 等前:0.0s 等后:0.0s) | ST14 电检2(开:40299.5s 加:97.5s 等前:0.0s 等后:0.0s) | ST15 小跑道(开:40397.0s 加:50.0s 等前:0.0s 等后:0.0s)</t>
        </is>
      </c>
    </row>
    <row r="602">
      <c r="A602" s="13" t="n">
        <v>601</v>
      </c>
      <c r="B602" s="13" t="inlineStr">
        <is>
          <t>Car#601</t>
        </is>
      </c>
      <c r="C602" s="13" t="inlineStr">
        <is>
          <t>B</t>
        </is>
      </c>
      <c r="D602" s="14" t="n">
        <v>39016.5</v>
      </c>
      <c r="E602" s="14" t="n">
        <v>40497</v>
      </c>
      <c r="F602" s="14" t="n">
        <v>1480.5</v>
      </c>
      <c r="G602" s="14" t="n">
        <v>4365.5</v>
      </c>
      <c r="H602" s="13" t="inlineStr">
        <is>
          <t>Car#600</t>
        </is>
      </c>
      <c r="I602" s="14">
        <f>E602-E601</f>
        <v/>
      </c>
      <c r="J602" s="14">
        <f>I602-58</f>
        <v/>
      </c>
      <c r="K602" s="14">
        <f>MAX(0,J602)</f>
        <v/>
      </c>
      <c r="L602" s="14">
        <f>MAX(0,-J602)</f>
        <v/>
      </c>
      <c r="M602" s="14">
        <f>M601+I602</f>
        <v/>
      </c>
      <c r="N602" s="14">
        <f>D602+F602-E602</f>
        <v/>
      </c>
      <c r="O602" s="13" t="inlineStr">
        <is>
          <t>能力超目标：四轮定位上、下</t>
        </is>
      </c>
      <c r="P602" s="13" t="inlineStr">
        <is>
          <t>ST1 引取(开:39016.5s 加:56.0s 等前:4216.5s 等后:0.0s) | ST2 集约(开:39072.5s 加:111.0s 等前:0.0s 等后:0.0s) | ST3 空气悬挂+快充(开:39183.5s 加:108.5s 等前:0.0s 等后:1.5s) | ST4 四轮定位上、下(开:39293.5s 加:120.5s 等前:0.0s 等后:17.0s) | ST5 ADAS(开:39431.0s 加:107.0s 等前:0.0s 等后:36.5s) | ST6 ARHUD+慢充(开:39574.5s 加:51.5s 等前:0.0s 等后:63.0s) | ST7 转毂(开:39689.0s 加:114.5s 等前:0.0s 等后:0.0s) | ST8 制动(开:39803.5s 加:114.0s 等前:0.0s 等后:0.0s) | ST9 EG漏液/底盘漏液(开:39917.5s 加:112.5s 等前:0.0s 等后:0.0s) | ST10 全景/空调检查(开:40030.0s 加:0.0s 等前:0.0s 等后:1.5s) | ST11 气囊安装+绝缘(开:40031.5s 加:116.0s 等前:0.0s 等后:0.0s) | ST12 L2++(开:40147.5s 加:88.0s 等前:0.0s 等后:0.0s) | ST13 电检1(开:40235.5s 加:84.5s 等前:0.0s 等后:10.5s) | ST14 电检2(开:40330.5s 加:97.5s 等前:0.0s 等后:19.0s) | ST15 小跑道(开:40447.0s 加:50.0s 等前:0.0s 等后:0.0s)</t>
        </is>
      </c>
    </row>
    <row r="603">
      <c r="A603" s="15" t="n">
        <v>602</v>
      </c>
      <c r="B603" s="15" t="inlineStr">
        <is>
          <t>Car#602</t>
        </is>
      </c>
      <c r="C603" s="15" t="inlineStr">
        <is>
          <t>B</t>
        </is>
      </c>
      <c r="D603" s="16" t="n">
        <v>39072.5</v>
      </c>
      <c r="E603" s="16" t="n">
        <v>40563</v>
      </c>
      <c r="F603" s="16" t="n">
        <v>1490.5</v>
      </c>
      <c r="G603" s="16" t="n">
        <v>4373.5</v>
      </c>
      <c r="H603" s="15" t="inlineStr">
        <is>
          <t>Car#601</t>
        </is>
      </c>
      <c r="I603" s="16">
        <f>E603-E602</f>
        <v/>
      </c>
      <c r="J603" s="16">
        <f>I603-58</f>
        <v/>
      </c>
      <c r="K603" s="16">
        <f>MAX(0,J603)</f>
        <v/>
      </c>
      <c r="L603" s="16">
        <f>MAX(0,-J603)</f>
        <v/>
      </c>
      <c r="M603" s="16">
        <f>M602+I603</f>
        <v/>
      </c>
      <c r="N603" s="16">
        <f>D603+F603-E603</f>
        <v/>
      </c>
      <c r="O603" s="15" t="inlineStr">
        <is>
          <t>能力超目标：四轮定位上、下</t>
        </is>
      </c>
      <c r="P603" s="15" t="inlineStr">
        <is>
          <t>ST1 引取(开:39072.5s 加:56.0s 等前:4214.5s 等后:3.0s) | ST2 集约(开:39131.5s 加:111.0s 等前:0.0s 等后:26.0s) | ST3 空气悬挂+快充(开:39268.5s 加:108.5s 等前:0.0s 等后:12.0s) | ST4 四轮定位上、下(开:39389.0s 加:120.5s 等前:0.0s 等后:17.0s) | ST5 ADAS(开:39526.5s 加:107.0s 等前:0.0s 等后:36.5s) | ST6 ARHUD+慢充(开:39670.0s 加:51.5s 等前:0.0s 等后:63.0s) | ST7 转毂(开:39784.5s 加:114.5s 等前:0.0s 等后:0.0s) | ST8 制动(开:39899.0s 加:114.0s 等前:0.0s 等后:0.0s) | ST9 EG漏液/底盘漏液(开:40013.0s 加:112.5s 等前:0.0s 等后:0.0s) | ST10 全景/空调检查(开:40125.5s 加:0.0s 等前:0.0s 等后:1.5s) | ST11 气囊安装+绝缘(开:40127.0s 加:116.0s 等前:0.0s 等后:0.0s) | ST12 L2++(开:40243.0s 加:88.0s 等前:0.0s 等后:0.0s) | ST13 电检1(开:40331.0s 加:84.5s 等前:0.0s 等后:0.0s) | ST14 电检2(开:40415.5s 加:97.5s 等前:0.0s 等后:0.0s) | ST15 小跑道(开:40513.0s 加:50.0s 等前:0.0s 等后:0.0s)</t>
        </is>
      </c>
    </row>
    <row r="604">
      <c r="A604" s="13" t="n">
        <v>603</v>
      </c>
      <c r="B604" s="13" t="inlineStr">
        <is>
          <t>Car#604</t>
        </is>
      </c>
      <c r="C604" s="13" t="inlineStr">
        <is>
          <t>A</t>
        </is>
      </c>
      <c r="D604" s="14" t="n">
        <v>39187.5</v>
      </c>
      <c r="E604" s="14" t="n">
        <v>40614</v>
      </c>
      <c r="F604" s="14" t="n">
        <v>1426.5</v>
      </c>
      <c r="G604" s="14" t="n">
        <v>4779</v>
      </c>
      <c r="H604" s="13" t="inlineStr">
        <is>
          <t>Car#602</t>
        </is>
      </c>
      <c r="I604" s="14">
        <f>E604-E603</f>
        <v/>
      </c>
      <c r="J604" s="14">
        <f>I604-58</f>
        <v/>
      </c>
      <c r="K604" s="14">
        <f>MAX(0,J604)</f>
        <v/>
      </c>
      <c r="L604" s="14">
        <f>MAX(0,-J604)</f>
        <v/>
      </c>
      <c r="M604" s="14">
        <f>M603+I604</f>
        <v/>
      </c>
      <c r="N604" s="14">
        <f>D604+F604-E604</f>
        <v/>
      </c>
      <c r="O604" s="13" t="inlineStr">
        <is>
          <t>能力满足</t>
        </is>
      </c>
      <c r="P604" s="13" t="inlineStr">
        <is>
          <t>ST1 引取(开:39187.5s 加:55.0s 等前:4213.5s 等后:26.0s) | ST2 集约(开:39268.5s 加:106.0s 等前:0.0s 等后:14.5s) | ST3 空气悬挂+快充(开:39389.0s 加:0.0s 等前:0.0s 等后:137.5s) | ST4 四轮定位上、下(开:39526.5s 加:115.0s 等前:0.0s 等后:28.5s) | ST5 ADAS(开:39670.0s 加:97.0s 等前:0.0s 等后:17.5s) | ST6 ARHUD+慢充(开:39784.5s 加:0.0s 等前:0.0s 等后:114.5s) | ST7 转毂(开:39899.0s 加:116.0s 等前:0.0s 等后:0.0s) | ST8 制动(开:40015.0s 加:108.0s 等前:0.0s 等后:2.5s) | ST9 EG漏液/底盘漏液(开:40125.5s 加:115.0s 等前:0.0s 等后:0.0s) | ST10 全景/空调检查(开:40240.5s 加:98.0s 等前:0.0s 等后:0.0s) | ST11 气囊安装+绝缘(开:40338.5s 加:0.0s 等前:0.0s 等后:0.0s) | ST12 L2++(开:40338.5s 加:0.0s 等前:0.0s 等后:77.0s) | ST13 电检1(开:40415.5s 加:0.0s 等前:0.0s 等后:97.5s) | ST14 电检2(开:40513.0s 加:0.0s 等前:0.0s 等后:50.0s) | ST15 小跑道(开:40563.0s 加:51.0s 等前:0.0s 等后:0.0s)</t>
        </is>
      </c>
    </row>
    <row r="605">
      <c r="A605" s="15" t="n">
        <v>604</v>
      </c>
      <c r="B605" s="15" t="inlineStr">
        <is>
          <t>Car#603</t>
        </is>
      </c>
      <c r="C605" s="15" t="inlineStr">
        <is>
          <t>B</t>
        </is>
      </c>
      <c r="D605" s="16" t="n">
        <v>39131.5</v>
      </c>
      <c r="E605" s="16" t="n">
        <v>40664</v>
      </c>
      <c r="F605" s="16" t="n">
        <v>1532.5</v>
      </c>
      <c r="G605" s="16" t="n">
        <v>4416.5</v>
      </c>
      <c r="H605" s="15" t="inlineStr">
        <is>
          <t>Car#604</t>
        </is>
      </c>
      <c r="I605" s="16">
        <f>E605-E604</f>
        <v/>
      </c>
      <c r="J605" s="16">
        <f>I605-58</f>
        <v/>
      </c>
      <c r="K605" s="16">
        <f>MAX(0,J605)</f>
        <v/>
      </c>
      <c r="L605" s="16">
        <f>MAX(0,-J605)</f>
        <v/>
      </c>
      <c r="M605" s="16">
        <f>M604+I605</f>
        <v/>
      </c>
      <c r="N605" s="16">
        <f>D605+F605-E605</f>
        <v/>
      </c>
      <c r="O605" s="15" t="inlineStr">
        <is>
          <t>能力超目标：四轮定位上、下</t>
        </is>
      </c>
      <c r="P605" s="15" t="inlineStr">
        <is>
          <t>ST1 引取(开:39131.5s 加:56.0s 等前:4215.5s 等后:0.0s) | ST2 集约(开:39187.5s 加:111.0s 等前:0.0s 等后:0.0s) | ST3 空气悬挂+快充(开:39298.5s 加:108.5s 等前:0.0s 等后:24.0s) | ST4 四轮定位上、下(开:39431.0s 加:120.5s 等前:0.0s 等后:23.0s) | ST5 ADAS(开:39574.5s 加:107.0s 等前:0.0s 等后:7.5s) | ST6 ARHUD+慢充(开:39689.0s 加:51.5s 等前:0.0s 等后:63.0s) | ST7 转毂(开:39803.5s 加:114.5s 等前:0.0s 等后:0.0s) | ST8 制动(开:39918.0s 加:114.0s 等前:0.0s 等后:0.0s) | ST9 EG漏液/底盘漏液(开:40032.0s 加:112.5s 等前:0.0s 等后:0.0s) | ST10 全景/空调检查(开:40144.5s 加:0.0s 等前:0.0s 等后:3.0s) | ST11 气囊安装+绝缘(开:40147.5s 加:116.0s 等前:0.0s 等后:0.0s) | ST12 L2++(开:40263.5s 加:88.0s 等前:0.0s 等后:0.0s) | ST13 电检1(开:40351.5s 加:84.5s 等前:0.0s 等后:11.0s) | ST14 电检2(开:40447.0s 加:97.5s 等前:0.0s 等后:69.5s) | ST15 小跑道(开:40614.0s 加:50.0s 等前:0.0s 等后:0.0s)</t>
        </is>
      </c>
    </row>
    <row r="606">
      <c r="A606" s="13" t="n">
        <v>605</v>
      </c>
      <c r="B606" s="13" t="inlineStr">
        <is>
          <t>Car#605</t>
        </is>
      </c>
      <c r="C606" s="13" t="inlineStr">
        <is>
          <t>C</t>
        </is>
      </c>
      <c r="D606" s="14" t="n">
        <v>39268.5</v>
      </c>
      <c r="E606" s="14" t="n">
        <v>40761.5</v>
      </c>
      <c r="F606" s="14" t="n">
        <v>1493</v>
      </c>
      <c r="G606" s="14" t="n">
        <v>4306</v>
      </c>
      <c r="H606" s="13" t="inlineStr">
        <is>
          <t>Car#603</t>
        </is>
      </c>
      <c r="I606" s="14">
        <f>E606-E605</f>
        <v/>
      </c>
      <c r="J606" s="14">
        <f>I606-58</f>
        <v/>
      </c>
      <c r="K606" s="14">
        <f>MAX(0,J606)</f>
        <v/>
      </c>
      <c r="L606" s="14">
        <f>MAX(0,-J606)</f>
        <v/>
      </c>
      <c r="M606" s="14">
        <f>M605+I606</f>
        <v/>
      </c>
      <c r="N606" s="14">
        <f>D606+F606-E606</f>
        <v/>
      </c>
      <c r="O606" s="13" t="inlineStr">
        <is>
          <t>能力超目标：四轮定位上、下、ARHUD+慢充</t>
        </is>
      </c>
      <c r="P606" s="13" t="inlineStr">
        <is>
          <t>ST1 引取(开:39268.5s 加:56.0s 等前:4236.5s 等后:0.0s) | ST2 集约(开:39324.5s 加:111.0s 等前:0.0s 等后:0.0s) | ST3 空气悬挂+快充(开:39435.5s 加:108.5s 等前:0.0s 等后:30.5s) | ST4 四轮定位上、下(开:39574.5s 加:120.5s 等前:0.0s 等后:0.0s) | ST5 ADAS(开:39695.0s 加:107.0s 等前:0.0s 等后:1.5s) | ST6 ARHUD+慢充(开:39803.5s 加:143.5s 等前:0.0s 等后:0.0s) | ST7 转毂(开:39947.0s 加:114.5s 等前:0.0s 等后:0.0s) | ST8 制动(开:40061.5s 加:114.0s 等前:0.0s 等后:0.0s) | ST9 EG漏液/底盘漏液(开:40175.5s 加:112.5s 等前:0.0s 等后:0.0s) | ST10 全景/空调检查(开:40288.0s 加:0.0s 等前:0.0s 等后:0.0s) | ST11 气囊安装+绝缘(开:40288.0s 加:116.0s 等前:0.0s 等后:0.0s) | ST12 L2++(开:40404.0s 加:88.0s 等前:0.0s 等后:0.0s) | ST13 电检1(开:40492.0s 加:84.5s 等前:0.0s 等后:37.5s) | ST14 电检2(开:40614.0s 加:97.5s 等前:0.0s 等后:0.0s) | ST15 小跑道(开:40711.5s 加:50.0s 等前:0.0s 等后:0.0s)</t>
        </is>
      </c>
    </row>
    <row r="607">
      <c r="A607" s="15" t="n">
        <v>606</v>
      </c>
      <c r="B607" s="15" t="inlineStr">
        <is>
          <t>Car#606</t>
        </is>
      </c>
      <c r="C607" s="15" t="inlineStr">
        <is>
          <t>C</t>
        </is>
      </c>
      <c r="D607" s="16" t="n">
        <v>39324.5</v>
      </c>
      <c r="E607" s="16" t="n">
        <v>40819.5</v>
      </c>
      <c r="F607" s="16" t="n">
        <v>1495</v>
      </c>
      <c r="G607" s="16" t="n">
        <v>4306</v>
      </c>
      <c r="H607" s="15" t="inlineStr">
        <is>
          <t>Car#605</t>
        </is>
      </c>
      <c r="I607" s="16">
        <f>E607-E606</f>
        <v/>
      </c>
      <c r="J607" s="16">
        <f>I607-58</f>
        <v/>
      </c>
      <c r="K607" s="16">
        <f>MAX(0,J607)</f>
        <v/>
      </c>
      <c r="L607" s="16">
        <f>MAX(0,-J607)</f>
        <v/>
      </c>
      <c r="M607" s="16">
        <f>M606+I607</f>
        <v/>
      </c>
      <c r="N607" s="16">
        <f>D607+F607-E607</f>
        <v/>
      </c>
      <c r="O607" s="15" t="inlineStr">
        <is>
          <t>能力超目标：四轮定位上、下、ARHUD+慢充</t>
        </is>
      </c>
      <c r="P607" s="15" t="inlineStr">
        <is>
          <t>ST1 引取(开:39324.5s 加:56.0s 等前:4234.5s 等后:8.5s) | ST2 集约(开:39389.0s 加:111.0s 等前:0.0s 等后:26.5s) | ST3 空气悬挂+快充(开:39526.5s 加:108.5s 等前:0.0s 等后:35.0s) | ST4 四轮定位上、下(开:39670.0s 加:120.5s 等前:0.0s 等后:0.0s) | ST5 ADAS(开:39790.5s 加:107.0s 等前:0.0s 等后:1.5s) | ST6 ARHUD+慢充(开:39899.0s 加:143.5s 等前:0.0s 等后:0.0s) | ST7 转毂(开:40042.5s 加:114.5s 等前:0.0s 等后:0.0s) | ST8 制动(开:40157.0s 加:114.0s 等前:0.0s 等后:0.0s) | ST9 EG漏液/底盘漏液(开:40271.0s 加:112.5s 等前:0.0s 等后:0.0s) | ST10 全景/空调检查(开:40383.5s 加:0.0s 等前:0.0s 等后:0.0s) | ST11 气囊安装+绝缘(开:40383.5s 加:116.0s 等前:0.0s 等后:0.0s) | ST12 L2++(开:40499.5s 加:88.0s 等前:0.0s 等后:0.0s) | ST13 电检1(开:40587.5s 加:84.5s 等前:0.0s 等后:0.0s) | ST14 电检2(开:40672.0s 加:97.5s 等前:0.0s 等后:0.0s) | ST15 小跑道(开:40769.5s 加:50.0s 等前:0.0s 等后:0.0s)</t>
        </is>
      </c>
    </row>
    <row r="608">
      <c r="A608" s="13" t="n">
        <v>607</v>
      </c>
      <c r="B608" s="13" t="inlineStr">
        <is>
          <t>Car#608</t>
        </is>
      </c>
      <c r="C608" s="13" t="inlineStr">
        <is>
          <t>A</t>
        </is>
      </c>
      <c r="D608" s="14" t="n">
        <v>39445</v>
      </c>
      <c r="E608" s="14" t="n">
        <v>40870.5</v>
      </c>
      <c r="F608" s="14" t="n">
        <v>1425.5</v>
      </c>
      <c r="G608" s="14" t="n">
        <v>4803.5</v>
      </c>
      <c r="H608" s="13" t="inlineStr">
        <is>
          <t>Car#606</t>
        </is>
      </c>
      <c r="I608" s="14">
        <f>E608-E607</f>
        <v/>
      </c>
      <c r="J608" s="14">
        <f>I608-58</f>
        <v/>
      </c>
      <c r="K608" s="14">
        <f>MAX(0,J608)</f>
        <v/>
      </c>
      <c r="L608" s="14">
        <f>MAX(0,-J608)</f>
        <v/>
      </c>
      <c r="M608" s="14">
        <f>M607+I608</f>
        <v/>
      </c>
      <c r="N608" s="14">
        <f>D608+F608-E608</f>
        <v/>
      </c>
      <c r="O608" s="13" t="inlineStr">
        <is>
          <t>能力满足</t>
        </is>
      </c>
      <c r="P608" s="13" t="inlineStr">
        <is>
          <t>ST1 引取(开:39445.0s 加:55.0s 等前:4239.0s 等后:26.5s) | ST2 集约(开:39526.5s 加:106.0s 等前:0.0s 等后:37.5s) | ST3 空气悬挂+快充(开:39670.0s 加:0.0s 等前:0.0s 等后:120.5s) | ST4 四轮定位上、下(开:39790.5s 加:115.0s 等前:0.0s 等后:0.0s) | ST5 ADAS(开:39905.5s 加:97.0s 等前:0.0s 等后:40.0s) | ST6 ARHUD+慢充(开:40042.5s 加:0.0s 等前:0.0s 等后:114.5s) | ST7 转毂(开:40157.0s 加:116.0s 等前:0.0s 等后:0.0s) | ST8 制动(开:40273.0s 加:108.0s 等前:0.0s 等后:2.5s) | ST9 EG漏液/底盘漏液(开:40383.5s 加:115.0s 等前:0.0s 等后:0.0s) | ST10 全景/空调检查(开:40498.5s 加:98.0s 等前:0.0s 等后:0.0s) | ST11 气囊安装+绝缘(开:40596.5s 加:0.0s 等前:0.0s 等后:0.0s) | ST12 L2++(开:40596.5s 加:0.0s 等前:0.0s 等后:75.5s) | ST13 电检1(开:40672.0s 加:0.0s 等前:0.0s 等后:97.5s) | ST14 电检2(开:40769.5s 加:0.0s 等前:0.0s 等后:50.0s) | ST15 小跑道(开:40819.5s 加:51.0s 等前:0.0s 等后:0.0s)</t>
        </is>
      </c>
    </row>
    <row r="609">
      <c r="A609" s="15" t="n">
        <v>608</v>
      </c>
      <c r="B609" s="15" t="inlineStr">
        <is>
          <t>Car#607</t>
        </is>
      </c>
      <c r="C609" s="15" t="inlineStr">
        <is>
          <t>C</t>
        </is>
      </c>
      <c r="D609" s="16" t="n">
        <v>39389</v>
      </c>
      <c r="E609" s="16" t="n">
        <v>40920.5</v>
      </c>
      <c r="F609" s="16" t="n">
        <v>1531.5</v>
      </c>
      <c r="G609" s="16" t="n">
        <v>4349</v>
      </c>
      <c r="H609" s="15" t="inlineStr">
        <is>
          <t>Car#608</t>
        </is>
      </c>
      <c r="I609" s="16">
        <f>E609-E608</f>
        <v/>
      </c>
      <c r="J609" s="16">
        <f>I609-58</f>
        <v/>
      </c>
      <c r="K609" s="16">
        <f>MAX(0,J609)</f>
        <v/>
      </c>
      <c r="L609" s="16">
        <f>MAX(0,-J609)</f>
        <v/>
      </c>
      <c r="M609" s="16">
        <f>M608+I609</f>
        <v/>
      </c>
      <c r="N609" s="16">
        <f>D609+F609-E609</f>
        <v/>
      </c>
      <c r="O609" s="15" t="inlineStr">
        <is>
          <t>能力超目标：四轮定位上、下、ARHUD+慢充</t>
        </is>
      </c>
      <c r="P609" s="15" t="inlineStr">
        <is>
          <t>ST1 引取(开:39389.0s 加:56.0s 等前:4241.0s 等后:0.0s) | ST2 集约(开:39445.0s 加:111.0s 等前:0.0s 等后:18.5s) | ST3 空气悬挂+快充(开:39574.5s 加:108.5s 等前:0.0s 等后:12.0s) | ST4 四轮定位上、下(开:39695.0s 加:120.5s 等前:0.0s 等后:0.0s) | ST5 ADAS(开:39815.5s 加:107.0s 等前:0.0s 等后:24.5s) | ST6 ARHUD+慢充(开:39947.0s 加:143.5s 等前:0.0s 等后:0.0s) | ST7 转毂(开:40090.5s 加:114.5s 等前:0.0s 等后:0.0s) | ST8 制动(开:40205.0s 加:114.0s 等前:0.0s 等后:0.0s) | ST9 EG漏液/底盘漏液(开:40319.0s 加:112.5s 等前:0.0s 等后:0.0s) | ST10 全景/空调检查(开:40431.5s 加:0.0s 等前:0.0s 等后:0.0s) | ST11 气囊安装+绝缘(开:40431.5s 加:116.0s 等前:0.0s 等后:0.0s) | ST12 L2++(开:40547.5s 加:88.0s 等前:0.0s 等后:0.0s) | ST13 电检1(开:40635.5s 加:84.5s 等前:0.0s 等后:0.0s) | ST14 电检2(开:40720.0s 加:97.5s 等前:0.0s 等后:53.0s) | ST15 小跑道(开:40870.5s 加:50.0s 等前:0.0s 等后:0.0s)</t>
        </is>
      </c>
    </row>
    <row r="610">
      <c r="A610" s="13" t="n">
        <v>609</v>
      </c>
      <c r="B610" s="13" t="inlineStr">
        <is>
          <t>Car#610</t>
        </is>
      </c>
      <c r="C610" s="13" t="inlineStr">
        <is>
          <t>A</t>
        </is>
      </c>
      <c r="D610" s="14" t="n">
        <v>39581.5</v>
      </c>
      <c r="E610" s="14" t="n">
        <v>40971.5</v>
      </c>
      <c r="F610" s="14" t="n">
        <v>1390</v>
      </c>
      <c r="G610" s="14" t="n">
        <v>4788.5</v>
      </c>
      <c r="H610" s="13" t="inlineStr">
        <is>
          <t>Car#607</t>
        </is>
      </c>
      <c r="I610" s="14">
        <f>E610-E609</f>
        <v/>
      </c>
      <c r="J610" s="14">
        <f>I610-58</f>
        <v/>
      </c>
      <c r="K610" s="14">
        <f>MAX(0,J610)</f>
        <v/>
      </c>
      <c r="L610" s="14">
        <f>MAX(0,-J610)</f>
        <v/>
      </c>
      <c r="M610" s="14">
        <f>M609+I610</f>
        <v/>
      </c>
      <c r="N610" s="14">
        <f>D610+F610-E610</f>
        <v/>
      </c>
      <c r="O610" s="13" t="inlineStr">
        <is>
          <t>能力满足</t>
        </is>
      </c>
      <c r="P610" s="13" t="inlineStr">
        <is>
          <t>ST1 引取(开:39581.5s 加:55.0s 等前:4259.5s 等后:33.5s) | ST2 集约(开:39670.0s 加:106.0s 等前:0.0s 等后:14.5s) | ST3 空气悬挂+快充(开:39790.5s 加:0.0s 等前:0.0s 等后:115.0s) | ST4 四轮定位上、下(开:39905.5s 加:115.0s 等前:0.0s 等后:22.0s) | ST5 ADAS(开:40042.5s 加:97.0s 等前:0.0s 等后:17.5s) | ST6 ARHUD+慢充(开:40157.0s 加:0.0s 等前:0.0s 等后:116.0s) | ST7 转毂(开:40273.0s 加:116.0s 等前:0.0s 等后:0.0s) | ST8 制动(开:40389.0s 加:108.0s 等前:0.0s 等后:1.5s) | ST9 EG漏液/底盘漏液(开:40498.5s 加:115.0s 等前:0.0s 等后:0.0s) | ST10 全景/空调检查(开:40613.5s 加:98.0s 等前:0.0s 等后:0.0s) | ST11 气囊安装+绝缘(开:40711.5s 加:0.0s 等前:0.0s 等后:0.0s) | ST12 L2++(开:40711.5s 加:0.0s 等前:0.0s 等后:58.0s) | ST13 电检1(开:40769.5s 加:0.0s 等前:0.0s 等后:50.0s) | ST14 电检2(开:40819.5s 加:0.0s 等前:0.0s 等后:101.0s) | ST15 小跑道(开:40920.5s 加:51.0s 等前:0.0s 等后:0.0s)</t>
        </is>
      </c>
    </row>
    <row r="611">
      <c r="A611" s="15" t="n">
        <v>610</v>
      </c>
      <c r="B611" s="15" t="inlineStr">
        <is>
          <t>Car#609</t>
        </is>
      </c>
      <c r="C611" s="15" t="inlineStr">
        <is>
          <t>A</t>
        </is>
      </c>
      <c r="D611" s="16" t="n">
        <v>39526.5</v>
      </c>
      <c r="E611" s="16" t="n">
        <v>41022.5</v>
      </c>
      <c r="F611" s="16" t="n">
        <v>1496</v>
      </c>
      <c r="G611" s="16" t="n">
        <v>4897.5</v>
      </c>
      <c r="H611" s="15" t="inlineStr">
        <is>
          <t>Car#610</t>
        </is>
      </c>
      <c r="I611" s="16">
        <f>E611-E610</f>
        <v/>
      </c>
      <c r="J611" s="16">
        <f>I611-58</f>
        <v/>
      </c>
      <c r="K611" s="16">
        <f>MAX(0,J611)</f>
        <v/>
      </c>
      <c r="L611" s="16">
        <f>MAX(0,-J611)</f>
        <v/>
      </c>
      <c r="M611" s="16">
        <f>M610+I611</f>
        <v/>
      </c>
      <c r="N611" s="16">
        <f>D611+F611-E611</f>
        <v/>
      </c>
      <c r="O611" s="15" t="inlineStr">
        <is>
          <t>能力满足</t>
        </is>
      </c>
      <c r="P611" s="15" t="inlineStr">
        <is>
          <t>ST1 引取(开:39526.5s 加:55.0s 等前:4262.5s 等后:0.0s) | ST2 集约(开:39581.5s 加:106.0s 等前:0.0s 等后:7.5s) | ST3 空气悬挂+快充(开:39695.0s 加:0.0s 等前:0.0s 等后:120.5s) | ST4 四轮定位上、下(开:39815.5s 加:115.0s 等前:0.0s 等后:16.5s) | ST5 ADAS(开:39947.0s 加:97.0s 等前:0.0s 等后:46.5s) | ST6 ARHUD+慢充(开:40090.5s 加:0.0s 等前:0.0s 等后:114.5s) | ST7 转毂(开:40205.0s 加:116.0s 等前:0.0s 等后:0.0s) | ST8 制动(开:40321.0s 加:108.0s 等前:0.0s 等后:2.5s) | ST9 EG漏液/底盘漏液(开:40431.5s 加:115.0s 等前:0.0s 等后:0.0s) | ST10 全景/空调检查(开:40546.5s 加:98.0s 等前:0.0s 等后:0.0s) | ST11 气囊安装+绝缘(开:40644.5s 加:0.0s 等前:0.0s 等后:0.0s) | ST12 L2++(开:40644.5s 加:0.0s 等前:0.0s 等后:75.5s) | ST13 电检1(开:40720.0s 加:0.0s 等前:0.0s 等后:150.5s) | ST14 电检2(开:40870.5s 加:0.0s 等前:0.0s 等后:101.0s) | ST15 小跑道(开:40971.5s 加:51.0s 等前:0.0s 等后:0.0s)</t>
        </is>
      </c>
    </row>
    <row r="612">
      <c r="A612" s="13" t="n">
        <v>611</v>
      </c>
      <c r="B612" s="13" t="inlineStr">
        <is>
          <t>Car#611</t>
        </is>
      </c>
      <c r="C612" s="13" t="inlineStr">
        <is>
          <t>C</t>
        </is>
      </c>
      <c r="D612" s="14" t="n">
        <v>39670</v>
      </c>
      <c r="E612" s="14" t="n">
        <v>41125.5</v>
      </c>
      <c r="F612" s="14" t="n">
        <v>1455.5</v>
      </c>
      <c r="G612" s="14" t="n">
        <v>4322</v>
      </c>
      <c r="H612" s="13" t="inlineStr">
        <is>
          <t>Car#609</t>
        </is>
      </c>
      <c r="I612" s="14">
        <f>E612-E611</f>
        <v/>
      </c>
      <c r="J612" s="14">
        <f>I612-58</f>
        <v/>
      </c>
      <c r="K612" s="14">
        <f>MAX(0,J612)</f>
        <v/>
      </c>
      <c r="L612" s="14">
        <f>MAX(0,-J612)</f>
        <v/>
      </c>
      <c r="M612" s="14">
        <f>M611+I612</f>
        <v/>
      </c>
      <c r="N612" s="14">
        <f>D612+F612-E612</f>
        <v/>
      </c>
      <c r="O612" s="13" t="inlineStr">
        <is>
          <t>能力超目标：四轮定位上、下、ARHUD+慢充</t>
        </is>
      </c>
      <c r="P612" s="13" t="inlineStr">
        <is>
          <t>ST1 引取(开:39670.0s 加:56.0s 等前:4290.0s 等后:0.0s) | ST2 集约(开:39726.0s 加:111.0s 等前:0.0s 等后:0.0s) | ST3 空气悬挂+快充(开:39837.0s 加:108.5s 等前:0.0s 等后:1.5s) | ST4 四轮定位上、下(开:39947.0s 加:120.5s 等前:0.0s 等后:23.0s) | ST5 ADAS(开:40090.5s 加:107.0s 等前:0.0s 等后:7.5s) | ST6 ARHUD+慢充(开:40205.0s 加:143.5s 等前:0.0s 等后:0.0s) | ST7 转毂(开:40348.5s 加:114.5s 等前:0.0s 等后:0.0s) | ST8 制动(开:40463.0s 加:114.0s 等前:0.0s 等后:0.0s) | ST9 EG漏液/底盘漏液(开:40577.0s 加:112.5s 等前:0.0s 等后:0.0s) | ST10 全景/空调检查(开:40689.5s 加:0.0s 等前:0.0s 等后:0.0s) | ST11 气囊安装+绝缘(开:40689.5s 加:116.0s 等前:0.0s 等后:0.0s) | ST12 L2++(开:40805.5s 加:88.0s 等前:0.0s 等后:0.0s) | ST13 电检1(开:40893.5s 加:84.5s 等前:0.0s 等后:0.0s) | ST14 电检2(开:40978.0s 加:97.5s 等前:0.0s 等后:0.0s) | ST15 小跑道(开:41075.5s 加:50.0s 等前:0.0s 等后:0.0s)</t>
        </is>
      </c>
    </row>
    <row r="613">
      <c r="A613" s="15" t="n">
        <v>612</v>
      </c>
      <c r="B613" s="15" t="inlineStr">
        <is>
          <t>Car#612</t>
        </is>
      </c>
      <c r="C613" s="15" t="inlineStr">
        <is>
          <t>B</t>
        </is>
      </c>
      <c r="D613" s="16" t="n">
        <v>39726</v>
      </c>
      <c r="E613" s="16" t="n">
        <v>41175.5</v>
      </c>
      <c r="F613" s="16" t="n">
        <v>1449.5</v>
      </c>
      <c r="G613" s="16" t="n">
        <v>4406</v>
      </c>
      <c r="H613" s="15" t="inlineStr">
        <is>
          <t>Car#611</t>
        </is>
      </c>
      <c r="I613" s="16">
        <f>E613-E612</f>
        <v/>
      </c>
      <c r="J613" s="16">
        <f>I613-58</f>
        <v/>
      </c>
      <c r="K613" s="16">
        <f>MAX(0,J613)</f>
        <v/>
      </c>
      <c r="L613" s="16">
        <f>MAX(0,-J613)</f>
        <v/>
      </c>
      <c r="M613" s="16">
        <f>M612+I613</f>
        <v/>
      </c>
      <c r="N613" s="16">
        <f>D613+F613-E613</f>
        <v/>
      </c>
      <c r="O613" s="15" t="inlineStr">
        <is>
          <t>能力超目标：四轮定位上、下</t>
        </is>
      </c>
      <c r="P613" s="15" t="inlineStr">
        <is>
          <t>ST1 引取(开:39726.0s 加:56.0s 等前:4288.0s 等后:8.5s) | ST2 集约(开:39790.5s 加:111.0s 等前:0.0s 等后:4.0s) | ST3 空气悬挂+快充(开:39905.5s 加:108.5s 等前:0.0s 等后:28.5s) | ST4 四轮定位上、下(开:40042.5s 加:120.5s 等前:0.0s 等后:0.0s) | ST5 ADAS(开:40163.0s 加:107.0s 等前:0.0s 等后:3.0s) | ST6 ARHUD+慢充(开:40273.0s 加:51.5s 等前:0.0s 等后:64.5s) | ST7 转毂(开:40389.0s 加:114.5s 等前:0.0s 等后:0.0s) | ST8 制动(开:40503.5s 加:114.0s 等前:0.0s 等后:0.0s) | ST9 EG漏液/底盘漏液(开:40617.5s 加:112.5s 等前:0.0s 等后:0.0s) | ST10 全景/空调检查(开:40730.0s 加:0.0s 等前:0.0s 等后:0.0s) | ST11 气囊安装+绝缘(开:40730.0s 加:116.0s 等前:0.0s 等后:0.0s) | ST12 L2++(开:40846.0s 加:88.0s 等前:0.0s 等后:0.0s) | ST13 电检1(开:40934.0s 加:84.5s 等前:0.0s 等后:0.0s) | ST14 电检2(开:41018.5s 加:97.5s 等前:0.0s 等后:9.5s) | ST15 小跑道(开:41125.5s 加:50.0s 等前:0.0s 等后:0.0s)</t>
        </is>
      </c>
    </row>
    <row r="614">
      <c r="A614" s="13" t="n">
        <v>613</v>
      </c>
      <c r="B614" s="13" t="inlineStr">
        <is>
          <t>Car#613</t>
        </is>
      </c>
      <c r="C614" s="13" t="inlineStr">
        <is>
          <t>C</t>
        </is>
      </c>
      <c r="D614" s="14" t="n">
        <v>39790.5</v>
      </c>
      <c r="E614" s="14" t="n">
        <v>41269</v>
      </c>
      <c r="F614" s="14" t="n">
        <v>1478.5</v>
      </c>
      <c r="G614" s="14" t="n">
        <v>4349.5</v>
      </c>
      <c r="H614" s="13" t="inlineStr">
        <is>
          <t>Car#612</t>
        </is>
      </c>
      <c r="I614" s="14">
        <f>E614-E613</f>
        <v/>
      </c>
      <c r="J614" s="14">
        <f>I614-58</f>
        <v/>
      </c>
      <c r="K614" s="14">
        <f>MAX(0,J614)</f>
        <v/>
      </c>
      <c r="L614" s="14">
        <f>MAX(0,-J614)</f>
        <v/>
      </c>
      <c r="M614" s="14">
        <f>M613+I614</f>
        <v/>
      </c>
      <c r="N614" s="14">
        <f>D614+F614-E614</f>
        <v/>
      </c>
      <c r="O614" s="13" t="inlineStr">
        <is>
          <t>能力超目标：四轮定位上、下、ARHUD+慢充</t>
        </is>
      </c>
      <c r="P614" s="13" t="inlineStr">
        <is>
          <t>ST1 引取(开:39790.5s 加:56.0s 等前:4294.5s 等后:0.0s) | ST2 集约(开:39846.5s 加:111.0s 等前:0.0s 等后:0.0s) | ST3 空气悬挂+快充(开:39957.5s 加:108.5s 等前:0.0s 等后:24.5s) | ST4 四轮定位上、下(开:40090.5s 加:120.5s 等前:0.0s 等后:0.0s) | ST5 ADAS(开:40211.0s 加:107.0s 等前:0.0s 等后:30.5s) | ST6 ARHUD+慢充(开:40348.5s 加:143.5s 等前:0.0s 等后:0.0s) | ST7 转毂(开:40492.0s 加:114.5s 等前:0.0s 等后:0.0s) | ST8 制动(开:40606.5s 加:114.0s 等前:0.0s 等后:0.0s) | ST9 EG漏液/底盘漏液(开:40720.5s 加:112.5s 等前:0.0s 等后:0.0s) | ST10 全景/空调检查(开:40833.0s 加:0.0s 等前:0.0s 等后:0.0s) | ST11 气囊安装+绝缘(开:40833.0s 加:116.0s 等前:0.0s 等后:0.0s) | ST12 L2++(开:40949.0s 加:88.0s 等前:0.0s 等后:0.0s) | ST13 电检1(开:41037.0s 加:84.5s 等前:0.0s 等后:0.0s) | ST14 电检2(开:41121.5s 加:97.5s 等前:0.0s 等后:0.0s) | ST15 小跑道(开:41219.0s 加:50.0s 等前:0.0s 等后:0.0s)</t>
        </is>
      </c>
    </row>
    <row r="615">
      <c r="A615" s="15" t="n">
        <v>614</v>
      </c>
      <c r="B615" s="15" t="inlineStr">
        <is>
          <t>Car#614</t>
        </is>
      </c>
      <c r="C615" s="15" t="inlineStr">
        <is>
          <t>C</t>
        </is>
      </c>
      <c r="D615" s="16" t="n">
        <v>39846.5</v>
      </c>
      <c r="E615" s="16" t="n">
        <v>41319</v>
      </c>
      <c r="F615" s="16" t="n">
        <v>1472.5</v>
      </c>
      <c r="G615" s="16" t="n">
        <v>4341.5</v>
      </c>
      <c r="H615" s="15" t="inlineStr">
        <is>
          <t>Car#613</t>
        </is>
      </c>
      <c r="I615" s="16">
        <f>E615-E614</f>
        <v/>
      </c>
      <c r="J615" s="16">
        <f>I615-58</f>
        <v/>
      </c>
      <c r="K615" s="16">
        <f>MAX(0,J615)</f>
        <v/>
      </c>
      <c r="L615" s="16">
        <f>MAX(0,-J615)</f>
        <v/>
      </c>
      <c r="M615" s="16">
        <f>M614+I615</f>
        <v/>
      </c>
      <c r="N615" s="16">
        <f>D615+F615-E615</f>
        <v/>
      </c>
      <c r="O615" s="15" t="inlineStr">
        <is>
          <t>能力超目标：四轮定位上、下、ARHUD+慢充</t>
        </is>
      </c>
      <c r="P615" s="15" t="inlineStr">
        <is>
          <t>ST1 引取(开:39846.5s 加:56.0s 等前:4292.5s 等后:3.0s) | ST2 集约(开:39905.5s 加:111.0s 等前:0.0s 等后:26.0s) | ST3 空气悬挂+快充(开:40042.5s 加:108.5s 等前:0.0s 等后:12.0s) | ST4 四轮定位上、下(开:40163.0s 加:120.5s 等前:0.0s 等后:0.0s) | ST5 ADAS(开:40283.5s 加:107.0s 等前:0.0s 等后:0.0s) | ST6 ARHUD+慢充(开:40390.5s 加:143.5s 等前:0.0s 等后:0.0s) | ST7 转毂(开:40534.0s 加:114.5s 等前:0.0s 等后:0.0s) | ST8 制动(开:40648.5s 加:114.0s 等前:0.0s 等后:0.0s) | ST9 EG漏液/底盘漏液(开:40762.5s 加:112.5s 等前:0.0s 等后:0.0s) | ST10 全景/空调检查(开:40875.0s 加:0.0s 等前:0.0s 等后:0.0s) | ST11 气囊安装+绝缘(开:40875.0s 加:116.0s 等前:0.0s 等后:0.0s) | ST12 L2++(开:40991.0s 加:88.0s 等前:0.0s 等后:0.0s) | ST13 电检1(开:41079.0s 加:84.5s 等前:0.0s 等后:0.0s) | ST14 电检2(开:41163.5s 加:97.5s 等前:0.0s 等后:8.0s) | ST15 小跑道(开:41269.0s 加:50.0s 等前:0.0s 等后:0.0s)</t>
        </is>
      </c>
    </row>
    <row r="616">
      <c r="A616" s="13" t="n">
        <v>615</v>
      </c>
      <c r="B616" s="13" t="inlineStr">
        <is>
          <t>Car#615</t>
        </is>
      </c>
      <c r="C616" s="13" t="inlineStr">
        <is>
          <t>C</t>
        </is>
      </c>
      <c r="D616" s="14" t="n">
        <v>39905.5</v>
      </c>
      <c r="E616" s="14" t="n">
        <v>41412.5</v>
      </c>
      <c r="F616" s="14" t="n">
        <v>1507</v>
      </c>
      <c r="G616" s="14" t="n">
        <v>4377</v>
      </c>
      <c r="H616" s="13" t="inlineStr">
        <is>
          <t>Car#614</t>
        </is>
      </c>
      <c r="I616" s="14">
        <f>E616-E615</f>
        <v/>
      </c>
      <c r="J616" s="14">
        <f>I616-58</f>
        <v/>
      </c>
      <c r="K616" s="14">
        <f>MAX(0,J616)</f>
        <v/>
      </c>
      <c r="L616" s="14">
        <f>MAX(0,-J616)</f>
        <v/>
      </c>
      <c r="M616" s="14">
        <f>M615+I616</f>
        <v/>
      </c>
      <c r="N616" s="14">
        <f>D616+F616-E616</f>
        <v/>
      </c>
      <c r="O616" s="13" t="inlineStr">
        <is>
          <t>能力超目标：四轮定位上、下、ARHUD+慢充</t>
        </is>
      </c>
      <c r="P616" s="13" t="inlineStr">
        <is>
          <t>ST1 引取(开:39905.5s 加:56.0s 等前:4293.5s 等后:0.0s) | ST2 集约(开:39961.5s 加:111.0s 等前:0.0s 等后:18.0s) | ST3 空气悬挂+快充(开:40090.5s 加:108.5s 等前:0.0s 等后:12.0s) | ST4 四轮定位上、下(开:40211.0s 加:120.5s 等前:0.0s 等后:17.0s) | ST5 ADAS(开:40348.5s 加:107.0s 等前:0.0s 等后:36.5s) | ST6 ARHUD+慢充(开:40492.0s 加:143.5s 等前:0.0s 等后:0.0s) | ST7 转毂(开:40635.5s 加:114.5s 等前:0.0s 等后:0.0s) | ST8 制动(开:40750.0s 加:114.0s 等前:0.0s 等后:0.0s) | ST9 EG漏液/底盘漏液(开:40864.0s 加:112.5s 等前:0.0s 等后:0.0s) | ST10 全景/空调检查(开:40976.5s 加:0.0s 等前:0.0s 等后:0.0s) | ST11 气囊安装+绝缘(开:40976.5s 加:116.0s 等前:0.0s 等后:0.0s) | ST12 L2++(开:41092.5s 加:88.0s 等前:0.0s 等后:0.0s) | ST13 电检1(开:41180.5s 加:84.5s 等前:0.0s 等后:0.0s) | ST14 电检2(开:41265.0s 加:97.5s 等前:0.0s 等后:0.0s) | ST15 小跑道(开:41362.5s 加:50.0s 等前:0.0s 等后:0.0s)</t>
        </is>
      </c>
    </row>
    <row r="617">
      <c r="A617" s="15" t="n">
        <v>616</v>
      </c>
      <c r="B617" s="15" t="inlineStr">
        <is>
          <t>Car#616</t>
        </is>
      </c>
      <c r="C617" s="15" t="inlineStr">
        <is>
          <t>B</t>
        </is>
      </c>
      <c r="D617" s="16" t="n">
        <v>39961.5</v>
      </c>
      <c r="E617" s="16" t="n">
        <v>41462.5</v>
      </c>
      <c r="F617" s="16" t="n">
        <v>1501</v>
      </c>
      <c r="G617" s="16" t="n">
        <v>4461</v>
      </c>
      <c r="H617" s="15" t="inlineStr">
        <is>
          <t>Car#615</t>
        </is>
      </c>
      <c r="I617" s="16">
        <f>E617-E616</f>
        <v/>
      </c>
      <c r="J617" s="16">
        <f>I617-58</f>
        <v/>
      </c>
      <c r="K617" s="16">
        <f>MAX(0,J617)</f>
        <v/>
      </c>
      <c r="L617" s="16">
        <f>MAX(0,-J617)</f>
        <v/>
      </c>
      <c r="M617" s="16">
        <f>M616+I617</f>
        <v/>
      </c>
      <c r="N617" s="16">
        <f>D617+F617-E617</f>
        <v/>
      </c>
      <c r="O617" s="15" t="inlineStr">
        <is>
          <t>能力超目标：四轮定位上、下</t>
        </is>
      </c>
      <c r="P617" s="15" t="inlineStr">
        <is>
          <t>ST1 引取(开:39961.5s 加:56.0s 等前:4291.5s 等后:25.0s) | ST2 集约(开:40042.5s 加:111.0s 等前:0.0s 等后:9.5s) | ST3 空气悬挂+快充(开:40163.0s 加:108.5s 等前:0.0s 等后:12.0s) | ST4 四轮定位上、下(开:40283.5s 加:120.5s 等前:0.0s 等后:0.0s) | ST5 ADAS(开:40404.0s 加:107.0s 等前:0.0s 等后:23.0s) | ST6 ARHUD+慢充(开:40534.0s 加:51.5s 等前:0.0s 等后:63.0s) | ST7 转毂(开:40648.5s 加:114.5s 等前:0.0s 等后:0.0s) | ST8 制动(开:40763.0s 加:114.0s 等前:0.0s 等后:0.0s) | ST9 EG漏液/底盘漏液(开:40877.0s 加:112.5s 等前:0.0s 等后:0.0s) | ST10 全景/空调检查(开:40989.5s 加:0.0s 等前:0.0s 等后:1.5s) | ST11 气囊安装+绝缘(开:40991.0s 加:116.0s 等前:0.0s 等后:0.0s) | ST12 L2++(开:41107.0s 加:88.0s 等前:0.0s 等后:0.0s) | ST13 电检1(开:41195.0s 加:84.5s 等前:0.0s 等后:0.0s) | ST14 电检2(开:41279.5s 加:97.5s 等前:0.0s 等后:35.5s) | ST15 小跑道(开:41412.5s 加:50.0s 等前:0.0s 等后:0.0s)</t>
        </is>
      </c>
    </row>
    <row r="618">
      <c r="A618" s="13" t="n">
        <v>617</v>
      </c>
      <c r="B618" s="13" t="inlineStr">
        <is>
          <t>Car#617</t>
        </is>
      </c>
      <c r="C618" s="13" t="inlineStr">
        <is>
          <t>B</t>
        </is>
      </c>
      <c r="D618" s="14" t="n">
        <v>40042.5</v>
      </c>
      <c r="E618" s="14" t="n">
        <v>41528.5</v>
      </c>
      <c r="F618" s="14" t="n">
        <v>1486</v>
      </c>
      <c r="G618" s="14" t="n">
        <v>4469</v>
      </c>
      <c r="H618" s="13" t="inlineStr">
        <is>
          <t>Car#616</t>
        </is>
      </c>
      <c r="I618" s="14">
        <f>E618-E617</f>
        <v/>
      </c>
      <c r="J618" s="14">
        <f>I618-58</f>
        <v/>
      </c>
      <c r="K618" s="14">
        <f>MAX(0,J618)</f>
        <v/>
      </c>
      <c r="L618" s="14">
        <f>MAX(0,-J618)</f>
        <v/>
      </c>
      <c r="M618" s="14">
        <f>M617+I618</f>
        <v/>
      </c>
      <c r="N618" s="14">
        <f>D618+F618-E618</f>
        <v/>
      </c>
      <c r="O618" s="13" t="inlineStr">
        <is>
          <t>能力超目标：四轮定位上、下</t>
        </is>
      </c>
      <c r="P618" s="13" t="inlineStr">
        <is>
          <t>ST1 引取(开:40042.5s 加:56.0s 等前:4314.5s 等后:0.0s) | ST2 集约(开:40098.5s 加:111.0s 等前:0.0s 等后:1.5s) | ST3 空气悬挂+快充(开:40211.0s 加:108.5s 等前:0.0s 等后:29.0s) | ST4 四轮定位上、下(开:40348.5s 加:120.5s 等前:0.0s 等后:23.0s) | ST5 ADAS(开:40492.0s 加:107.0s 等前:0.0s 等后:36.5s) | ST6 ARHUD+慢充(开:40635.5s 加:51.5s 等前:0.0s 等后:63.0s) | ST7 转毂(开:40750.0s 加:114.5s 等前:0.0s 等后:0.0s) | ST8 制动(开:40864.5s 加:114.0s 等前:0.0s 等后:0.0s) | ST9 EG漏液/底盘漏液(开:40978.5s 加:112.5s 等前:0.0s 等后:0.0s) | ST10 全景/空调检查(开:41091.0s 加:0.0s 等前:0.0s 等后:1.5s) | ST11 气囊安装+绝缘(开:41092.5s 加:116.0s 等前:0.0s 等后:0.0s) | ST12 L2++(开:41208.5s 加:88.0s 等前:0.0s 等后:0.0s) | ST13 电检1(开:41296.5s 加:84.5s 等前:0.0s 等后:0.0s) | ST14 电检2(开:41381.0s 加:97.5s 等前:0.0s 等后:0.0s) | ST15 小跑道(开:41478.5s 加:50.0s 等前:0.0s 等后:0.0s)</t>
        </is>
      </c>
    </row>
    <row r="619">
      <c r="A619" s="15" t="n">
        <v>618</v>
      </c>
      <c r="B619" s="15" t="inlineStr">
        <is>
          <t>Car#618</t>
        </is>
      </c>
      <c r="C619" s="15" t="inlineStr">
        <is>
          <t>B</t>
        </is>
      </c>
      <c r="D619" s="16" t="n">
        <v>40098.5</v>
      </c>
      <c r="E619" s="16" t="n">
        <v>41578.5</v>
      </c>
      <c r="F619" s="16" t="n">
        <v>1480</v>
      </c>
      <c r="G619" s="16" t="n">
        <v>4461</v>
      </c>
      <c r="H619" s="15" t="inlineStr">
        <is>
          <t>Car#617</t>
        </is>
      </c>
      <c r="I619" s="16">
        <f>E619-E618</f>
        <v/>
      </c>
      <c r="J619" s="16">
        <f>I619-58</f>
        <v/>
      </c>
      <c r="K619" s="16">
        <f>MAX(0,J619)</f>
        <v/>
      </c>
      <c r="L619" s="16">
        <f>MAX(0,-J619)</f>
        <v/>
      </c>
      <c r="M619" s="16">
        <f>M618+I619</f>
        <v/>
      </c>
      <c r="N619" s="16">
        <f>D619+F619-E619</f>
        <v/>
      </c>
      <c r="O619" s="15" t="inlineStr">
        <is>
          <t>能力超目标：四轮定位上、下</t>
        </is>
      </c>
      <c r="P619" s="15" t="inlineStr">
        <is>
          <t>ST1 引取(开:40098.5s 加:56.0s 等前:4312.5s 等后:8.5s) | ST2 集约(开:40163.0s 加:111.0s 等前:0.0s 等后:9.5s) | ST3 空气悬挂+快充(开:40283.5s 加:108.5s 等前:0.0s 等后:12.0s) | ST4 四轮定位上、下(开:40404.0s 加:120.5s 等前:0.0s 等后:9.5s) | ST5 ADAS(开:40534.0s 加:107.0s 等前:0.0s 等后:7.5s) | ST6 ARHUD+慢充(开:40648.5s 加:51.5s 等前:0.0s 等后:63.0s) | ST7 转毂(开:40763.0s 加:114.5s 等前:0.0s 等后:0.0s) | ST8 制动(开:40877.5s 加:114.0s 等前:0.0s 等后:0.0s) | ST9 EG漏液/底盘漏液(开:40991.5s 加:112.5s 等前:0.0s 等后:0.0s) | ST10 全景/空调检查(开:41104.0s 加:0.0s 等前:0.0s 等后:3.0s) | ST11 气囊安装+绝缘(开:41107.0s 加:116.0s 等前:0.0s 等后:0.0s) | ST12 L2++(开:41223.0s 加:88.0s 等前:0.0s 等后:0.0s) | ST13 电检1(开:41311.0s 加:84.5s 等前:0.0s 等后:17.0s) | ST14 电检2(开:41412.5s 加:97.5s 等前:0.0s 等后:18.5s) | ST15 小跑道(开:41528.5s 加:50.0s 等前:0.0s 等后:0.0s)</t>
        </is>
      </c>
    </row>
    <row r="620">
      <c r="A620" s="13" t="n">
        <v>619</v>
      </c>
      <c r="B620" s="13" t="inlineStr">
        <is>
          <t>Car#620</t>
        </is>
      </c>
      <c r="C620" s="13" t="inlineStr">
        <is>
          <t>A</t>
        </is>
      </c>
      <c r="D620" s="14" t="n">
        <v>40219</v>
      </c>
      <c r="E620" s="14" t="n">
        <v>41629.5</v>
      </c>
      <c r="F620" s="14" t="n">
        <v>1410.5</v>
      </c>
      <c r="G620" s="14" t="n">
        <v>4866.5</v>
      </c>
      <c r="H620" s="13" t="inlineStr">
        <is>
          <t>Car#618</t>
        </is>
      </c>
      <c r="I620" s="14">
        <f>E620-E619</f>
        <v/>
      </c>
      <c r="J620" s="14">
        <f>I620-58</f>
        <v/>
      </c>
      <c r="K620" s="14">
        <f>MAX(0,J620)</f>
        <v/>
      </c>
      <c r="L620" s="14">
        <f>MAX(0,-J620)</f>
        <v/>
      </c>
      <c r="M620" s="14">
        <f>M619+I620</f>
        <v/>
      </c>
      <c r="N620" s="14">
        <f>D620+F620-E620</f>
        <v/>
      </c>
      <c r="O620" s="13" t="inlineStr">
        <is>
          <t>能力满足</t>
        </is>
      </c>
      <c r="P620" s="13" t="inlineStr">
        <is>
          <t>ST1 引取(开:40219.0s 加:55.0s 等前:4317.0s 等后:9.5s) | ST2 集约(开:40283.5s 加:106.0s 等前:0.0s 等后:14.5s) | ST3 空气悬挂+快充(开:40404.0s 加:0.0s 等前:0.0s 等后:130.0s) | ST4 四轮定位上、下(开:40534.0s 加:115.0s 等前:0.0s 等后:0.0s) | ST5 ADAS(开:40649.0s 加:97.0s 等前:0.0s 等后:17.0s) | ST6 ARHUD+慢充(开:40763.0s 加:0.0s 等前:0.0s 等后:114.5s) | ST7 转毂(开:40877.5s 加:116.0s 等前:0.0s 等后:0.0s) | ST8 制动(开:40993.5s 加:108.0s 等前:0.0s 等后:2.5s) | ST9 EG漏液/底盘漏液(开:41104.0s 加:115.0s 等前:0.0s 等后:0.0s) | ST10 全景/空调检查(开:41219.0s 加:98.0s 等前:0.0s 等后:0.0s) | ST11 气囊安装+绝缘(开:41317.0s 加:0.0s 等前:0.0s 等后:0.0s) | ST12 L2++(开:41317.0s 加:0.0s 等前:0.0s 等后:95.5s) | ST13 电检1(开:41412.5s 加:0.0s 等前:0.0s 等后:116.0s) | ST14 电检2(开:41528.5s 加:0.0s 等前:0.0s 等后:50.0s) | ST15 小跑道(开:41578.5s 加:51.0s 等前:0.0s 等后:0.0s)</t>
        </is>
      </c>
    </row>
    <row r="621">
      <c r="A621" s="15" t="n">
        <v>620</v>
      </c>
      <c r="B621" s="15" t="inlineStr">
        <is>
          <t>Car#619</t>
        </is>
      </c>
      <c r="C621" s="15" t="inlineStr">
        <is>
          <t>C</t>
        </is>
      </c>
      <c r="D621" s="16" t="n">
        <v>40163</v>
      </c>
      <c r="E621" s="16" t="n">
        <v>41679.5</v>
      </c>
      <c r="F621" s="16" t="n">
        <v>1516.5</v>
      </c>
      <c r="G621" s="16" t="n">
        <v>4412</v>
      </c>
      <c r="H621" s="15" t="inlineStr">
        <is>
          <t>Car#620</t>
        </is>
      </c>
      <c r="I621" s="16">
        <f>E621-E620</f>
        <v/>
      </c>
      <c r="J621" s="16">
        <f>I621-58</f>
        <v/>
      </c>
      <c r="K621" s="16">
        <f>MAX(0,J621)</f>
        <v/>
      </c>
      <c r="L621" s="16">
        <f>MAX(0,-J621)</f>
        <v/>
      </c>
      <c r="M621" s="16">
        <f>M620+I621</f>
        <v/>
      </c>
      <c r="N621" s="16">
        <f>D621+F621-E621</f>
        <v/>
      </c>
      <c r="O621" s="15" t="inlineStr">
        <is>
          <t>能力超目标：四轮定位上、下、ARHUD+慢充</t>
        </is>
      </c>
      <c r="P621" s="15" t="inlineStr">
        <is>
          <t>ST1 引取(开:40163.0s 加:56.0s 等前:4319.0s 等后:0.0s) | ST2 集约(开:40219.0s 加:111.0s 等前:0.0s 等后:18.5s) | ST3 空气悬挂+快充(开:40348.5s 加:108.5s 等前:0.0s 等后:35.0s) | ST4 四轮定位上、下(开:40492.0s 加:120.5s 等前:0.0s 等后:23.0s) | ST5 ADAS(开:40635.5s 加:107.0s 等前:0.0s 等后:7.5s) | ST6 ARHUD+慢充(开:40750.0s 加:143.5s 等前:0.0s 等后:0.0s) | ST7 转毂(开:40893.5s 加:114.5s 等前:0.0s 等后:0.0s) | ST8 制动(开:41008.0s 加:114.0s 等前:0.0s 等后:0.0s) | ST9 EG漏液/底盘漏液(开:41122.0s 加:112.5s 等前:0.0s 等后:0.0s) | ST10 全景/空调检查(开:41234.5s 加:0.0s 等前:0.0s 等后:0.0s) | ST11 气囊安装+绝缘(开:41234.5s 加:116.0s 等前:0.0s 等后:0.0s) | ST12 L2++(开:41350.5s 加:88.0s 等前:0.0s 等后:0.0s) | ST13 电检1(开:41438.5s 加:84.5s 等前:0.0s 等后:0.0s) | ST14 电检2(开:41523.0s 加:97.5s 等前:0.0s 等后:9.0s) | ST15 小跑道(开:41629.5s 加:50.0s 等前:0.0s 等后:0.0s)</t>
        </is>
      </c>
    </row>
    <row r="622">
      <c r="A622" s="13" t="n">
        <v>621</v>
      </c>
      <c r="B622" s="13" t="inlineStr">
        <is>
          <t>Car#622</t>
        </is>
      </c>
      <c r="C622" s="13" t="inlineStr">
        <is>
          <t>C</t>
        </is>
      </c>
      <c r="D622" s="14" t="n">
        <v>40348.5</v>
      </c>
      <c r="E622" s="14" t="n">
        <v>41798</v>
      </c>
      <c r="F622" s="14" t="n">
        <v>1449.5</v>
      </c>
      <c r="G622" s="14" t="n">
        <v>4356.5</v>
      </c>
      <c r="H622" s="13" t="inlineStr">
        <is>
          <t>Car#619</t>
        </is>
      </c>
      <c r="I622" s="14">
        <f>E622-E621</f>
        <v/>
      </c>
      <c r="J622" s="14">
        <f>I622-58</f>
        <v/>
      </c>
      <c r="K622" s="14">
        <f>MAX(0,J622)</f>
        <v/>
      </c>
      <c r="L622" s="14">
        <f>MAX(0,-J622)</f>
        <v/>
      </c>
      <c r="M622" s="14">
        <f>M621+I622</f>
        <v/>
      </c>
      <c r="N622" s="14">
        <f>D622+F622-E622</f>
        <v/>
      </c>
      <c r="O622" s="13" t="inlineStr">
        <is>
          <t>能力超目标：四轮定位上、下、ARHUD+慢充</t>
        </is>
      </c>
      <c r="P622" s="13" t="inlineStr">
        <is>
          <t>ST1 引取(开:40348.5s 加:56.0s 等前:4330.5s 等后:0.0s) | ST2 集约(开:40404.5s 加:111.0s 等前:0.0s 等后:18.5s) | ST3 空气悬挂+快充(开:40534.0s 加:108.5s 等前:0.0s 等后:6.5s) | ST4 四轮定位上、下(开:40649.0s 加:120.5s 等前:0.0s 等后:0.0s) | ST5 ADAS(开:40769.5s 加:107.0s 等前:0.0s 等后:1.0s) | ST6 ARHUD+慢充(开:40877.5s 加:143.5s 等前:0.0s 等后:0.0s) | ST7 转毂(开:41021.0s 加:114.5s 等前:0.0s 等后:0.0s) | ST8 制动(开:41135.5s 加:114.0s 等前:0.0s 等后:0.0s) | ST9 EG漏液/底盘漏液(开:41249.5s 加:112.5s 等前:0.0s 等后:0.0s) | ST10 全景/空调检查(开:41362.0s 加:0.0s 等前:0.0s 等后:0.0s) | ST11 气囊安装+绝缘(开:41362.0s 加:116.0s 等前:0.0s 等后:0.0s) | ST12 L2++(开:41478.0s 加:88.0s 等前:0.0s 等后:0.0s) | ST13 电检1(开:41566.0s 加:84.5s 等前:0.0s 等后:0.0s) | ST14 电检2(开:41650.5s 加:97.5s 等前:0.0s 等后:0.0s) | ST15 小跑道(开:41748.0s 加:50.0s 等前:0.0s 等后:0.0s)</t>
        </is>
      </c>
    </row>
    <row r="623">
      <c r="A623" s="15" t="n">
        <v>622</v>
      </c>
      <c r="B623" s="15" t="inlineStr">
        <is>
          <t>Car#624</t>
        </is>
      </c>
      <c r="C623" s="15" t="inlineStr">
        <is>
          <t>A</t>
        </is>
      </c>
      <c r="D623" s="16" t="n">
        <v>40492</v>
      </c>
      <c r="E623" s="16" t="n">
        <v>41849</v>
      </c>
      <c r="F623" s="16" t="n">
        <v>1357</v>
      </c>
      <c r="G623" s="16" t="n">
        <v>4854</v>
      </c>
      <c r="H623" s="15" t="inlineStr">
        <is>
          <t>Car#622</t>
        </is>
      </c>
      <c r="I623" s="16">
        <f>E623-E622</f>
        <v/>
      </c>
      <c r="J623" s="16">
        <f>I623-58</f>
        <v/>
      </c>
      <c r="K623" s="16">
        <f>MAX(0,J623)</f>
        <v/>
      </c>
      <c r="L623" s="16">
        <f>MAX(0,-J623)</f>
        <v/>
      </c>
      <c r="M623" s="16">
        <f>M622+I623</f>
        <v/>
      </c>
      <c r="N623" s="16">
        <f>D623+F623-E623</f>
        <v/>
      </c>
      <c r="O623" s="15" t="inlineStr">
        <is>
          <t>能力满足</t>
        </is>
      </c>
      <c r="P623" s="15" t="inlineStr">
        <is>
          <t>ST1 引取(开:40492.0s 加:55.0s 等前:4358.0s 等后:0.0s) | ST2 集约(开:40547.0s 加:106.0s 等前:0.0s 等后:0.0s) | ST3 空气悬挂+快充(开:40653.0s 加:0.0s 等前:0.0s 等后:116.5s) | ST4 四轮定位上、下(开:40769.5s 加:115.0s 等前:0.0s 等后:0.0s) | ST5 ADAS(开:40884.5s 加:97.0s 等前:0.0s 等后:39.5s) | ST6 ARHUD+慢充(开:41021.0s 加:0.0s 等前:0.0s 等后:114.5s) | ST7 转毂(开:41135.5s 加:116.0s 等前:0.0s 等后:0.0s) | ST8 制动(开:41251.5s 加:108.0s 等前:0.0s 等后:2.5s) | ST9 EG漏液/底盘漏液(开:41362.0s 加:115.0s 等前:0.0s 等后:0.0s) | ST10 全景/空调检查(开:41477.0s 加:98.0s 等前:0.0s 等后:0.0s) | ST11 气囊安装+绝缘(开:41575.0s 加:0.0s 等前:0.0s 等后:0.0s) | ST12 L2++(开:41575.0s 加:0.0s 等前:0.0s 等后:75.5s) | ST13 电检1(开:41650.5s 加:0.0s 等前:0.0s 等后:97.5s) | ST14 电检2(开:41748.0s 加:0.0s 等前:0.0s 等后:50.0s) | ST15 小跑道(开:41798.0s 加:51.0s 等前:0.0s 等后:0.0s)</t>
        </is>
      </c>
    </row>
    <row r="624">
      <c r="A624" s="13" t="n">
        <v>623</v>
      </c>
      <c r="B624" s="13" t="inlineStr">
        <is>
          <t>Car#621</t>
        </is>
      </c>
      <c r="C624" s="13" t="inlineStr">
        <is>
          <t>C</t>
        </is>
      </c>
      <c r="D624" s="14" t="n">
        <v>40283.5</v>
      </c>
      <c r="E624" s="14" t="n">
        <v>41899</v>
      </c>
      <c r="F624" s="14" t="n">
        <v>1615.5</v>
      </c>
      <c r="G624" s="14" t="n">
        <v>4515.5</v>
      </c>
      <c r="H624" s="13" t="inlineStr">
        <is>
          <t>Car#624</t>
        </is>
      </c>
      <c r="I624" s="14">
        <f>E624-E623</f>
        <v/>
      </c>
      <c r="J624" s="14">
        <f>I624-58</f>
        <v/>
      </c>
      <c r="K624" s="14">
        <f>MAX(0,J624)</f>
        <v/>
      </c>
      <c r="L624" s="14">
        <f>MAX(0,-J624)</f>
        <v/>
      </c>
      <c r="M624" s="14">
        <f>M623+I624</f>
        <v/>
      </c>
      <c r="N624" s="14">
        <f>D624+F624-E624</f>
        <v/>
      </c>
      <c r="O624" s="13" t="inlineStr">
        <is>
          <t>能力超目标：四轮定位上、下、ARHUD+慢充</t>
        </is>
      </c>
      <c r="P624" s="13" t="inlineStr">
        <is>
          <t>ST1 引取(开:40283.5s 加:56.0s 等前:4323.5s 等后:9.0s) | ST2 集约(开:40348.5s 加:111.0s 等前:0.0s 等后:32.5s) | ST3 空气悬挂+快充(开:40492.0s 加:108.5s 等前:0.0s 等后:35.0s) | ST4 四轮定位上、下(开:40635.5s 加:120.5s 等前:0.0s 等后:0.0s) | ST5 ADAS(开:40756.0s 加:107.0s 等前:0.0s 等后:30.5s) | ST6 ARHUD+慢充(开:40893.5s 加:143.5s 等前:0.0s 等后:0.0s) | ST7 转毂(开:41037.0s 加:114.5s 等前:0.0s 等后:0.0s) | ST8 制动(开:41151.5s 加:114.0s 等前:0.0s 等后:0.0s) | ST9 EG漏液/底盘漏液(开:41265.5s 加:112.5s 等前:0.0s 等后:0.0s) | ST10 全景/空调检查(开:41378.0s 加:0.0s 等前:0.0s 等后:0.0s) | ST11 气囊安装+绝缘(开:41378.0s 加:116.0s 等前:0.0s 等后:0.0s) | ST12 L2++(开:41494.0s 加:88.0s 等前:0.0s 等后:0.0s) | ST13 电检1(开:41582.0s 加:84.5s 等前:0.0s 等后:0.0s) | ST14 电检2(开:41666.5s 加:97.5s 等前:0.0s 等后:85.0s) | ST15 小跑道(开:41849.0s 加:50.0s 等前:0.0s 等后:0.0s)</t>
        </is>
      </c>
    </row>
    <row r="625">
      <c r="A625" s="15" t="n">
        <v>624</v>
      </c>
      <c r="B625" s="15" t="inlineStr">
        <is>
          <t>Car#626</t>
        </is>
      </c>
      <c r="C625" s="15" t="inlineStr">
        <is>
          <t>A</t>
        </is>
      </c>
      <c r="D625" s="16" t="n">
        <v>40635.5</v>
      </c>
      <c r="E625" s="16" t="n">
        <v>41950</v>
      </c>
      <c r="F625" s="16" t="n">
        <v>1314.5</v>
      </c>
      <c r="G625" s="16" t="n">
        <v>4839</v>
      </c>
      <c r="H625" s="15" t="inlineStr">
        <is>
          <t>Car#621</t>
        </is>
      </c>
      <c r="I625" s="16">
        <f>E625-E624</f>
        <v/>
      </c>
      <c r="J625" s="16">
        <f>I625-58</f>
        <v/>
      </c>
      <c r="K625" s="16">
        <f>MAX(0,J625)</f>
        <v/>
      </c>
      <c r="L625" s="16">
        <f>MAX(0,-J625)</f>
        <v/>
      </c>
      <c r="M625" s="16">
        <f>M624+I625</f>
        <v/>
      </c>
      <c r="N625" s="16">
        <f>D625+F625-E625</f>
        <v/>
      </c>
      <c r="O625" s="15" t="inlineStr">
        <is>
          <t>能力满足</t>
        </is>
      </c>
      <c r="P625" s="15" t="inlineStr">
        <is>
          <t>ST1 引取(开:40635.5s 加:55.0s 等前:4385.5s 等后:0.0s) | ST2 集约(开:40690.5s 加:106.0s 等前:0.0s 等后:0.0s) | ST3 空气悬挂+快充(开:40796.5s 加:0.0s 等前:0.0s 等后:88.0s) | ST4 四轮定位上、下(开:40884.5s 加:115.0s 等前:0.0s 等后:21.5s) | ST5 ADAS(开:41021.0s 加:97.0s 等前:0.0s 等后:17.5s) | ST6 ARHUD+慢充(开:41135.5s 加:0.0s 等前:0.0s 等后:116.0s) | ST7 转毂(开:41251.5s 加:116.0s 等前:0.0s 等后:0.0s) | ST8 制动(开:41367.5s 加:108.0s 等前:0.0s 等后:1.5s) | ST9 EG漏液/底盘漏液(开:41477.0s 加:115.0s 等前:0.0s 等后:0.0s) | ST10 全景/空调检查(开:41592.0s 加:98.0s 等前:0.0s 等后:0.0s) | ST11 气囊安装+绝缘(开:41690.0s 加:0.0s 等前:0.0s 等后:0.0s) | ST12 L2++(开:41690.0s 加:0.0s 等前:0.0s 等后:58.0s) | ST13 电检1(开:41748.0s 加:0.0s 等前:0.0s 等后:50.0s) | ST14 电检2(开:41798.0s 加:0.0s 等前:0.0s 等后:101.0s) | ST15 小跑道(开:41899.0s 加:51.0s 等前:0.0s 等后:0.0s)</t>
        </is>
      </c>
    </row>
    <row r="626">
      <c r="A626" s="13" t="n">
        <v>625</v>
      </c>
      <c r="B626" s="13" t="inlineStr">
        <is>
          <t>Car#623</t>
        </is>
      </c>
      <c r="C626" s="13" t="inlineStr">
        <is>
          <t>C</t>
        </is>
      </c>
      <c r="D626" s="14" t="n">
        <v>40404.5</v>
      </c>
      <c r="E626" s="14" t="n">
        <v>42000</v>
      </c>
      <c r="F626" s="14" t="n">
        <v>1595.5</v>
      </c>
      <c r="G626" s="14" t="n">
        <v>4500.5</v>
      </c>
      <c r="H626" s="13" t="inlineStr">
        <is>
          <t>Car#626</t>
        </is>
      </c>
      <c r="I626" s="14">
        <f>E626-E625</f>
        <v/>
      </c>
      <c r="J626" s="14">
        <f>I626-58</f>
        <v/>
      </c>
      <c r="K626" s="14">
        <f>MAX(0,J626)</f>
        <v/>
      </c>
      <c r="L626" s="14">
        <f>MAX(0,-J626)</f>
        <v/>
      </c>
      <c r="M626" s="14">
        <f>M625+I626</f>
        <v/>
      </c>
      <c r="N626" s="14">
        <f>D626+F626-E626</f>
        <v/>
      </c>
      <c r="O626" s="13" t="inlineStr">
        <is>
          <t>能力超目标：四轮定位上、下、ARHUD+慢充</t>
        </is>
      </c>
      <c r="P626" s="13" t="inlineStr">
        <is>
          <t>ST1 引取(开:40404.5s 加:56.0s 等前:4328.5s 等后:31.5s) | ST2 集约(开:40492.0s 加:111.0s 等前:0.0s 等后:32.5s) | ST3 空气悬挂+快充(开:40635.5s 加:108.5s 等前:0.0s 等后:12.0s) | ST4 四轮定位上、下(开:40756.0s 加:120.5s 等前:0.0s 等后:17.0s) | ST5 ADAS(开:40893.5s 加:107.0s 等前:0.0s 等后:36.5s) | ST6 ARHUD+慢充(开:41037.0s 加:143.5s 等前:0.0s 等后:0.0s) | ST7 转毂(开:41180.5s 加:114.5s 等前:0.0s 等后:0.0s) | ST8 制动(开:41295.0s 加:114.0s 等前:0.0s 等后:0.0s) | ST9 EG漏液/底盘漏液(开:41409.0s 加:112.5s 等前:0.0s 等后:0.0s) | ST10 全景/空调检查(开:41521.5s 加:0.0s 等前:0.0s 等后:0.0s) | ST11 气囊安装+绝缘(开:41521.5s 加:116.0s 等前:0.0s 等后:0.0s) | ST12 L2++(开:41637.5s 加:88.0s 等前:0.0s 等后:0.0s) | ST13 电检1(开:41725.5s 加:84.5s 等前:0.0s 等后:39.0s) | ST14 电检2(开:41849.0s 加:97.5s 等前:0.0s 等后:3.5s) | ST15 小跑道(开:41950.0s 加:50.0s 等前:0.0s 等后:0.0s)</t>
        </is>
      </c>
    </row>
    <row r="627">
      <c r="A627" s="15" t="n">
        <v>626</v>
      </c>
      <c r="B627" s="15" t="inlineStr">
        <is>
          <t>Car#625</t>
        </is>
      </c>
      <c r="C627" s="15" t="inlineStr">
        <is>
          <t>A</t>
        </is>
      </c>
      <c r="D627" s="16" t="n">
        <v>40547</v>
      </c>
      <c r="E627" s="16" t="n">
        <v>42051</v>
      </c>
      <c r="F627" s="16" t="n">
        <v>1504</v>
      </c>
      <c r="G627" s="16" t="n">
        <v>4998</v>
      </c>
      <c r="H627" s="15" t="inlineStr">
        <is>
          <t>Car#623</t>
        </is>
      </c>
      <c r="I627" s="16">
        <f>E627-E626</f>
        <v/>
      </c>
      <c r="J627" s="16">
        <f>I627-58</f>
        <v/>
      </c>
      <c r="K627" s="16">
        <f>MAX(0,J627)</f>
        <v/>
      </c>
      <c r="L627" s="16">
        <f>MAX(0,-J627)</f>
        <v/>
      </c>
      <c r="M627" s="16">
        <f>M626+I627</f>
        <v/>
      </c>
      <c r="N627" s="16">
        <f>D627+F627-E627</f>
        <v/>
      </c>
      <c r="O627" s="15" t="inlineStr">
        <is>
          <t>能力满足</t>
        </is>
      </c>
      <c r="P627" s="15" t="inlineStr">
        <is>
          <t>ST1 引取(开:40547.0s 加:55.0s 等前:4355.0s 等后:33.5s) | ST2 集约(开:40635.5s 加:106.0s 等前:0.0s 等后:14.5s) | ST3 空气悬挂+快充(开:40756.0s 加:0.0s 等前:0.0s 等后:137.5s) | ST4 四轮定位上、下(开:40893.5s 加:115.0s 等前:0.0s 等后:28.5s) | ST5 ADAS(开:41037.0s 加:97.0s 等前:0.0s 等后:46.5s) | ST6 ARHUD+慢充(开:41180.5s 加:0.0s 等前:0.0s 等后:114.5s) | ST7 转毂(开:41295.0s 加:116.0s 等前:0.0s 等后:0.0s) | ST8 制动(开:41411.0s 加:108.0s 等前:0.0s 等后:2.5s) | ST9 EG漏液/底盘漏液(开:41521.5s 加:115.0s 等前:0.0s 等后:0.0s) | ST10 全景/空调检查(开:41636.5s 加:98.0s 等前:0.0s 等后:0.0s) | ST11 气囊安装+绝缘(开:41734.5s 加:0.0s 等前:0.0s 等后:0.0s) | ST12 L2++(开:41734.5s 加:0.0s 等前:0.0s 等后:114.5s) | ST13 电检1(开:41849.0s 加:0.0s 等前:0.0s 等后:101.0s) | ST14 电检2(开:41950.0s 加:0.0s 等前:0.0s 等后:50.0s) | ST15 小跑道(开:42000.0s 加:51.0s 等前:0.0s 等后:0.0s)</t>
        </is>
      </c>
    </row>
    <row r="628">
      <c r="A628" s="13" t="n">
        <v>627</v>
      </c>
      <c r="B628" s="13" t="inlineStr">
        <is>
          <t>Car#628</t>
        </is>
      </c>
      <c r="C628" s="13" t="inlineStr">
        <is>
          <t>B</t>
        </is>
      </c>
      <c r="D628" s="14" t="n">
        <v>40756</v>
      </c>
      <c r="E628" s="14" t="n">
        <v>42144.5</v>
      </c>
      <c r="F628" s="14" t="n">
        <v>1388.5</v>
      </c>
      <c r="G628" s="14" t="n">
        <v>4447</v>
      </c>
      <c r="H628" s="13" t="inlineStr">
        <is>
          <t>Car#625</t>
        </is>
      </c>
      <c r="I628" s="14">
        <f>E628-E627</f>
        <v/>
      </c>
      <c r="J628" s="14">
        <f>I628-58</f>
        <v/>
      </c>
      <c r="K628" s="14">
        <f>MAX(0,J628)</f>
        <v/>
      </c>
      <c r="L628" s="14">
        <f>MAX(0,-J628)</f>
        <v/>
      </c>
      <c r="M628" s="14">
        <f>M627+I628</f>
        <v/>
      </c>
      <c r="N628" s="14">
        <f>D628+F628-E628</f>
        <v/>
      </c>
      <c r="O628" s="13" t="inlineStr">
        <is>
          <t>能力超目标：四轮定位上、下</t>
        </is>
      </c>
      <c r="P628" s="13" t="inlineStr">
        <is>
          <t>ST1 引取(开:40756.0s 加:56.0s 等前:4390.0s 等后:0.0s) | ST2 集约(开:40812.0s 加:111.0s 等前:0.0s 等后:0.0s) | ST3 空气悬挂+快充(开:40923.0s 加:108.5s 等前:0.0s 等后:0.0s) | ST4 四轮定位上、下(开:41031.5s 加:120.5s 等前:0.0s 等后:0.0s) | ST5 ADAS(开:41152.0s 加:107.0s 等前:0.0s 等后:0.0s) | ST6 ARHUD+慢充(开:41259.0s 加:51.5s 等前:0.0s 等后:57.0s) | ST7 转毂(开:41367.5s 加:114.5s 等前:0.0s 等后:0.0s) | ST8 制动(开:41482.0s 加:114.0s 等前:0.0s 等后:0.0s) | ST9 EG漏液/底盘漏液(开:41596.0s 加:112.5s 等前:0.0s 等后:0.0s) | ST10 全景/空调检查(开:41708.5s 加:0.0s 等前:0.0s 等后:0.0s) | ST11 气囊安装+绝缘(开:41708.5s 加:116.0s 等前:0.0s 等后:0.0s) | ST12 L2++(开:41824.5s 加:88.0s 等前:0.0s 等后:0.0s) | ST13 电检1(开:41912.5s 加:84.5s 等前:0.0s 等后:0.0s) | ST14 电检2(开:41997.0s 加:97.5s 等前:0.0s 等后:0.0s) | ST15 小跑道(开:42094.5s 加:50.0s 等前:0.0s 等后:0.0s)</t>
        </is>
      </c>
    </row>
    <row r="629">
      <c r="A629" s="15" t="n">
        <v>628</v>
      </c>
      <c r="B629" s="15" t="inlineStr">
        <is>
          <t>Car#627</t>
        </is>
      </c>
      <c r="C629" s="15" t="inlineStr">
        <is>
          <t>C</t>
        </is>
      </c>
      <c r="D629" s="16" t="n">
        <v>40690.5</v>
      </c>
      <c r="E629" s="16" t="n">
        <v>42215.5</v>
      </c>
      <c r="F629" s="16" t="n">
        <v>1525</v>
      </c>
      <c r="G629" s="16" t="n">
        <v>4484</v>
      </c>
      <c r="H629" s="15" t="inlineStr">
        <is>
          <t>Car#628</t>
        </is>
      </c>
      <c r="I629" s="16">
        <f>E629-E628</f>
        <v/>
      </c>
      <c r="J629" s="16">
        <f>I629-58</f>
        <v/>
      </c>
      <c r="K629" s="16">
        <f>MAX(0,J629)</f>
        <v/>
      </c>
      <c r="L629" s="16">
        <f>MAX(0,-J629)</f>
        <v/>
      </c>
      <c r="M629" s="16">
        <f>M628+I629</f>
        <v/>
      </c>
      <c r="N629" s="16">
        <f>D629+F629-E629</f>
        <v/>
      </c>
      <c r="O629" s="15" t="inlineStr">
        <is>
          <t>能力超目标：四轮定位上、下、ARHUD+慢充</t>
        </is>
      </c>
      <c r="P629" s="15" t="inlineStr">
        <is>
          <t>ST1 引取(开:40690.5s 加:56.0s 等前:4382.5s 等后:9.5s) | ST2 集约(开:40756.0s 加:111.0s 等前:0.0s 等后:26.5s) | ST3 空气悬挂+快充(开:40893.5s 加:108.5s 等前:0.0s 等后:35.0s) | ST4 四轮定位上、下(开:41037.0s 加:120.5s 等前:0.0s 等后:23.0s) | ST5 ADAS(开:41180.5s 加:107.0s 等前:0.0s 等后:7.5s) | ST6 ARHUD+慢充(开:41295.0s 加:143.5s 等前:0.0s 等后:0.0s) | ST7 转毂(开:41438.5s 加:114.5s 等前:0.0s 等后:0.0s) | ST8 制动(开:41553.0s 加:114.0s 等前:0.0s 等后:0.0s) | ST9 EG漏液/底盘漏液(开:41667.0s 加:112.5s 等前:0.0s 等后:0.0s) | ST10 全景/空调检查(开:41779.5s 加:0.0s 等前:0.0s 等后:0.0s) | ST11 气囊安装+绝缘(开:41779.5s 加:116.0s 等前:0.0s 等后:0.0s) | ST12 L2++(开:41895.5s 加:88.0s 等前:0.0s 等后:0.0s) | ST13 电检1(开:41983.5s 加:84.5s 等前:0.0s 等后:0.0s) | ST14 电检2(开:42068.0s 加:97.5s 等前:0.0s 等后:0.0s) | ST15 小跑道(开:42165.5s 加:50.0s 等前:0.0s 等后:0.0s)</t>
        </is>
      </c>
    </row>
    <row r="630">
      <c r="A630" s="13" t="n">
        <v>629</v>
      </c>
      <c r="B630" s="13" t="inlineStr">
        <is>
          <t>Car#630</t>
        </is>
      </c>
      <c r="C630" s="13" t="inlineStr">
        <is>
          <t>C</t>
        </is>
      </c>
      <c r="D630" s="14" t="n">
        <v>40893.5</v>
      </c>
      <c r="E630" s="14" t="n">
        <v>42317</v>
      </c>
      <c r="F630" s="14" t="n">
        <v>1423.5</v>
      </c>
      <c r="G630" s="14" t="n">
        <v>4411.5</v>
      </c>
      <c r="H630" s="13" t="inlineStr">
        <is>
          <t>Car#627</t>
        </is>
      </c>
      <c r="I630" s="14">
        <f>E630-E629</f>
        <v/>
      </c>
      <c r="J630" s="14">
        <f>I630-58</f>
        <v/>
      </c>
      <c r="K630" s="14">
        <f>MAX(0,J630)</f>
        <v/>
      </c>
      <c r="L630" s="14">
        <f>MAX(0,-J630)</f>
        <v/>
      </c>
      <c r="M630" s="14">
        <f>M629+I630</f>
        <v/>
      </c>
      <c r="N630" s="14">
        <f>D630+F630-E630</f>
        <v/>
      </c>
      <c r="O630" s="13" t="inlineStr">
        <is>
          <t>能力超目标：四轮定位上、下、ARHUD+慢充</t>
        </is>
      </c>
      <c r="P630" s="13" t="inlineStr">
        <is>
          <t>ST1 引取(开:40893.5s 加:56.0s 等前:4411.5s 等后:0.0s) | ST2 集约(开:40949.5s 加:111.0s 等前:0.0s 等后:0.0s) | ST3 空气悬挂+快充(开:41060.5s 加:108.5s 等前:0.0s 等后:0.0s) | ST4 四轮定位上、下(开:41169.0s 加:120.5s 等前:0.0s 等后:0.0s) | ST5 ADAS(开:41289.5s 加:107.0s 等前:0.0s 等后:0.0s) | ST6 ARHUD+慢充(开:41396.5s 加:143.5s 等前:0.0s 等后:0.0s) | ST7 转毂(开:41540.0s 加:114.5s 等前:0.0s 等后:0.0s) | ST8 制动(开:41654.5s 加:114.0s 等前:0.0s 等后:0.0s) | ST9 EG漏液/底盘漏液(开:41768.5s 加:112.5s 等前:0.0s 等后:0.0s) | ST10 全景/空调检查(开:41881.0s 加:0.0s 等前:0.0s 等后:0.0s) | ST11 气囊安装+绝缘(开:41881.0s 加:116.0s 等前:0.0s 等后:0.0s) | ST12 L2++(开:41997.0s 加:88.0s 等前:0.0s 等后:0.0s) | ST13 电检1(开:42085.0s 加:84.5s 等前:0.0s 等后:0.0s) | ST14 电检2(开:42169.5s 加:97.5s 等前:0.0s 等后:0.0s) | ST15 小跑道(开:42267.0s 加:50.0s 等前:0.0s 等后:0.0s)</t>
        </is>
      </c>
    </row>
    <row r="631">
      <c r="A631" s="15" t="n">
        <v>630</v>
      </c>
      <c r="B631" s="15" t="inlineStr">
        <is>
          <t>Car#629</t>
        </is>
      </c>
      <c r="C631" s="15" t="inlineStr">
        <is>
          <t>C</t>
        </is>
      </c>
      <c r="D631" s="16" t="n">
        <v>40812</v>
      </c>
      <c r="E631" s="16" t="n">
        <v>42367</v>
      </c>
      <c r="F631" s="16" t="n">
        <v>1555</v>
      </c>
      <c r="G631" s="16" t="n">
        <v>4519.5</v>
      </c>
      <c r="H631" s="15" t="inlineStr">
        <is>
          <t>Car#630</t>
        </is>
      </c>
      <c r="I631" s="16">
        <f>E631-E630</f>
        <v/>
      </c>
      <c r="J631" s="16">
        <f>I631-58</f>
        <v/>
      </c>
      <c r="K631" s="16">
        <f>MAX(0,J631)</f>
        <v/>
      </c>
      <c r="L631" s="16">
        <f>MAX(0,-J631)</f>
        <v/>
      </c>
      <c r="M631" s="16">
        <f>M630+I631</f>
        <v/>
      </c>
      <c r="N631" s="16">
        <f>D631+F631-E631</f>
        <v/>
      </c>
      <c r="O631" s="15" t="inlineStr">
        <is>
          <t>能力超目标：四轮定位上、下、ARHUD+慢充</t>
        </is>
      </c>
      <c r="P631" s="15" t="inlineStr">
        <is>
          <t>ST1 引取(开:40812.0s 加:56.0s 等前:4388.0s 等后:25.5s) | ST2 集约(开:40893.5s 加:111.0s 等前:0.0s 等后:32.5s) | ST3 空气悬挂+快充(开:41037.0s 加:108.5s 等前:0.0s 等后:35.0s) | ST4 四轮定位上、下(开:41180.5s 加:120.5s 等前:0.0s 等后:0.0s) | ST5 ADAS(开:41301.0s 加:107.0s 等前:0.0s 等后:30.5s) | ST6 ARHUD+慢充(开:41438.5s 加:143.5s 等前:0.0s 等后:0.0s) | ST7 转毂(开:41582.0s 加:114.5s 等前:0.0s 等后:0.0s) | ST8 制动(开:41696.5s 加:114.0s 等前:0.0s 等后:0.0s) | ST9 EG漏液/底盘漏液(开:41810.5s 加:112.5s 等前:0.0s 等后:0.0s) | ST10 全景/空调检查(开:41923.0s 加:0.0s 等前:0.0s 等后:0.0s) | ST11 气囊安装+绝缘(开:41923.0s 加:116.0s 等前:0.0s 等后:0.0s) | ST12 L2++(开:42039.0s 加:88.0s 等前:0.0s 等后:0.0s) | ST13 电检1(开:42127.0s 加:84.5s 等前:0.0s 等后:0.0s) | ST14 电检2(开:42211.5s 加:97.5s 等前:0.0s 等后:8.0s) | ST15 小跑道(开:42317.0s 加:50.0s 等前:0.0s 等后:0.0s)</t>
        </is>
      </c>
    </row>
    <row r="632">
      <c r="A632" s="13" t="n">
        <v>631</v>
      </c>
      <c r="B632" s="13" t="inlineStr">
        <is>
          <t>Car#632</t>
        </is>
      </c>
      <c r="C632" s="13" t="inlineStr">
        <is>
          <t>B</t>
        </is>
      </c>
      <c r="D632" s="14" t="n">
        <v>41037</v>
      </c>
      <c r="E632" s="14" t="n">
        <v>42433</v>
      </c>
      <c r="F632" s="14" t="n">
        <v>1396</v>
      </c>
      <c r="G632" s="14" t="n">
        <v>4503.5</v>
      </c>
      <c r="H632" s="13" t="inlineStr">
        <is>
          <t>Car#629</t>
        </is>
      </c>
      <c r="I632" s="14">
        <f>E632-E631</f>
        <v/>
      </c>
      <c r="J632" s="14">
        <f>I632-58</f>
        <v/>
      </c>
      <c r="K632" s="14">
        <f>MAX(0,J632)</f>
        <v/>
      </c>
      <c r="L632" s="14">
        <f>MAX(0,-J632)</f>
        <v/>
      </c>
      <c r="M632" s="14">
        <f>M631+I632</f>
        <v/>
      </c>
      <c r="N632" s="14">
        <f>D632+F632-E632</f>
        <v/>
      </c>
      <c r="O632" s="13" t="inlineStr">
        <is>
          <t>能力超目标：四轮定位上、下</t>
        </is>
      </c>
      <c r="P632" s="13" t="inlineStr">
        <is>
          <t>ST1 引取(开:41037.0s 加:56.0s 等前:4439.0s 等后:0.0s) | ST2 集约(开:41093.0s 加:111.0s 等前:0.0s 等后:0.0s) | ST3 空气悬挂+快充(开:41204.0s 加:108.5s 等前:0.0s 等后:0.0s) | ST4 四轮定位上、下(开:41312.5s 加:120.5s 等前:0.0s 等后:0.0s) | ST5 ADAS(开:41433.0s 加:107.0s 等前:0.0s 等后:0.0s) | ST6 ARHUD+慢充(开:41540.0s 加:51.5s 等前:0.0s 等后:63.0s) | ST7 转毂(开:41654.5s 加:114.5s 等前:0.0s 等后:0.0s) | ST8 制动(开:41769.0s 加:114.0s 等前:0.0s 等后:0.0s) | ST9 EG漏液/底盘漏液(开:41883.0s 加:112.5s 等前:0.0s 等后:0.0s) | ST10 全景/空调检查(开:41995.5s 加:0.0s 等前:0.0s 等后:1.5s) | ST11 气囊安装+绝缘(开:41997.0s 加:116.0s 等前:0.0s 等后:0.0s) | ST12 L2++(开:42113.0s 加:88.0s 等前:0.0s 等后:0.0s) | ST13 电检1(开:42201.0s 加:84.5s 等前:0.0s 等后:0.0s) | ST14 电检2(开:42285.5s 加:97.5s 等前:0.0s 等后:0.0s) | ST15 小跑道(开:42383.0s 加:50.0s 等前:0.0s 等后:0.0s)</t>
        </is>
      </c>
    </row>
    <row r="633">
      <c r="A633" s="15" t="n">
        <v>632</v>
      </c>
      <c r="B633" s="15" t="inlineStr">
        <is>
          <t>Car#631</t>
        </is>
      </c>
      <c r="C633" s="15" t="inlineStr">
        <is>
          <t>B</t>
        </is>
      </c>
      <c r="D633" s="16" t="n">
        <v>40949.5</v>
      </c>
      <c r="E633" s="16" t="n">
        <v>42483</v>
      </c>
      <c r="F633" s="16" t="n">
        <v>1533.5</v>
      </c>
      <c r="G633" s="16" t="n">
        <v>4611.5</v>
      </c>
      <c r="H633" s="15" t="inlineStr">
        <is>
          <t>Car#632</t>
        </is>
      </c>
      <c r="I633" s="16">
        <f>E633-E632</f>
        <v/>
      </c>
      <c r="J633" s="16">
        <f>I633-58</f>
        <v/>
      </c>
      <c r="K633" s="16">
        <f>MAX(0,J633)</f>
        <v/>
      </c>
      <c r="L633" s="16">
        <f>MAX(0,-J633)</f>
        <v/>
      </c>
      <c r="M633" s="16">
        <f>M632+I633</f>
        <v/>
      </c>
      <c r="N633" s="16">
        <f>D633+F633-E633</f>
        <v/>
      </c>
      <c r="O633" s="15" t="inlineStr">
        <is>
          <t>能力超目标：四轮定位上、下</t>
        </is>
      </c>
      <c r="P633" s="15" t="inlineStr">
        <is>
          <t>ST1 引取(开:40949.5s 加:56.0s 等前:4409.5s 等后:31.5s) | ST2 集约(开:41037.0s 加:111.0s 等前:0.0s 等后:32.5s) | ST3 空气悬挂+快充(开:41180.5s 加:108.5s 等前:0.0s 等后:12.0s) | ST4 四轮定位上、下(开:41301.0s 加:120.5s 等前:0.0s 等后:17.0s) | ST5 ADAS(开:41438.5s 加:107.0s 等前:0.0s 等后:36.5s) | ST6 ARHUD+慢充(开:41582.0s 加:51.5s 等前:0.0s 等后:63.0s) | ST7 转毂(开:41696.5s 加:114.5s 等前:0.0s 等后:0.0s) | ST8 制动(开:41811.0s 加:114.0s 等前:0.0s 等后:0.0s) | ST9 EG漏液/底盘漏液(开:41925.0s 加:112.5s 等前:0.0s 等后:0.0s) | ST10 全景/空调检查(开:42037.5s 加:0.0s 等前:0.0s 等后:1.5s) | ST11 气囊安装+绝缘(开:42039.0s 加:116.0s 等前:0.0s 等后:0.0s) | ST12 L2++(开:42155.0s 加:88.0s 等前:0.0s 等后:0.0s) | ST13 电检1(开:42243.0s 加:84.5s 等前:0.0s 等后:0.0s) | ST14 电检2(开:42327.5s 加:97.5s 等前:0.0s 等后:8.0s) | ST15 小跑道(开:42433.0s 加:50.0s 等前:0.0s 等后:0.0s)</t>
        </is>
      </c>
    </row>
    <row r="634">
      <c r="A634" s="13" t="n">
        <v>633</v>
      </c>
      <c r="B634" s="13" t="inlineStr">
        <is>
          <t>Car#634</t>
        </is>
      </c>
      <c r="C634" s="13" t="inlineStr">
        <is>
          <t>C</t>
        </is>
      </c>
      <c r="D634" s="14" t="n">
        <v>41180.5</v>
      </c>
      <c r="E634" s="14" t="n">
        <v>42604</v>
      </c>
      <c r="F634" s="14" t="n">
        <v>1423.5</v>
      </c>
      <c r="G634" s="14" t="n">
        <v>4466.5</v>
      </c>
      <c r="H634" s="13" t="inlineStr">
        <is>
          <t>Car#631</t>
        </is>
      </c>
      <c r="I634" s="14">
        <f>E634-E633</f>
        <v/>
      </c>
      <c r="J634" s="14">
        <f>I634-58</f>
        <v/>
      </c>
      <c r="K634" s="14">
        <f>MAX(0,J634)</f>
        <v/>
      </c>
      <c r="L634" s="14">
        <f>MAX(0,-J634)</f>
        <v/>
      </c>
      <c r="M634" s="14">
        <f>M633+I634</f>
        <v/>
      </c>
      <c r="N634" s="14">
        <f>D634+F634-E634</f>
        <v/>
      </c>
      <c r="O634" s="13" t="inlineStr">
        <is>
          <t>能力超目标：四轮定位上、下、ARHUD+慢充</t>
        </is>
      </c>
      <c r="P634" s="13" t="inlineStr">
        <is>
          <t>ST1 引取(开:41180.5s 加:56.0s 等前:4466.5s 等后:0.0s) | ST2 集约(开:41236.5s 加:111.0s 等前:0.0s 等后:0.0s) | ST3 空气悬挂+快充(开:41347.5s 加:108.5s 等前:0.0s 等后:0.0s) | ST4 四轮定位上、下(开:41456.0s 加:120.5s 等前:0.0s 等后:0.0s) | ST5 ADAS(开:41576.5s 加:107.0s 等前:0.0s 等后:0.0s) | ST6 ARHUD+慢充(开:41683.5s 加:143.5s 等前:0.0s 等后:0.0s) | ST7 转毂(开:41827.0s 加:114.5s 等前:0.0s 等后:0.0s) | ST8 制动(开:41941.5s 加:114.0s 等前:0.0s 等后:0.0s) | ST9 EG漏液/底盘漏液(开:42055.5s 加:112.5s 等前:0.0s 等后:0.0s) | ST10 全景/空调检查(开:42168.0s 加:0.0s 等前:0.0s 等后:0.0s) | ST11 气囊安装+绝缘(开:42168.0s 加:116.0s 等前:0.0s 等后:0.0s) | ST12 L2++(开:42284.0s 加:88.0s 等前:0.0s 等后:0.0s) | ST13 电检1(开:42372.0s 加:84.5s 等前:0.0s 等后:0.0s) | ST14 电检2(开:42456.5s 加:97.5s 等前:0.0s 等后:0.0s) | ST15 小跑道(开:42554.0s 加:50.0s 等前:0.0s 等后:0.0s)</t>
        </is>
      </c>
    </row>
    <row r="635">
      <c r="A635" s="15" t="n">
        <v>634</v>
      </c>
      <c r="B635" s="15" t="inlineStr">
        <is>
          <t>Car#633</t>
        </is>
      </c>
      <c r="C635" s="15" t="inlineStr">
        <is>
          <t>C</t>
        </is>
      </c>
      <c r="D635" s="16" t="n">
        <v>41093</v>
      </c>
      <c r="E635" s="16" t="n">
        <v>42654</v>
      </c>
      <c r="F635" s="16" t="n">
        <v>1561</v>
      </c>
      <c r="G635" s="16" t="n">
        <v>4574.5</v>
      </c>
      <c r="H635" s="15" t="inlineStr">
        <is>
          <t>Car#634</t>
        </is>
      </c>
      <c r="I635" s="16">
        <f>E635-E634</f>
        <v/>
      </c>
      <c r="J635" s="16">
        <f>I635-58</f>
        <v/>
      </c>
      <c r="K635" s="16">
        <f>MAX(0,J635)</f>
        <v/>
      </c>
      <c r="L635" s="16">
        <f>MAX(0,-J635)</f>
        <v/>
      </c>
      <c r="M635" s="16">
        <f>M634+I635</f>
        <v/>
      </c>
      <c r="N635" s="16">
        <f>D635+F635-E635</f>
        <v/>
      </c>
      <c r="O635" s="15" t="inlineStr">
        <is>
          <t>能力超目标：四轮定位上、下、ARHUD+慢充</t>
        </is>
      </c>
      <c r="P635" s="15" t="inlineStr">
        <is>
          <t>ST1 引取(开:41093.0s 加:56.0s 等前:4437.0s 等后:31.5s) | ST2 集约(开:41180.5s 加:111.0s 等前:0.0s 等后:9.5s) | ST3 空气悬挂+快充(开:41301.0s 加:108.5s 等前:0.0s 等后:29.0s) | ST4 四轮定位上、下(开:41438.5s 加:120.5s 等前:0.0s 等后:23.0s) | ST5 ADAS(开:41582.0s 加:107.0s 等前:0.0s 等后:7.5s) | ST6 ARHUD+慢充(开:41696.5s 加:143.5s 等前:0.0s 等后:0.0s) | ST7 转毂(开:41840.0s 加:114.5s 等前:0.0s 等后:0.0s) | ST8 制动(开:41954.5s 加:114.0s 等前:0.0s 等后:0.0s) | ST9 EG漏液/底盘漏液(开:42068.5s 加:112.5s 等前:0.0s 等后:0.0s) | ST10 全景/空调检查(开:42181.0s 加:0.0s 等前:0.0s 等后:0.0s) | ST11 气囊安装+绝缘(开:42181.0s 加:116.0s 等前:0.0s 等后:0.0s) | ST12 L2++(开:42297.0s 加:88.0s 等前:0.0s 等后:0.0s) | ST13 电检1(开:42385.0s 加:84.5s 等前:0.0s 等后:0.0s) | ST14 电检2(开:42469.5s 加:97.5s 等前:0.0s 等后:37.0s) | ST15 小跑道(开:42604.0s 加:50.0s 等前:0.0s 等后:0.0s)</t>
        </is>
      </c>
    </row>
    <row r="636">
      <c r="A636" s="13" t="n">
        <v>635</v>
      </c>
      <c r="B636" s="13" t="inlineStr">
        <is>
          <t>Car#636</t>
        </is>
      </c>
      <c r="C636" s="13" t="inlineStr">
        <is>
          <t>C</t>
        </is>
      </c>
      <c r="D636" s="14" t="n">
        <v>41301</v>
      </c>
      <c r="E636" s="14" t="n">
        <v>42747.5</v>
      </c>
      <c r="F636" s="14" t="n">
        <v>1446.5</v>
      </c>
      <c r="G636" s="14" t="n">
        <v>4494</v>
      </c>
      <c r="H636" s="13" t="inlineStr">
        <is>
          <t>Car#633</t>
        </is>
      </c>
      <c r="I636" s="14">
        <f>E636-E635</f>
        <v/>
      </c>
      <c r="J636" s="14">
        <f>I636-58</f>
        <v/>
      </c>
      <c r="K636" s="14">
        <f>MAX(0,J636)</f>
        <v/>
      </c>
      <c r="L636" s="14">
        <f>MAX(0,-J636)</f>
        <v/>
      </c>
      <c r="M636" s="14">
        <f>M635+I636</f>
        <v/>
      </c>
      <c r="N636" s="14">
        <f>D636+F636-E636</f>
        <v/>
      </c>
      <c r="O636" s="13" t="inlineStr">
        <is>
          <t>能力超目标：四轮定位上、下、ARHUD+慢充</t>
        </is>
      </c>
      <c r="P636" s="13" t="inlineStr">
        <is>
          <t>ST1 引取(开:41301.0s 加:56.0s 等前:4471.0s 等后:0.0s) | ST2 集约(开:41357.0s 加:111.0s 等前:0.0s 等后:0.0s) | ST3 空气悬挂+快充(开:41468.0s 加:108.5s 等前:0.0s 等后:0.0s) | ST4 四轮定位上、下(开:41576.5s 加:120.5s 等前:0.0s 等后:0.0s) | ST5 ADAS(开:41697.0s 加:107.0s 等前:0.0s 等后:23.0s) | ST6 ARHUD+慢充(开:41827.0s 加:143.5s 等前:0.0s 等后:0.0s) | ST7 转毂(开:41970.5s 加:114.5s 等前:0.0s 等后:0.0s) | ST8 制动(开:42085.0s 加:114.0s 等前:0.0s 等后:0.0s) | ST9 EG漏液/底盘漏液(开:42199.0s 加:112.5s 等前:0.0s 等后:0.0s) | ST10 全景/空调检查(开:42311.5s 加:0.0s 等前:0.0s 等后:0.0s) | ST11 气囊安装+绝缘(开:42311.5s 加:116.0s 等前:0.0s 等后:0.0s) | ST12 L2++(开:42427.5s 加:88.0s 等前:0.0s 等后:0.0s) | ST13 电检1(开:42515.5s 加:84.5s 等前:0.0s 等后:0.0s) | ST14 电检2(开:42600.0s 加:97.5s 等前:0.0s 等后:0.0s) | ST15 小跑道(开:42697.5s 加:50.0s 等前:0.0s 等后:0.0s)</t>
        </is>
      </c>
    </row>
    <row r="637">
      <c r="A637" s="15" t="n">
        <v>636</v>
      </c>
      <c r="B637" s="15" t="inlineStr">
        <is>
          <t>Car#635</t>
        </is>
      </c>
      <c r="C637" s="15" t="inlineStr">
        <is>
          <t>C</t>
        </is>
      </c>
      <c r="D637" s="16" t="n">
        <v>41236.5</v>
      </c>
      <c r="E637" s="16" t="n">
        <v>42797.5</v>
      </c>
      <c r="F637" s="16" t="n">
        <v>1561</v>
      </c>
      <c r="G637" s="16" t="n">
        <v>4602</v>
      </c>
      <c r="H637" s="15" t="inlineStr">
        <is>
          <t>Car#636</t>
        </is>
      </c>
      <c r="I637" s="16">
        <f>E637-E636</f>
        <v/>
      </c>
      <c r="J637" s="16">
        <f>I637-58</f>
        <v/>
      </c>
      <c r="K637" s="16">
        <f>MAX(0,J637)</f>
        <v/>
      </c>
      <c r="L637" s="16">
        <f>MAX(0,-J637)</f>
        <v/>
      </c>
      <c r="M637" s="16">
        <f>M636+I637</f>
        <v/>
      </c>
      <c r="N637" s="16">
        <f>D637+F637-E637</f>
        <v/>
      </c>
      <c r="O637" s="15" t="inlineStr">
        <is>
          <t>能力超目标：四轮定位上、下、ARHUD+慢充</t>
        </is>
      </c>
      <c r="P637" s="15" t="inlineStr">
        <is>
          <t>ST1 引取(开:41236.5s 加:56.0s 等前:4464.5s 等后:8.5s) | ST2 集约(开:41301.0s 加:111.0s 等前:0.0s 等后:26.5s) | ST3 空气悬挂+快充(开:41438.5s 加:108.5s 等前:0.0s 等后:35.0s) | ST4 四轮定位上、下(开:41582.0s 加:120.5s 等前:0.0s 等后:0.0s) | ST5 ADAS(开:41702.5s 加:107.0s 等前:0.0s 等后:30.5s) | ST6 ARHUD+慢充(开:41840.0s 加:143.5s 等前:0.0s 等后:0.0s) | ST7 转毂(开:41983.5s 加:114.5s 等前:0.0s 等后:0.0s) | ST8 制动(开:42098.0s 加:114.0s 等前:0.0s 等后:0.0s) | ST9 EG漏液/底盘漏液(开:42212.0s 加:112.5s 等前:0.0s 等后:0.0s) | ST10 全景/空调检查(开:42324.5s 加:0.0s 等前:0.0s 等后:0.0s) | ST11 气囊安装+绝缘(开:42324.5s 加:116.0s 等前:0.0s 等后:0.0s) | ST12 L2++(开:42440.5s 加:88.0s 等前:0.0s 等后:0.0s) | ST13 电检1(开:42528.5s 加:84.5s 等前:0.0s 等后:0.0s) | ST14 电检2(开:42613.0s 加:97.5s 等前:0.0s 等后:37.0s) | ST15 小跑道(开:42747.5s 加:50.0s 等前:0.0s 等后:0.0s)</t>
        </is>
      </c>
    </row>
    <row r="638">
      <c r="A638" s="13" t="n">
        <v>637</v>
      </c>
      <c r="B638" s="13" t="inlineStr">
        <is>
          <t>Car#637</t>
        </is>
      </c>
      <c r="C638" s="13" t="inlineStr">
        <is>
          <t>A</t>
        </is>
      </c>
      <c r="D638" s="14" t="n">
        <v>41357</v>
      </c>
      <c r="E638" s="14" t="n">
        <v>42848.5</v>
      </c>
      <c r="F638" s="14" t="n">
        <v>1491.5</v>
      </c>
      <c r="G638" s="14" t="n">
        <v>5099.5</v>
      </c>
      <c r="H638" s="13" t="inlineStr">
        <is>
          <t>Car#635</t>
        </is>
      </c>
      <c r="I638" s="14">
        <f>E638-E637</f>
        <v/>
      </c>
      <c r="J638" s="14">
        <f>I638-58</f>
        <v/>
      </c>
      <c r="K638" s="14">
        <f>MAX(0,J638)</f>
        <v/>
      </c>
      <c r="L638" s="14">
        <f>MAX(0,-J638)</f>
        <v/>
      </c>
      <c r="M638" s="14">
        <f>M637+I638</f>
        <v/>
      </c>
      <c r="N638" s="14">
        <f>D638+F638-E638</f>
        <v/>
      </c>
      <c r="O638" s="13" t="inlineStr">
        <is>
          <t>能力满足</t>
        </is>
      </c>
      <c r="P638" s="13" t="inlineStr">
        <is>
          <t>ST1 引取(开:41357.0s 加:55.0s 等前:4469.0s 等后:26.5s) | ST2 集约(开:41438.5s 加:106.0s 等前:0.0s 等后:37.5s) | ST3 空气悬挂+快充(开:41582.0s 加:0.0s 等前:0.0s 等后:120.5s) | ST4 四轮定位上、下(开:41702.5s 加:115.0s 等前:0.0s 等后:22.5s) | ST5 ADAS(开:41840.0s 加:97.0s 等前:0.0s 等后:46.5s) | ST6 ARHUD+慢充(开:41983.5s 加:0.0s 等前:0.0s 等后:114.5s) | ST7 转毂(开:42098.0s 加:116.0s 等前:0.0s 等后:0.0s) | ST8 制动(开:42214.0s 加:108.0s 等前:0.0s 等后:2.5s) | ST9 EG漏液/底盘漏液(开:42324.5s 加:115.0s 等前:0.0s 等后:0.0s) | ST10 全景/空调检查(开:42439.5s 加:98.0s 等前:0.0s 等后:0.0s) | ST11 气囊安装+绝缘(开:42537.5s 加:0.0s 等前:0.0s 等后:0.0s) | ST12 L2++(开:42537.5s 加:0.0s 等前:0.0s 等后:75.5s) | ST13 电检1(开:42613.0s 加:0.0s 等前:0.0s 等后:134.5s) | ST14 电检2(开:42747.5s 加:0.0s 等前:0.0s 等后:50.0s) | ST15 小跑道(开:42797.5s 加:51.0s 等前:0.0s 等后:0.0s)</t>
        </is>
      </c>
    </row>
    <row r="639">
      <c r="A639" s="15" t="n">
        <v>638</v>
      </c>
      <c r="B639" s="15" t="inlineStr">
        <is>
          <t>Car#638</t>
        </is>
      </c>
      <c r="C639" s="15" t="inlineStr">
        <is>
          <t>B</t>
        </is>
      </c>
      <c r="D639" s="16" t="n">
        <v>41438.5</v>
      </c>
      <c r="E639" s="16" t="n">
        <v>42898.5</v>
      </c>
      <c r="F639" s="16" t="n">
        <v>1460</v>
      </c>
      <c r="G639" s="16" t="n">
        <v>4621</v>
      </c>
      <c r="H639" s="15" t="inlineStr">
        <is>
          <t>Car#637</t>
        </is>
      </c>
      <c r="I639" s="16">
        <f>E639-E638</f>
        <v/>
      </c>
      <c r="J639" s="16">
        <f>I639-58</f>
        <v/>
      </c>
      <c r="K639" s="16">
        <f>MAX(0,J639)</f>
        <v/>
      </c>
      <c r="L639" s="16">
        <f>MAX(0,-J639)</f>
        <v/>
      </c>
      <c r="M639" s="16">
        <f>M638+I639</f>
        <v/>
      </c>
      <c r="N639" s="16">
        <f>D639+F639-E639</f>
        <v/>
      </c>
      <c r="O639" s="15" t="inlineStr">
        <is>
          <t>能力超目标：四轮定位上、下</t>
        </is>
      </c>
      <c r="P639" s="15" t="inlineStr">
        <is>
          <t>ST1 引取(开:41438.5s 加:56.0s 等前:4492.5s 等后:0.0s) | ST2 集约(开:41494.5s 加:111.0s 等前:0.0s 等后:0.0s) | ST3 空气悬挂+快充(开:41605.5s 加:108.5s 等前:0.0s 等后:0.0s) | ST4 四轮定位上、下(开:41714.0s 加:120.5s 等前:0.0s 等后:0.0s) | ST5 ADAS(开:41834.5s 加:107.0s 等前:0.0s 等后:29.0s) | ST6 ARHUD+慢充(开:41970.5s 加:51.5s 等前:0.0s 等后:63.0s) | ST7 转毂(开:42085.0s 加:114.5s 等前:0.0s 等后:0.0s) | ST8 制动(开:42199.5s 加:114.0s 等前:0.0s 等后:0.0s) | ST9 EG漏液/底盘漏液(开:42313.5s 加:112.5s 等前:0.0s 等后:0.0s) | ST10 全景/空调检查(开:42426.0s 加:0.0s 等前:0.0s 等后:1.5s) | ST11 气囊安装+绝缘(开:42427.5s 加:116.0s 等前:0.0s 等后:0.0s) | ST12 L2++(开:42543.5s 加:88.0s 等前:0.0s 等后:0.0s) | ST13 电检1(开:42631.5s 加:84.5s 等前:0.0s 等后:0.0s) | ST14 电检2(开:42716.0s 加:97.5s 等前:0.0s 等后:35.0s) | ST15 小跑道(开:42848.5s 加:50.0s 等前:0.0s 等后:0.0s)</t>
        </is>
      </c>
    </row>
    <row r="640">
      <c r="A640" s="13" t="n">
        <v>639</v>
      </c>
      <c r="B640" s="13" t="inlineStr">
        <is>
          <t>Car#639</t>
        </is>
      </c>
      <c r="C640" s="13" t="inlineStr">
        <is>
          <t>B</t>
        </is>
      </c>
      <c r="D640" s="14" t="n">
        <v>41494.5</v>
      </c>
      <c r="E640" s="14" t="n">
        <v>42991</v>
      </c>
      <c r="F640" s="14" t="n">
        <v>1496.5</v>
      </c>
      <c r="G640" s="14" t="n">
        <v>4655.5</v>
      </c>
      <c r="H640" s="13" t="inlineStr">
        <is>
          <t>Car#638</t>
        </is>
      </c>
      <c r="I640" s="14">
        <f>E640-E639</f>
        <v/>
      </c>
      <c r="J640" s="14">
        <f>I640-58</f>
        <v/>
      </c>
      <c r="K640" s="14">
        <f>MAX(0,J640)</f>
        <v/>
      </c>
      <c r="L640" s="14">
        <f>MAX(0,-J640)</f>
        <v/>
      </c>
      <c r="M640" s="14">
        <f>M639+I640</f>
        <v/>
      </c>
      <c r="N640" s="14">
        <f>D640+F640-E640</f>
        <v/>
      </c>
      <c r="O640" s="13" t="inlineStr">
        <is>
          <t>能力超目标：四轮定位上、下</t>
        </is>
      </c>
      <c r="P640" s="13" t="inlineStr">
        <is>
          <t>ST1 引取(开:41494.5s 加:56.0s 等前:4490.5s 等后:31.5s) | ST2 集约(开:41582.0s 加:111.0s 等前:0.0s 等后:9.5s) | ST3 空气悬挂+快充(开:41702.5s 加:108.5s 等前:0.0s 等后:29.0s) | ST4 四轮定位上、下(开:41840.0s 加:120.5s 等前:0.0s 等后:23.0s) | ST5 ADAS(开:41983.5s 加:107.0s 等前:0.0s 等后:7.5s) | ST6 ARHUD+慢充(开:42098.0s 加:51.5s 等前:0.0s 等后:64.5s) | ST7 转毂(开:42214.0s 加:114.5s 等前:0.0s 等后:0.0s) | ST8 制动(开:42328.5s 加:114.0s 等前:0.0s 等后:0.0s) | ST9 EG漏液/底盘漏液(开:42442.5s 加:112.5s 等前:0.0s 等后:0.0s) | ST10 全景/空调检查(开:42555.0s 加:0.0s 等前:0.0s 等后:0.0s) | ST11 气囊安装+绝缘(开:42555.0s 加:116.0s 等前:0.0s 等后:0.0s) | ST12 L2++(开:42671.0s 加:88.0s 等前:0.0s 等后:0.0s) | ST13 电检1(开:42759.0s 加:84.5s 等前:0.0s 等后:0.0s) | ST14 电检2(开:42843.5s 加:97.5s 等前:0.0s 等后:0.0s) | ST15 小跑道(开:42941.0s 加:50.0s 等前:0.0s 等后:0.0s)</t>
        </is>
      </c>
    </row>
    <row r="641">
      <c r="A641" s="15" t="n">
        <v>640</v>
      </c>
      <c r="B641" s="15" t="inlineStr">
        <is>
          <t>Car#641</t>
        </is>
      </c>
      <c r="C641" s="15" t="inlineStr">
        <is>
          <t>A</t>
        </is>
      </c>
      <c r="D641" s="16" t="n">
        <v>41638</v>
      </c>
      <c r="E641" s="16" t="n">
        <v>43042</v>
      </c>
      <c r="F641" s="16" t="n">
        <v>1404</v>
      </c>
      <c r="G641" s="16" t="n">
        <v>5061</v>
      </c>
      <c r="H641" s="15" t="inlineStr">
        <is>
          <t>Car#639</t>
        </is>
      </c>
      <c r="I641" s="16">
        <f>E641-E640</f>
        <v/>
      </c>
      <c r="J641" s="16">
        <f>I641-58</f>
        <v/>
      </c>
      <c r="K641" s="16">
        <f>MAX(0,J641)</f>
        <v/>
      </c>
      <c r="L641" s="16">
        <f>MAX(0,-J641)</f>
        <v/>
      </c>
      <c r="M641" s="16">
        <f>M640+I641</f>
        <v/>
      </c>
      <c r="N641" s="16">
        <f>D641+F641-E641</f>
        <v/>
      </c>
      <c r="O641" s="15" t="inlineStr">
        <is>
          <t>能力满足</t>
        </is>
      </c>
      <c r="P641" s="15" t="inlineStr">
        <is>
          <t>ST1 引取(开:41638.0s 加:55.0s 等前:4518.0s 等后:9.5s) | ST2 集约(开:41702.5s 加:106.0s 等前:0.0s 等后:31.5s) | ST3 空气悬挂+快充(开:41840.0s 加:0.0s 等前:0.0s 等后:143.5s) | ST4 四轮定位上、下(开:41983.5s 加:115.0s 等前:0.0s 等后:0.0s) | ST5 ADAS(开:42098.5s 加:97.0s 等前:0.0s 等后:18.5s) | ST6 ARHUD+慢充(开:42214.0s 加:0.0s 等前:0.0s 等后:114.5s) | ST7 转毂(开:42328.5s 加:116.0s 等前:0.0s 等后:0.0s) | ST8 制动(开:42444.5s 加:108.0s 等前:0.0s 等后:2.5s) | ST9 EG漏液/底盘漏液(开:42555.0s 加:115.0s 等前:0.0s 等后:0.0s) | ST10 全景/空调检查(开:42670.0s 加:98.0s 等前:0.0s 等后:0.0s) | ST11 气囊安装+绝缘(开:42768.0s 加:0.0s 等前:0.0s 等后:0.0s) | ST12 L2++(开:42768.0s 加:0.0s 等前:0.0s 等后:75.5s) | ST13 电检1(开:42843.5s 加:0.0s 等前:0.0s 等后:97.5s) | ST14 电检2(开:42941.0s 加:0.0s 等前:0.0s 等后:50.0s) | ST15 小跑道(开:42991.0s 加:51.0s 等前:0.0s 等后:0.0s)</t>
        </is>
      </c>
    </row>
    <row r="642">
      <c r="A642" s="13" t="n">
        <v>641</v>
      </c>
      <c r="B642" s="13" t="inlineStr">
        <is>
          <t>Car#640</t>
        </is>
      </c>
      <c r="C642" s="13" t="inlineStr">
        <is>
          <t>B</t>
        </is>
      </c>
      <c r="D642" s="14" t="n">
        <v>41582</v>
      </c>
      <c r="E642" s="14" t="n">
        <v>43092</v>
      </c>
      <c r="F642" s="14" t="n">
        <v>1510</v>
      </c>
      <c r="G642" s="14" t="n">
        <v>4698.5</v>
      </c>
      <c r="H642" s="13" t="inlineStr">
        <is>
          <t>Car#641</t>
        </is>
      </c>
      <c r="I642" s="14">
        <f>E642-E641</f>
        <v/>
      </c>
      <c r="J642" s="14">
        <f>I642-58</f>
        <v/>
      </c>
      <c r="K642" s="14">
        <f>MAX(0,J642)</f>
        <v/>
      </c>
      <c r="L642" s="14">
        <f>MAX(0,-J642)</f>
        <v/>
      </c>
      <c r="M642" s="14">
        <f>M641+I642</f>
        <v/>
      </c>
      <c r="N642" s="14">
        <f>D642+F642-E642</f>
        <v/>
      </c>
      <c r="O642" s="13" t="inlineStr">
        <is>
          <t>能力超目标：四轮定位上、下</t>
        </is>
      </c>
      <c r="P642" s="13" t="inlineStr">
        <is>
          <t>ST1 引取(开:41582.0s 加:56.0s 等前:4520.0s 等后:0.0s) | ST2 集约(开:41638.0s 加:111.0s 等前:0.0s 等后:0.0s) | ST3 空气悬挂+快充(开:41749.0s 加:108.5s 等前:0.0s 等后:0.0s) | ST4 四轮定位上、下(开:41857.5s 加:120.5s 等前:0.0s 等后:0.0s) | ST5 ADAS(开:41978.0s 加:107.0s 等前:0.0s 等后:0.0s) | ST6 ARHUD+慢充(开:42085.0s 加:51.5s 等前:0.0s 等后:63.0s) | ST7 转毂(开:42199.5s 加:114.5s 等前:0.0s 等后:0.0s) | ST8 制动(开:42314.0s 加:114.0s 等前:0.0s 等后:0.0s) | ST9 EG漏液/底盘漏液(开:42428.0s 加:112.5s 等前:0.0s 等后:0.0s) | ST10 全景/空调检查(开:42540.5s 加:0.0s 等前:0.0s 等后:3.0s) | ST11 气囊安装+绝缘(开:42543.5s 加:116.0s 等前:0.0s 等后:0.0s) | ST12 L2++(开:42659.5s 加:88.0s 等前:0.0s 等后:0.0s) | ST13 电检1(开:42747.5s 加:84.5s 等前:0.0s 等后:16.5s) | ST14 电检2(开:42848.5s 加:97.5s 等前:0.0s 等后:96.0s) | ST15 小跑道(开:43042.0s 加:50.0s 等前:0.0s 等后:0.0s)</t>
        </is>
      </c>
    </row>
    <row r="643">
      <c r="A643" s="15" t="n">
        <v>642</v>
      </c>
      <c r="B643" s="15" t="inlineStr">
        <is>
          <t>Car#642</t>
        </is>
      </c>
      <c r="C643" s="15" t="inlineStr">
        <is>
          <t>C</t>
        </is>
      </c>
      <c r="D643" s="16" t="n">
        <v>41702.5</v>
      </c>
      <c r="E643" s="16" t="n">
        <v>43189.5</v>
      </c>
      <c r="F643" s="16" t="n">
        <v>1487</v>
      </c>
      <c r="G643" s="16" t="n">
        <v>4588</v>
      </c>
      <c r="H643" s="15" t="inlineStr">
        <is>
          <t>Car#640</t>
        </is>
      </c>
      <c r="I643" s="16">
        <f>E643-E642</f>
        <v/>
      </c>
      <c r="J643" s="16">
        <f>I643-58</f>
        <v/>
      </c>
      <c r="K643" s="16">
        <f>MAX(0,J643)</f>
        <v/>
      </c>
      <c r="L643" s="16">
        <f>MAX(0,-J643)</f>
        <v/>
      </c>
      <c r="M643" s="16">
        <f>M642+I643</f>
        <v/>
      </c>
      <c r="N643" s="16">
        <f>D643+F643-E643</f>
        <v/>
      </c>
      <c r="O643" s="15" t="inlineStr">
        <is>
          <t>能力超目标：四轮定位上、下、ARHUD+慢充</t>
        </is>
      </c>
      <c r="P643" s="15" t="inlineStr">
        <is>
          <t>ST1 引取(开:41702.5s 加:56.0s 等前:4524.5s 等后:0.0s) | ST2 集约(开:41758.5s 加:111.0s 等前:0.0s 等后:0.0s) | ST3 空气悬挂+快充(开:41869.5s 加:108.5s 等前:0.0s 等后:0.0s) | ST4 四轮定位上、下(开:41978.0s 加:120.5s 等前:0.0s 等后:0.0s) | ST5 ADAS(开:42098.5s 加:107.0s 等前:0.0s 等后:0.0s) | ST6 ARHUD+慢充(开:42205.5s 加:143.5s 等前:0.0s 等后:0.0s) | ST7 转毂(开:42349.0s 加:114.5s 等前:0.0s 等后:0.0s) | ST8 制动(开:42463.5s 加:114.0s 等前:0.0s 等后:0.0s) | ST9 EG漏液/底盘漏液(开:42577.5s 加:112.5s 等前:0.0s 等后:0.0s) | ST10 全景/空调检查(开:42690.0s 加:0.0s 等前:0.0s 等后:0.0s) | ST11 气囊安装+绝缘(开:42690.0s 加:116.0s 等前:0.0s 等后:0.0s) | ST12 L2++(开:42806.0s 加:88.0s 等前:0.0s 等后:0.0s) | ST13 电检1(开:42894.0s 加:84.5s 等前:0.0s 等后:63.5s) | ST14 电检2(开:43042.0s 加:97.5s 等前:0.0s 等后:0.0s) | ST15 小跑道(开:43139.5s 加:50.0s 等前:0.0s 等后:0.0s)</t>
        </is>
      </c>
    </row>
    <row r="644">
      <c r="A644" s="13" t="n">
        <v>643</v>
      </c>
      <c r="B644" s="13" t="inlineStr">
        <is>
          <t>Car#643</t>
        </is>
      </c>
      <c r="C644" s="13" t="inlineStr">
        <is>
          <t>C</t>
        </is>
      </c>
      <c r="D644" s="14" t="n">
        <v>41758.5</v>
      </c>
      <c r="E644" s="14" t="n">
        <v>43249</v>
      </c>
      <c r="F644" s="14" t="n">
        <v>1490.5</v>
      </c>
      <c r="G644" s="14" t="n">
        <v>4589.5</v>
      </c>
      <c r="H644" s="13" t="inlineStr">
        <is>
          <t>Car#642</t>
        </is>
      </c>
      <c r="I644" s="14">
        <f>E644-E643</f>
        <v/>
      </c>
      <c r="J644" s="14">
        <f>I644-58</f>
        <v/>
      </c>
      <c r="K644" s="14">
        <f>MAX(0,J644)</f>
        <v/>
      </c>
      <c r="L644" s="14">
        <f>MAX(0,-J644)</f>
        <v/>
      </c>
      <c r="M644" s="14">
        <f>M643+I644</f>
        <v/>
      </c>
      <c r="N644" s="14">
        <f>D644+F644-E644</f>
        <v/>
      </c>
      <c r="O644" s="13" t="inlineStr">
        <is>
          <t>能力超目标：四轮定位上、下、ARHUD+慢充</t>
        </is>
      </c>
      <c r="P644" s="13" t="inlineStr">
        <is>
          <t>ST1 引取(开:41758.5s 加:56.0s 等前:4522.5s 等后:25.5s) | ST2 集约(开:41840.0s 加:111.0s 等前:0.0s 等后:32.5s) | ST3 空气悬挂+快充(开:41983.5s 加:108.5s 等前:0.0s 等后:6.5s) | ST4 四轮定位上、下(开:42098.5s 加:120.5s 等前:0.0s 等后:0.0s) | ST5 ADAS(开:42219.0s 加:107.0s 等前:0.0s 等后:2.5s) | ST6 ARHUD+慢充(开:42328.5s 加:143.5s 等前:0.0s 等后:0.0s) | ST7 转毂(开:42472.0s 加:114.5s 等前:0.0s 等后:0.0s) | ST8 制动(开:42586.5s 加:114.0s 等前:0.0s 等后:0.0s) | ST9 EG漏液/底盘漏液(开:42700.5s 加:112.5s 等前:0.0s 等后:0.0s) | ST10 全景/空调检查(开:42813.0s 加:0.0s 等前:0.0s 等后:0.0s) | ST11 气囊安装+绝缘(开:42813.0s 加:116.0s 等前:0.0s 等后:0.0s) | ST12 L2++(开:42929.0s 加:88.0s 等前:0.0s 等后:0.0s) | ST13 电检1(开:43017.0s 加:84.5s 等前:0.0s 等后:0.0s) | ST14 电检2(开:43101.5s 加:97.5s 等前:0.0s 等后:0.0s) | ST15 小跑道(开:43199.0s 加:50.0s 等前:0.0s 等后:0.0s)</t>
        </is>
      </c>
    </row>
    <row r="645">
      <c r="A645" s="15" t="n">
        <v>644</v>
      </c>
      <c r="B645" s="15" t="inlineStr">
        <is>
          <t>Car#645</t>
        </is>
      </c>
      <c r="C645" s="15" t="inlineStr">
        <is>
          <t>A</t>
        </is>
      </c>
      <c r="D645" s="16" t="n">
        <v>41896</v>
      </c>
      <c r="E645" s="16" t="n">
        <v>43300</v>
      </c>
      <c r="F645" s="16" t="n">
        <v>1404</v>
      </c>
      <c r="G645" s="16" t="n">
        <v>5087</v>
      </c>
      <c r="H645" s="15" t="inlineStr">
        <is>
          <t>Car#643</t>
        </is>
      </c>
      <c r="I645" s="16">
        <f>E645-E644</f>
        <v/>
      </c>
      <c r="J645" s="16">
        <f>I645-58</f>
        <v/>
      </c>
      <c r="K645" s="16">
        <f>MAX(0,J645)</f>
        <v/>
      </c>
      <c r="L645" s="16">
        <f>MAX(0,-J645)</f>
        <v/>
      </c>
      <c r="M645" s="16">
        <f>M644+I645</f>
        <v/>
      </c>
      <c r="N645" s="16">
        <f>D645+F645-E645</f>
        <v/>
      </c>
      <c r="O645" s="15" t="inlineStr">
        <is>
          <t>能力满足</t>
        </is>
      </c>
      <c r="P645" s="15" t="inlineStr">
        <is>
          <t>ST1 引取(开:41896.0s 加:55.0s 等前:4544.0s 等后:32.5s) | ST2 集约(开:41983.5s 加:106.0s 等前:0.0s 等后:9.0s) | ST3 空气悬挂+快充(开:42098.5s 加:0.0s 等前:0.0s 等后:120.5s) | ST4 四轮定位上、下(开:42219.0s 加:115.0s 等前:0.0s 等后:0.0s) | ST5 ADAS(开:42334.0s 加:97.0s 等前:0.0s 等后:41.0s) | ST6 ARHUD+慢充(开:42472.0s 加:0.0s 等前:0.0s 等后:114.5s) | ST7 转毂(开:42586.5s 加:116.0s 等前:0.0s 等后:0.0s) | ST8 制动(开:42702.5s 加:108.0s 等前:0.0s 等后:2.5s) | ST9 EG漏液/底盘漏液(开:42813.0s 加:115.0s 等前:0.0s 等后:0.0s) | ST10 全景/空调检查(开:42928.0s 加:98.0s 等前:0.0s 等后:0.0s) | ST11 气囊安装+绝缘(开:43026.0s 加:0.0s 等前:0.0s 等后:0.0s) | ST12 L2++(开:43026.0s 加:0.0s 等前:0.0s 等后:75.5s) | ST13 电检1(开:43101.5s 加:0.0s 等前:0.0s 等后:97.5s) | ST14 电检2(开:43199.0s 加:0.0s 等前:0.0s 等后:50.0s) | ST15 小跑道(开:43249.0s 加:51.0s 等前:0.0s 等后:0.0s)</t>
        </is>
      </c>
    </row>
    <row r="646">
      <c r="A646" s="13" t="n">
        <v>645</v>
      </c>
      <c r="B646" s="13" t="inlineStr">
        <is>
          <t>Car#644</t>
        </is>
      </c>
      <c r="C646" s="13" t="inlineStr">
        <is>
          <t>C</t>
        </is>
      </c>
      <c r="D646" s="14" t="n">
        <v>41840</v>
      </c>
      <c r="E646" s="14" t="n">
        <v>43350</v>
      </c>
      <c r="F646" s="14" t="n">
        <v>1510</v>
      </c>
      <c r="G646" s="14" t="n">
        <v>4632.5</v>
      </c>
      <c r="H646" s="13" t="inlineStr">
        <is>
          <t>Car#645</t>
        </is>
      </c>
      <c r="I646" s="14">
        <f>E646-E645</f>
        <v/>
      </c>
      <c r="J646" s="14">
        <f>I646-58</f>
        <v/>
      </c>
      <c r="K646" s="14">
        <f>MAX(0,J646)</f>
        <v/>
      </c>
      <c r="L646" s="14">
        <f>MAX(0,-J646)</f>
        <v/>
      </c>
      <c r="M646" s="14">
        <f>M645+I646</f>
        <v/>
      </c>
      <c r="N646" s="14">
        <f>D646+F646-E646</f>
        <v/>
      </c>
      <c r="O646" s="13" t="inlineStr">
        <is>
          <t>能力超目标：四轮定位上、下、ARHUD+慢充</t>
        </is>
      </c>
      <c r="P646" s="13" t="inlineStr">
        <is>
          <t>ST1 引取(开:41840.0s 加:56.0s 等前:4546.0s 等后:0.0s) | ST2 集约(开:41896.0s 加:111.0s 等前:0.0s 等后:0.0s) | ST3 空气悬挂+快充(开:42007.0s 加:108.5s 等前:0.0s 等后:0.0s) | ST4 四轮定位上、下(开:42115.5s 加:120.5s 等前:0.0s 等后:0.0s) | ST5 ADAS(开:42236.0s 加:107.0s 等前:0.0s 等后:6.0s) | ST6 ARHUD+慢充(开:42349.0s 加:143.5s 等前:0.0s 等后:0.0s) | ST7 转毂(开:42492.5s 加:114.5s 等前:0.0s 等后:0.0s) | ST8 制动(开:42607.0s 加:114.0s 等前:0.0s 等后:0.0s) | ST9 EG漏液/底盘漏液(开:42721.0s 加:112.5s 等前:0.0s 等后:0.0s) | ST10 全景/空调检查(开:42833.5s 加:0.0s 等前:0.0s 等后:0.0s) | ST11 气囊安装+绝缘(开:42833.5s 加:116.0s 等前:0.0s 等后:0.0s) | ST12 L2++(开:42949.5s 加:88.0s 等前:0.0s 等后:4.5s) | ST13 电检1(开:43042.0s 加:84.5s 等前:0.0s 等后:13.0s) | ST14 电检2(开:43139.5s 加:97.5s 等前:0.0s 等后:63.0s) | ST15 小跑道(开:43300.0s 加:50.0s 等前:0.0s 等后:0.0s)</t>
        </is>
      </c>
    </row>
    <row r="647">
      <c r="A647" s="15" t="n">
        <v>646</v>
      </c>
      <c r="B647" s="15" t="inlineStr">
        <is>
          <t>Car#647</t>
        </is>
      </c>
      <c r="C647" s="15" t="inlineStr">
        <is>
          <t>A</t>
        </is>
      </c>
      <c r="D647" s="16" t="n">
        <v>42038.5</v>
      </c>
      <c r="E647" s="16" t="n">
        <v>43401</v>
      </c>
      <c r="F647" s="16" t="n">
        <v>1362.5</v>
      </c>
      <c r="G647" s="16" t="n">
        <v>5072</v>
      </c>
      <c r="H647" s="15" t="inlineStr">
        <is>
          <t>Car#644</t>
        </is>
      </c>
      <c r="I647" s="16">
        <f>E647-E646</f>
        <v/>
      </c>
      <c r="J647" s="16">
        <f>I647-58</f>
        <v/>
      </c>
      <c r="K647" s="16">
        <f>MAX(0,J647)</f>
        <v/>
      </c>
      <c r="L647" s="16">
        <f>MAX(0,-J647)</f>
        <v/>
      </c>
      <c r="M647" s="16">
        <f>M646+I647</f>
        <v/>
      </c>
      <c r="N647" s="16">
        <f>D647+F647-E647</f>
        <v/>
      </c>
      <c r="O647" s="15" t="inlineStr">
        <is>
          <t>能力满足</t>
        </is>
      </c>
      <c r="P647" s="15" t="inlineStr">
        <is>
          <t>ST1 引取(开:42038.5s 加:55.0s 等前:4570.5s 等后:5.0s) | ST2 集约(开:42098.5s 加:106.0s 等前:0.0s 等后:14.5s) | ST3 空气悬挂+快充(开:42219.0s 加:0.0s 等前:0.0s 等后:115.0s) | ST4 四轮定位上、下(开:42334.0s 加:115.0s 等前:0.0s 等后:23.0s) | ST5 ADAS(开:42472.0s 加:97.0s 等前:0.0s 等后:17.5s) | ST6 ARHUD+慢充(开:42586.5s 加:0.0s 等前:0.0s 等后:116.0s) | ST7 转毂(开:42702.5s 加:116.0s 等前:0.0s 等后:0.0s) | ST8 制动(开:42818.5s 加:108.0s 等前:0.0s 等后:1.5s) | ST9 EG漏液/底盘漏液(开:42928.0s 加:115.0s 等前:0.0s 等后:0.0s) | ST10 全景/空调检查(开:43043.0s 加:98.0s 等前:0.0s 等后:0.0s) | ST11 气囊安装+绝缘(开:43141.0s 加:0.0s 等前:0.0s 等后:0.0s) | ST12 L2++(开:43141.0s 加:0.0s 等前:0.0s 等后:58.0s) | ST13 电检1(开:43199.0s 加:0.0s 等前:0.0s 等后:50.0s) | ST14 电检2(开:43249.0s 加:0.0s 等前:0.0s 等后:101.0s) | ST15 小跑道(开:43350.0s 加:51.0s 等前:0.0s 等后:0.0s)</t>
        </is>
      </c>
    </row>
    <row r="648">
      <c r="A648" s="13" t="n">
        <v>647</v>
      </c>
      <c r="B648" s="13" t="inlineStr">
        <is>
          <t>Car#646</t>
        </is>
      </c>
      <c r="C648" s="13" t="inlineStr">
        <is>
          <t>A</t>
        </is>
      </c>
      <c r="D648" s="14" t="n">
        <v>41983.5</v>
      </c>
      <c r="E648" s="14" t="n">
        <v>43452</v>
      </c>
      <c r="F648" s="14" t="n">
        <v>1468.5</v>
      </c>
      <c r="G648" s="14" t="n">
        <v>5181</v>
      </c>
      <c r="H648" s="13" t="inlineStr">
        <is>
          <t>Car#647</t>
        </is>
      </c>
      <c r="I648" s="14">
        <f>E648-E647</f>
        <v/>
      </c>
      <c r="J648" s="14">
        <f>I648-58</f>
        <v/>
      </c>
      <c r="K648" s="14">
        <f>MAX(0,J648)</f>
        <v/>
      </c>
      <c r="L648" s="14">
        <f>MAX(0,-J648)</f>
        <v/>
      </c>
      <c r="M648" s="14">
        <f>M647+I648</f>
        <v/>
      </c>
      <c r="N648" s="14">
        <f>D648+F648-E648</f>
        <v/>
      </c>
      <c r="O648" s="13" t="inlineStr">
        <is>
          <t>能力满足</t>
        </is>
      </c>
      <c r="P648" s="13" t="inlineStr">
        <is>
          <t>ST1 引取(开:41983.5s 加:55.0s 等前:4573.5s 等后:0.0s) | ST2 集约(开:42038.5s 加:106.0s 等前:0.0s 等后:0.0s) | ST3 空气悬挂+快充(开:42144.5s 加:0.0s 等前:0.0s 等后:91.5s) | ST4 四轮定位上、下(开:42236.0s 加:115.0s 等前:0.0s 等后:0.0s) | ST5 ADAS(开:42351.0s 加:97.0s 等前:0.0s 等后:44.5s) | ST6 ARHUD+慢充(开:42492.5s 加:0.0s 等前:0.0s 等后:114.5s) | ST7 转毂(开:42607.0s 加:116.0s 等前:0.0s 等后:0.0s) | ST8 制动(开:42723.0s 加:108.0s 等前:0.0s 等后:2.5s) | ST9 EG漏液/底盘漏液(开:42833.5s 加:115.0s 等前:0.0s 等后:0.0s) | ST10 全景/空调检查(开:42948.5s 加:98.0s 等前:0.0s 等后:0.0s) | ST11 气囊安装+绝缘(开:43046.5s 加:0.0s 等前:0.0s 等后:0.0s) | ST12 L2++(开:43046.5s 加:0.0s 等前:0.0s 等后:93.0s) | ST13 电检1(开:43139.5s 加:0.0s 等前:0.0s 等后:160.5s) | ST14 电检2(开:43300.0s 加:0.0s 等前:0.0s 等后:101.0s) | ST15 小跑道(开:43401.0s 加:51.0s 等前:0.0s 等后:0.0s)</t>
        </is>
      </c>
    </row>
    <row r="649">
      <c r="A649" s="15" t="n">
        <v>648</v>
      </c>
      <c r="B649" s="15" t="inlineStr">
        <is>
          <t>Car#648</t>
        </is>
      </c>
      <c r="C649" s="15" t="inlineStr">
        <is>
          <t>C</t>
        </is>
      </c>
      <c r="D649" s="16" t="n">
        <v>42098.5</v>
      </c>
      <c r="E649" s="16" t="n">
        <v>43548.5</v>
      </c>
      <c r="F649" s="16" t="n">
        <v>1450</v>
      </c>
      <c r="G649" s="16" t="n">
        <v>4599</v>
      </c>
      <c r="H649" s="15" t="inlineStr">
        <is>
          <t>Car#646</t>
        </is>
      </c>
      <c r="I649" s="16">
        <f>E649-E648</f>
        <v/>
      </c>
      <c r="J649" s="16">
        <f>I649-58</f>
        <v/>
      </c>
      <c r="K649" s="16">
        <f>MAX(0,J649)</f>
        <v/>
      </c>
      <c r="L649" s="16">
        <f>MAX(0,-J649)</f>
        <v/>
      </c>
      <c r="M649" s="16">
        <f>M648+I649</f>
        <v/>
      </c>
      <c r="N649" s="16">
        <f>D649+F649-E649</f>
        <v/>
      </c>
      <c r="O649" s="15" t="inlineStr">
        <is>
          <t>能力超目标：四轮定位上、下、ARHUD+慢充</t>
        </is>
      </c>
      <c r="P649" s="15" t="inlineStr">
        <is>
          <t>ST1 引取(开:42098.5s 加:56.0s 等前:4572.5s 等后:0.0s) | ST2 集约(开:42154.5s 加:111.0s 等前:0.0s 等后:0.0s) | ST3 空气悬挂+快充(开:42265.5s 加:108.5s 等前:0.0s 等后:0.0s) | ST4 四轮定位上、下(开:42374.0s 加:120.5s 等前:0.0s 等后:0.0s) | ST5 ADAS(开:42494.5s 加:107.0s 等前:0.0s 等后:5.5s) | ST6 ARHUD+慢充(开:42607.0s 加:143.5s 等前:0.0s 等后:0.0s) | ST7 转毂(开:42750.5s 加:114.5s 等前:0.0s 等后:0.0s) | ST8 制动(开:42865.0s 加:114.0s 等前:0.0s 等后:0.0s) | ST9 EG漏液/底盘漏液(开:42979.0s 加:112.5s 等前:0.0s 等后:0.0s) | ST10 全景/空调检查(开:43091.5s 加:0.0s 等前:0.0s 等后:0.0s) | ST11 气囊安装+绝缘(开:43091.5s 加:116.0s 等前:0.0s 等后:0.0s) | ST12 L2++(开:43207.5s 加:88.0s 等前:0.0s 等后:4.5s) | ST13 电检1(开:43300.0s 加:84.5s 等前:0.0s 等后:16.5s) | ST14 电检2(开:43401.0s 加:97.5s 等前:0.0s 等后:0.0s) | ST15 小跑道(开:43498.5s 加:50.0s 等前:0.0s 等后:0.0s)</t>
        </is>
      </c>
    </row>
    <row r="650">
      <c r="A650" s="13" t="n">
        <v>649</v>
      </c>
      <c r="B650" s="13" t="inlineStr">
        <is>
          <t>Car#649</t>
        </is>
      </c>
      <c r="C650" s="13" t="inlineStr">
        <is>
          <t>C</t>
        </is>
      </c>
      <c r="D650" s="14" t="n">
        <v>42154.5</v>
      </c>
      <c r="E650" s="14" t="n">
        <v>43623</v>
      </c>
      <c r="F650" s="14" t="n">
        <v>1468.5</v>
      </c>
      <c r="G650" s="14" t="n">
        <v>4615.5</v>
      </c>
      <c r="H650" s="13" t="inlineStr">
        <is>
          <t>Car#648</t>
        </is>
      </c>
      <c r="I650" s="14">
        <f>E650-E649</f>
        <v/>
      </c>
      <c r="J650" s="14">
        <f>I650-58</f>
        <v/>
      </c>
      <c r="K650" s="14">
        <f>MAX(0,J650)</f>
        <v/>
      </c>
      <c r="L650" s="14">
        <f>MAX(0,-J650)</f>
        <v/>
      </c>
      <c r="M650" s="14">
        <f>M649+I650</f>
        <v/>
      </c>
      <c r="N650" s="14">
        <f>D650+F650-E650</f>
        <v/>
      </c>
      <c r="O650" s="13" t="inlineStr">
        <is>
          <t>能力超目标：四轮定位上、下、ARHUD+慢充</t>
        </is>
      </c>
      <c r="P650" s="13" t="inlineStr">
        <is>
          <t>ST1 引取(开:42154.5s 加:56.0s 等前:4570.5s 等后:8.5s) | ST2 集约(开:42219.0s 加:111.0s 等前:0.0s 等后:4.0s) | ST3 空气悬挂+快充(开:42334.0s 加:108.5s 等前:0.0s 等后:29.5s) | ST4 四轮定位上、下(开:42472.0s 加:120.5s 等前:0.0s 等后:0.0s) | ST5 ADAS(开:42592.5s 加:107.0s 等前:0.0s 等后:3.0s) | ST6 ARHUD+慢充(开:42702.5s 加:143.5s 等前:0.0s 等后:0.0s) | ST7 转毂(开:42846.0s 加:114.5s 等前:0.0s 等后:0.0s) | ST8 制动(开:42960.5s 加:114.0s 等前:0.0s 等后:0.0s) | ST9 EG漏液/底盘漏液(开:43074.5s 加:112.5s 等前:0.0s 等后:0.0s) | ST10 全景/空调检查(开:43187.0s 加:0.0s 等前:0.0s 等后:0.0s) | ST11 气囊安装+绝缘(开:43187.0s 加:116.0s 等前:0.0s 等后:0.0s) | ST12 L2++(开:43303.0s 加:88.0s 等前:0.0s 等后:0.0s) | ST13 电检1(开:43391.0s 加:84.5s 等前:0.0s 等后:0.0s) | ST14 电检2(开:43475.5s 加:97.5s 等前:0.0s 等后:0.0s) | ST15 小跑道(开:43573.0s 加:50.0s 等前:0.0s 等后:0.0s)</t>
        </is>
      </c>
    </row>
    <row r="651">
      <c r="A651" s="15" t="n">
        <v>650</v>
      </c>
      <c r="B651" s="15" t="inlineStr">
        <is>
          <t>Car#650</t>
        </is>
      </c>
      <c r="C651" s="15" t="inlineStr">
        <is>
          <t>B</t>
        </is>
      </c>
      <c r="D651" s="16" t="n">
        <v>42219</v>
      </c>
      <c r="E651" s="16" t="n">
        <v>43673</v>
      </c>
      <c r="F651" s="16" t="n">
        <v>1454</v>
      </c>
      <c r="G651" s="16" t="n">
        <v>4699.5</v>
      </c>
      <c r="H651" s="15" t="inlineStr">
        <is>
          <t>Car#649</t>
        </is>
      </c>
      <c r="I651" s="16">
        <f>E651-E650</f>
        <v/>
      </c>
      <c r="J651" s="16">
        <f>I651-58</f>
        <v/>
      </c>
      <c r="K651" s="16">
        <f>MAX(0,J651)</f>
        <v/>
      </c>
      <c r="L651" s="16">
        <f>MAX(0,-J651)</f>
        <v/>
      </c>
      <c r="M651" s="16">
        <f>M650+I651</f>
        <v/>
      </c>
      <c r="N651" s="16">
        <f>D651+F651-E651</f>
        <v/>
      </c>
      <c r="O651" s="15" t="inlineStr">
        <is>
          <t>能力超目标：四轮定位上、下</t>
        </is>
      </c>
      <c r="P651" s="15" t="inlineStr">
        <is>
          <t>ST1 引取(开:42219.0s 加:56.0s 等前:4577.0s 等后:0.0s) | ST2 集约(开:42275.0s 加:111.0s 等前:0.0s 等后:0.0s) | ST3 空气悬挂+快充(开:42386.0s 加:108.5s 等前:0.0s 等后:0.0s) | ST4 四轮定位上、下(开:42494.5s 加:120.5s 等前:0.0s 等后:0.0s) | ST5 ADAS(开:42615.0s 加:107.0s 等前:0.0s 等后:28.5s) | ST6 ARHUD+慢充(开:42750.5s 加:51.5s 等前:0.0s 等后:63.0s) | ST7 转毂(开:42865.0s 加:114.5s 等前:0.0s 等后:0.0s) | ST8 制动(开:42979.5s 加:114.0s 等前:0.0s 等后:0.0s) | ST9 EG漏液/底盘漏液(开:43093.5s 加:112.5s 等前:0.0s 等后:0.0s) | ST10 全景/空调检查(开:43206.0s 加:0.0s 等前:0.0s 等后:1.5s) | ST11 气囊安装+绝缘(开:43207.5s 加:116.0s 等前:0.0s 等后:0.0s) | ST12 L2++(开:43323.5s 加:88.0s 等前:0.0s 等后:0.0s) | ST13 电检1(开:43411.5s 加:84.5s 等前:0.0s 等后:2.5s) | ST14 电检2(开:43498.5s 加:97.5s 等前:0.0s 等后:27.0s) | ST15 小跑道(开:43623.0s 加:50.0s 等前:0.0s 等后:0.0s)</t>
        </is>
      </c>
    </row>
    <row r="652">
      <c r="A652" s="13" t="n">
        <v>651</v>
      </c>
      <c r="B652" s="13" t="inlineStr">
        <is>
          <t>Car#651</t>
        </is>
      </c>
      <c r="C652" s="13" t="inlineStr">
        <is>
          <t>B</t>
        </is>
      </c>
      <c r="D652" s="14" t="n">
        <v>42275</v>
      </c>
      <c r="E652" s="14" t="n">
        <v>43739</v>
      </c>
      <c r="F652" s="14" t="n">
        <v>1464</v>
      </c>
      <c r="G652" s="14" t="n">
        <v>4707.5</v>
      </c>
      <c r="H652" s="13" t="inlineStr">
        <is>
          <t>Car#650</t>
        </is>
      </c>
      <c r="I652" s="14">
        <f>E652-E651</f>
        <v/>
      </c>
      <c r="J652" s="14">
        <f>I652-58</f>
        <v/>
      </c>
      <c r="K652" s="14">
        <f>MAX(0,J652)</f>
        <v/>
      </c>
      <c r="L652" s="14">
        <f>MAX(0,-J652)</f>
        <v/>
      </c>
      <c r="M652" s="14">
        <f>M651+I652</f>
        <v/>
      </c>
      <c r="N652" s="14">
        <f>D652+F652-E652</f>
        <v/>
      </c>
      <c r="O652" s="13" t="inlineStr">
        <is>
          <t>能力超目标：四轮定位上、下</t>
        </is>
      </c>
      <c r="P652" s="13" t="inlineStr">
        <is>
          <t>ST1 引取(开:42275.0s 加:56.0s 等前:4575.0s 等后:3.0s) | ST2 集约(开:42334.0s 加:111.0s 等前:0.0s 等后:27.0s) | ST3 空气悬挂+快充(开:42472.0s 加:108.5s 等前:0.0s 等后:12.0s) | ST4 四轮定位上、下(开:42592.5s 加:120.5s 等前:0.0s 等后:0.0s) | ST5 ADAS(开:42713.0s 加:107.0s 等前:0.0s 等后:26.0s) | ST6 ARHUD+慢充(开:42846.0s 加:51.5s 等前:0.0s 等后:63.0s) | ST7 转毂(开:42960.5s 加:114.5s 等前:0.0s 等后:0.0s) | ST8 制动(开:43075.0s 加:114.0s 等前:0.0s 等后:0.0s) | ST9 EG漏液/底盘漏液(开:43189.0s 加:112.5s 等前:0.0s 等后:0.0s) | ST10 全景/空调检查(开:43301.5s 加:0.0s 等前:0.0s 等后:1.5s) | ST11 气囊安装+绝缘(开:43303.0s 加:116.0s 等前:0.0s 等后:0.0s) | ST12 L2++(开:43419.0s 加:88.0s 等前:0.0s 等后:0.0s) | ST13 电检1(开:43507.0s 加:84.5s 等前:0.0s 等后:0.0s) | ST14 电检2(开:43591.5s 加:97.5s 等前:0.0s 等后:0.0s) | ST15 小跑道(开:43689.0s 加:50.0s 等前:0.0s 等后:0.0s)</t>
        </is>
      </c>
    </row>
    <row r="653">
      <c r="A653" s="15" t="n">
        <v>652</v>
      </c>
      <c r="B653" s="15" t="inlineStr">
        <is>
          <t>Car#652</t>
        </is>
      </c>
      <c r="C653" s="15" t="inlineStr">
        <is>
          <t>C</t>
        </is>
      </c>
      <c r="D653" s="16" t="n">
        <v>42334</v>
      </c>
      <c r="E653" s="16" t="n">
        <v>43789</v>
      </c>
      <c r="F653" s="16" t="n">
        <v>1455</v>
      </c>
      <c r="G653" s="16" t="n">
        <v>4607.5</v>
      </c>
      <c r="H653" s="15" t="inlineStr">
        <is>
          <t>Car#651</t>
        </is>
      </c>
      <c r="I653" s="16">
        <f>E653-E652</f>
        <v/>
      </c>
      <c r="J653" s="16">
        <f>I653-58</f>
        <v/>
      </c>
      <c r="K653" s="16">
        <f>MAX(0,J653)</f>
        <v/>
      </c>
      <c r="L653" s="16">
        <f>MAX(0,-J653)</f>
        <v/>
      </c>
      <c r="M653" s="16">
        <f>M652+I653</f>
        <v/>
      </c>
      <c r="N653" s="16">
        <f>D653+F653-E653</f>
        <v/>
      </c>
      <c r="O653" s="15" t="inlineStr">
        <is>
          <t>能力超目标：四轮定位上、下、ARHUD+慢充</t>
        </is>
      </c>
      <c r="P653" s="15" t="inlineStr">
        <is>
          <t>ST1 引取(开:42334.0s 加:56.0s 等前:4576.0s 等后:0.0s) | ST2 集约(开:42390.0s 加:111.0s 等前:0.0s 等后:0.0s) | ST3 空气悬挂+快充(开:42501.0s 加:108.5s 等前:0.0s 等后:5.5s) | ST4 四轮定位上、下(开:42615.0s 加:120.5s 等前:0.0s 等后:15.0s) | ST5 ADAS(开:42750.5s 加:107.0s 等前:0.0s 等后:7.5s) | ST6 ARHUD+慢充(开:42865.0s 加:143.5s 等前:0.0s 等后:0.0s) | ST7 转毂(开:43008.5s 加:114.5s 等前:0.0s 等后:0.0s) | ST8 制动(开:43123.0s 加:114.0s 等前:0.0s 等后:0.0s) | ST9 EG漏液/底盘漏液(开:43237.0s 加:112.5s 等前:0.0s 等后:0.0s) | ST10 全景/空调检查(开:43349.5s 加:0.0s 等前:0.0s 等后:0.0s) | ST11 气囊安装+绝缘(开:43349.5s 加:116.0s 等前:0.0s 等后:0.0s) | ST12 L2++(开:43465.5s 加:88.0s 等前:0.0s 等后:0.0s) | ST13 电检1(开:43553.5s 加:84.5s 等前:0.0s 等后:0.0s) | ST14 电检2(开:43638.0s 加:97.5s 等前:0.0s 等后:3.5s) | ST15 小跑道(开:43739.0s 加:50.0s 等前:0.0s 等后:0.0s)</t>
        </is>
      </c>
    </row>
    <row r="654">
      <c r="A654" s="13" t="n">
        <v>653</v>
      </c>
      <c r="B654" s="13" t="inlineStr">
        <is>
          <t>Car#653</t>
        </is>
      </c>
      <c r="C654" s="13" t="inlineStr">
        <is>
          <t>C</t>
        </is>
      </c>
      <c r="D654" s="14" t="n">
        <v>42390</v>
      </c>
      <c r="E654" s="14" t="n">
        <v>43881</v>
      </c>
      <c r="F654" s="14" t="n">
        <v>1491</v>
      </c>
      <c r="G654" s="14" t="n">
        <v>4641.5</v>
      </c>
      <c r="H654" s="13" t="inlineStr">
        <is>
          <t>Car#652</t>
        </is>
      </c>
      <c r="I654" s="14">
        <f>E654-E653</f>
        <v/>
      </c>
      <c r="J654" s="14">
        <f>I654-58</f>
        <v/>
      </c>
      <c r="K654" s="14">
        <f>MAX(0,J654)</f>
        <v/>
      </c>
      <c r="L654" s="14">
        <f>MAX(0,-J654)</f>
        <v/>
      </c>
      <c r="M654" s="14">
        <f>M653+I654</f>
        <v/>
      </c>
      <c r="N654" s="14">
        <f>D654+F654-E654</f>
        <v/>
      </c>
      <c r="O654" s="13" t="inlineStr">
        <is>
          <t>能力超目标：四轮定位上、下、ARHUD+慢充</t>
        </is>
      </c>
      <c r="P654" s="13" t="inlineStr">
        <is>
          <t>ST1 引取(开:42390.0s 加:56.0s 等前:4574.0s 等后:26.0s) | ST2 集约(开:42472.0s 加:111.0s 等前:0.0s 等后:9.5s) | ST3 空气悬挂+快充(开:42592.5s 加:108.5s 等前:0.0s 等后:12.0s) | ST4 四轮定位上、下(开:42713.0s 加:120.5s 等前:0.0s 等后:12.5s) | ST5 ADAS(开:42846.0s 加:107.0s 等前:0.0s 等后:7.5s) | ST6 ARHUD+慢充(开:42960.5s 加:143.5s 等前:0.0s 等后:0.0s) | ST7 转毂(开:43104.0s 加:114.5s 等前:0.0s 等后:0.0s) | ST8 制动(开:43218.5s 加:114.0s 等前:0.0s 等后:0.0s) | ST9 EG漏液/底盘漏液(开:43332.5s 加:112.5s 等前:0.0s 等后:0.0s) | ST10 全景/空调检查(开:43445.0s 加:0.0s 等前:0.0s 等后:0.0s) | ST11 气囊安装+绝缘(开:43445.0s 加:116.0s 等前:0.0s 等后:0.0s) | ST12 L2++(开:43561.0s 加:88.0s 等前:0.0s 等后:0.0s) | ST13 电检1(开:43649.0s 加:84.5s 等前:0.0s 等后:0.0s) | ST14 电检2(开:43733.5s 加:97.5s 等前:0.0s 等后:0.0s) | ST15 小跑道(开:43831.0s 加:50.0s 等前:0.0s 等后:0.0s)</t>
        </is>
      </c>
    </row>
    <row r="655">
      <c r="A655" s="15" t="n">
        <v>654</v>
      </c>
      <c r="B655" s="15" t="inlineStr">
        <is>
          <t>Car#654</t>
        </is>
      </c>
      <c r="C655" s="15" t="inlineStr">
        <is>
          <t>C</t>
        </is>
      </c>
      <c r="D655" s="16" t="n">
        <v>42472</v>
      </c>
      <c r="E655" s="16" t="n">
        <v>43931</v>
      </c>
      <c r="F655" s="16" t="n">
        <v>1459</v>
      </c>
      <c r="G655" s="16" t="n">
        <v>4633.5</v>
      </c>
      <c r="H655" s="15" t="inlineStr">
        <is>
          <t>Car#653</t>
        </is>
      </c>
      <c r="I655" s="16">
        <f>E655-E654</f>
        <v/>
      </c>
      <c r="J655" s="16">
        <f>I655-58</f>
        <v/>
      </c>
      <c r="K655" s="16">
        <f>MAX(0,J655)</f>
        <v/>
      </c>
      <c r="L655" s="16">
        <f>MAX(0,-J655)</f>
        <v/>
      </c>
      <c r="M655" s="16">
        <f>M654+I655</f>
        <v/>
      </c>
      <c r="N655" s="16">
        <f>D655+F655-E655</f>
        <v/>
      </c>
      <c r="O655" s="15" t="inlineStr">
        <is>
          <t>能力超目标：四轮定位上、下、ARHUD+慢充</t>
        </is>
      </c>
      <c r="P655" s="15" t="inlineStr">
        <is>
          <t>ST1 引取(开:42472.0s 加:56.0s 等前:4598.0s 等后:0.0s) | ST2 集约(开:42528.0s 加:111.0s 等前:0.0s 等后:0.0s) | ST3 空气悬挂+快充(开:42639.0s 加:108.5s 等前:0.0s 等后:3.0s) | ST4 四轮定位上、下(开:42750.5s 加:120.5s 等前:0.0s 等后:0.0s) | ST5 ADAS(开:42871.0s 加:107.0s 等前:0.0s 等后:30.5s) | ST6 ARHUD+慢充(开:43008.5s 加:143.5s 等前:0.0s 等后:0.0s) | ST7 转毂(开:43152.0s 加:114.5s 等前:0.0s 等后:0.0s) | ST8 制动(开:43266.5s 加:114.0s 等前:0.0s 等后:0.0s) | ST9 EG漏液/底盘漏液(开:43380.5s 加:112.5s 等前:0.0s 等后:0.0s) | ST10 全景/空调检查(开:43493.0s 加:0.0s 等前:0.0s 等后:0.0s) | ST11 气囊安装+绝缘(开:43493.0s 加:116.0s 等前:0.0s 等后:0.0s) | ST12 L2++(开:43609.0s 加:88.0s 等前:0.0s 等后:0.0s) | ST13 电检1(开:43697.0s 加:84.5s 等前:0.0s 等后:0.0s) | ST14 电检2(开:43781.5s 加:97.5s 等前:0.0s 等后:2.0s) | ST15 小跑道(开:43881.0s 加:50.0s 等前:0.0s 等后:0.0s)</t>
        </is>
      </c>
    </row>
    <row r="656">
      <c r="A656" s="13" t="n">
        <v>655</v>
      </c>
      <c r="B656" s="13" t="inlineStr">
        <is>
          <t>Car#655</t>
        </is>
      </c>
      <c r="C656" s="13" t="inlineStr">
        <is>
          <t>C</t>
        </is>
      </c>
      <c r="D656" s="14" t="n">
        <v>42528</v>
      </c>
      <c r="E656" s="14" t="n">
        <v>44024.5</v>
      </c>
      <c r="F656" s="14" t="n">
        <v>1496.5</v>
      </c>
      <c r="G656" s="14" t="n">
        <v>4669</v>
      </c>
      <c r="H656" s="13" t="inlineStr">
        <is>
          <t>Car#654</t>
        </is>
      </c>
      <c r="I656" s="14">
        <f>E656-E655</f>
        <v/>
      </c>
      <c r="J656" s="14">
        <f>I656-58</f>
        <v/>
      </c>
      <c r="K656" s="14">
        <f>MAX(0,J656)</f>
        <v/>
      </c>
      <c r="L656" s="14">
        <f>MAX(0,-J656)</f>
        <v/>
      </c>
      <c r="M656" s="14">
        <f>M655+I656</f>
        <v/>
      </c>
      <c r="N656" s="14">
        <f>D656+F656-E656</f>
        <v/>
      </c>
      <c r="O656" s="13" t="inlineStr">
        <is>
          <t>能力超目标：四轮定位上、下、ARHUD+慢充</t>
        </is>
      </c>
      <c r="P656" s="13" t="inlineStr">
        <is>
          <t>ST1 引取(开:42528.0s 加:56.0s 等前:4596.0s 等后:8.5s) | ST2 集约(开:42592.5s 加:111.0s 等前:0.0s 等后:9.5s) | ST3 空气悬挂+快充(开:42713.0s 加:108.5s 等前:0.0s 等后:24.5s) | ST4 四轮定位上、下(开:42846.0s 加:120.5s 等前:0.0s 等后:0.0s) | ST5 ADAS(开:42966.5s 加:107.0s 等前:0.0s 等后:30.5s) | ST6 ARHUD+慢充(开:43104.0s 加:143.5s 等前:0.0s 等后:0.0s) | ST7 转毂(开:43247.5s 加:114.5s 等前:0.0s 等后:0.0s) | ST8 制动(开:43362.0s 加:114.0s 等前:0.0s 等后:0.0s) | ST9 EG漏液/底盘漏液(开:43476.0s 加:112.5s 等前:0.0s 等后:0.0s) | ST10 全景/空调检查(开:43588.5s 加:0.0s 等前:0.0s 等后:0.0s) | ST11 气囊安装+绝缘(开:43588.5s 加:116.0s 等前:0.0s 等后:0.0s) | ST12 L2++(开:43704.5s 加:88.0s 等前:0.0s 等后:0.0s) | ST13 电检1(开:43792.5s 加:84.5s 等前:0.0s 等后:0.0s) | ST14 电检2(开:43877.0s 加:97.5s 等前:0.0s 等后:0.0s) | ST15 小跑道(开:43974.5s 加:50.0s 等前:0.0s 等后:0.0s)</t>
        </is>
      </c>
    </row>
    <row r="657">
      <c r="A657" s="15" t="n">
        <v>656</v>
      </c>
      <c r="B657" s="15" t="inlineStr">
        <is>
          <t>Car#656</t>
        </is>
      </c>
      <c r="C657" s="15" t="inlineStr">
        <is>
          <t>C</t>
        </is>
      </c>
      <c r="D657" s="16" t="n">
        <v>42592.5</v>
      </c>
      <c r="E657" s="16" t="n">
        <v>44074.5</v>
      </c>
      <c r="F657" s="16" t="n">
        <v>1482</v>
      </c>
      <c r="G657" s="16" t="n">
        <v>4661</v>
      </c>
      <c r="H657" s="15" t="inlineStr">
        <is>
          <t>Car#655</t>
        </is>
      </c>
      <c r="I657" s="16">
        <f>E657-E656</f>
        <v/>
      </c>
      <c r="J657" s="16">
        <f>I657-58</f>
        <v/>
      </c>
      <c r="K657" s="16">
        <f>MAX(0,J657)</f>
        <v/>
      </c>
      <c r="L657" s="16">
        <f>MAX(0,-J657)</f>
        <v/>
      </c>
      <c r="M657" s="16">
        <f>M656+I657</f>
        <v/>
      </c>
      <c r="N657" s="16">
        <f>D657+F657-E657</f>
        <v/>
      </c>
      <c r="O657" s="15" t="inlineStr">
        <is>
          <t>能力超目标：四轮定位上、下、ARHUD+慢充</t>
        </is>
      </c>
      <c r="P657" s="15" t="inlineStr">
        <is>
          <t>ST1 引取(开:42592.5s 加:56.0s 等前:4602.5s 等后:0.0s) | ST2 集约(开:42648.5s 加:111.0s 等前:0.0s 等后:0.0s) | ST3 空气悬挂+快充(开:42759.5s 加:108.5s 等前:0.0s 等后:3.0s) | ST4 四轮定位上、下(开:42871.0s 加:120.5s 等前:0.0s 等后:17.0s) | ST5 ADAS(开:43008.5s 加:107.0s 等前:0.0s 等后:36.5s) | ST6 ARHUD+慢充(开:43152.0s 加:143.5s 等前:0.0s 等后:0.0s) | ST7 转毂(开:43295.5s 加:114.5s 等前:0.0s 等后:0.0s) | ST8 制动(开:43410.0s 加:114.0s 等前:0.0s 等后:0.0s) | ST9 EG漏液/底盘漏液(开:43524.0s 加:112.5s 等前:0.0s 等后:0.0s) | ST10 全景/空调检查(开:43636.5s 加:0.0s 等前:0.0s 等后:0.0s) | ST11 气囊安装+绝缘(开:43636.5s 加:116.0s 等前:0.0s 等后:0.0s) | ST12 L2++(开:43752.5s 加:88.0s 等前:0.0s 等后:0.0s) | ST13 电检1(开:43840.5s 加:84.5s 等前:0.0s 等后:0.0s) | ST14 电检2(开:43925.0s 加:97.5s 等前:0.0s 等后:2.0s) | ST15 小跑道(开:44024.5s 加:50.0s 等前:0.0s 等后:0.0s)</t>
        </is>
      </c>
    </row>
    <row r="658">
      <c r="A658" s="13" t="n">
        <v>657</v>
      </c>
      <c r="B658" s="13" t="inlineStr">
        <is>
          <t>Car#658</t>
        </is>
      </c>
      <c r="C658" s="13" t="inlineStr">
        <is>
          <t>A</t>
        </is>
      </c>
      <c r="D658" s="14" t="n">
        <v>42713</v>
      </c>
      <c r="E658" s="14" t="n">
        <v>44125.5</v>
      </c>
      <c r="F658" s="14" t="n">
        <v>1412.5</v>
      </c>
      <c r="G658" s="14" t="n">
        <v>5158.5</v>
      </c>
      <c r="H658" s="13" t="inlineStr">
        <is>
          <t>Car#656</t>
        </is>
      </c>
      <c r="I658" s="14">
        <f>E658-E657</f>
        <v/>
      </c>
      <c r="J658" s="14">
        <f>I658-58</f>
        <v/>
      </c>
      <c r="K658" s="14">
        <f>MAX(0,J658)</f>
        <v/>
      </c>
      <c r="L658" s="14">
        <f>MAX(0,-J658)</f>
        <v/>
      </c>
      <c r="M658" s="14">
        <f>M657+I658</f>
        <v/>
      </c>
      <c r="N658" s="14">
        <f>D658+F658-E658</f>
        <v/>
      </c>
      <c r="O658" s="13" t="inlineStr">
        <is>
          <t>能力满足</t>
        </is>
      </c>
      <c r="P658" s="13" t="inlineStr">
        <is>
          <t>ST1 引取(开:42713.0s 加:55.0s 等前:4607.0s 等后:0.0s) | ST2 集约(开:42768.0s 加:106.0s 等前:0.0s 等后:0.0s) | ST3 空气悬挂+快充(开:42874.0s 加:0.0s 等前:0.0s 等后:134.5s) | ST4 四轮定位上、下(开:43008.5s 加:115.0s 等前:0.0s 等后:28.5s) | ST5 ADAS(开:43152.0s 加:97.0s 等前:0.0s 等后:46.5s) | ST6 ARHUD+慢充(开:43295.5s 加:0.0s 等前:0.0s 等后:114.5s) | ST7 转毂(开:43410.0s 加:116.0s 等前:0.0s 等后:0.0s) | ST8 制动(开:43526.0s 加:108.0s 等前:0.0s 等后:2.5s) | ST9 EG漏液/底盘漏液(开:43636.5s 加:115.0s 等前:0.0s 等后:0.0s) | ST10 全景/空调检查(开:43751.5s 加:98.0s 等前:0.0s 等后:0.0s) | ST11 气囊安装+绝缘(开:43849.5s 加:0.0s 等前:0.0s 等后:0.0s) | ST12 L2++(开:43849.5s 加:0.0s 等前:0.0s 等后:75.5s) | ST13 电检1(开:43925.0s 加:0.0s 等前:0.0s 等后:99.5s) | ST14 电检2(开:44024.5s 加:0.0s 等前:0.0s 等后:50.0s) | ST15 小跑道(开:44074.5s 加:51.0s 等前:0.0s 等后:0.0s)</t>
        </is>
      </c>
    </row>
    <row r="659">
      <c r="A659" s="15" t="n">
        <v>658</v>
      </c>
      <c r="B659" s="15" t="inlineStr">
        <is>
          <t>Car#660</t>
        </is>
      </c>
      <c r="C659" s="15" t="inlineStr">
        <is>
          <t>A</t>
        </is>
      </c>
      <c r="D659" s="16" t="n">
        <v>42846</v>
      </c>
      <c r="E659" s="16" t="n">
        <v>44176.5</v>
      </c>
      <c r="F659" s="16" t="n">
        <v>1330.5</v>
      </c>
      <c r="G659" s="16" t="n">
        <v>5093.5</v>
      </c>
      <c r="H659" s="15" t="inlineStr">
        <is>
          <t>Car#658</t>
        </is>
      </c>
      <c r="I659" s="16">
        <f>E659-E658</f>
        <v/>
      </c>
      <c r="J659" s="16">
        <f>I659-58</f>
        <v/>
      </c>
      <c r="K659" s="16">
        <f>MAX(0,J659)</f>
        <v/>
      </c>
      <c r="L659" s="16">
        <f>MAX(0,-J659)</f>
        <v/>
      </c>
      <c r="M659" s="16">
        <f>M658+I659</f>
        <v/>
      </c>
      <c r="N659" s="16">
        <f>D659+F659-E659</f>
        <v/>
      </c>
      <c r="O659" s="15" t="inlineStr">
        <is>
          <t>能力满足</t>
        </is>
      </c>
      <c r="P659" s="15" t="inlineStr">
        <is>
          <t>ST1 引取(开:42846.0s 加:55.0s 等前:4624.0s 等后:0.0s) | ST2 集约(开:42901.0s 加:106.0s 等前:0.0s 等后:1.5s) | ST3 空气悬挂+快充(开:43008.5s 加:0.0s 等前:0.0s 等后:143.5s) | ST4 四轮定位上、下(开:43152.0s 加:115.0s 等前:0.0s 等后:28.5s) | ST5 ADAS(开:43295.5s 加:97.0s 等前:0.0s 等后:17.5s) | ST6 ARHUD+慢充(开:43410.0s 加:0.0s 等前:0.0s 等后:116.0s) | ST7 转毂(开:43526.0s 加:116.0s 等前:0.0s 等后:0.0s) | ST8 制动(开:43642.0s 加:108.0s 等前:0.0s 等后:1.5s) | ST9 EG漏液/底盘漏液(开:43751.5s 加:115.0s 等前:0.0s 等后:0.0s) | ST10 全景/空调检查(开:43866.5s 加:98.0s 等前:0.0s 等后:0.0s) | ST11 气囊安装+绝缘(开:43964.5s 加:0.0s 等前:0.0s 等后:0.0s) | ST12 L2++(开:43964.5s 加:0.0s 等前:0.0s 等后:60.0s) | ST13 电检1(开:44024.5s 加:0.0s 等前:0.0s 等后:50.0s) | ST14 电检2(开:44074.5s 加:0.0s 等前:0.0s 等后:51.0s) | ST15 小跑道(开:44125.5s 加:51.0s 等前:0.0s 等后:0.0s)</t>
        </is>
      </c>
    </row>
    <row r="660">
      <c r="A660" s="13" t="n">
        <v>659</v>
      </c>
      <c r="B660" s="13" t="inlineStr">
        <is>
          <t>Car#657</t>
        </is>
      </c>
      <c r="C660" s="13" t="inlineStr">
        <is>
          <t>B</t>
        </is>
      </c>
      <c r="D660" s="14" t="n">
        <v>42648.5</v>
      </c>
      <c r="E660" s="14" t="n">
        <v>44226.5</v>
      </c>
      <c r="F660" s="14" t="n">
        <v>1578</v>
      </c>
      <c r="G660" s="14" t="n">
        <v>4847</v>
      </c>
      <c r="H660" s="13" t="inlineStr">
        <is>
          <t>Car#660</t>
        </is>
      </c>
      <c r="I660" s="14">
        <f>E660-E659</f>
        <v/>
      </c>
      <c r="J660" s="14">
        <f>I660-58</f>
        <v/>
      </c>
      <c r="K660" s="14">
        <f>MAX(0,J660)</f>
        <v/>
      </c>
      <c r="L660" s="14">
        <f>MAX(0,-J660)</f>
        <v/>
      </c>
      <c r="M660" s="14">
        <f>M659+I660</f>
        <v/>
      </c>
      <c r="N660" s="14">
        <f>D660+F660-E660</f>
        <v/>
      </c>
      <c r="O660" s="13" t="inlineStr">
        <is>
          <t>能力超目标：四轮定位上、下</t>
        </is>
      </c>
      <c r="P660" s="13" t="inlineStr">
        <is>
          <t>ST1 引取(开:42648.5s 加:56.0s 等前:4600.5s 等后:8.5s) | ST2 集约(开:42713.0s 加:111.0s 等前:0.0s 等后:22.0s) | ST3 空气悬挂+快充(开:42846.0s 加:108.5s 等前:0.0s 等后:12.0s) | ST4 四轮定位上、下(开:42966.5s 加:120.5s 等前:0.0s 等后:17.0s) | ST5 ADAS(开:43104.0s 加:107.0s 等前:0.0s 等后:36.5s) | ST6 ARHUD+慢充(开:43247.5s 加:51.5s 等前:0.0s 等后:63.0s) | ST7 转毂(开:43362.0s 加:114.5s 等前:0.0s 等后:0.0s) | ST8 制动(开:43476.5s 加:114.0s 等前:0.0s 等后:0.0s) | ST9 EG漏液/底盘漏液(开:43590.5s 加:112.5s 等前:0.0s 等后:0.0s) | ST10 全景/空调检查(开:43703.0s 加:0.0s 等前:0.0s 等后:1.5s) | ST11 气囊安装+绝缘(开:43704.5s 加:116.0s 等前:0.0s 等后:0.0s) | ST12 L2++(开:43820.5s 加:88.0s 等前:0.0s 等后:0.0s) | ST13 电检1(开:43908.5s 加:84.5s 等前:0.0s 等后:0.0s) | ST14 电检2(开:43993.0s 加:97.5s 等前:0.0s 等后:86.0s) | ST15 小跑道(开:44176.5s 加:50.0s 等前:0.0s 等后:0.0s)</t>
        </is>
      </c>
    </row>
    <row r="661">
      <c r="A661" s="15" t="n">
        <v>660</v>
      </c>
      <c r="B661" s="15" t="inlineStr">
        <is>
          <t>Car#659</t>
        </is>
      </c>
      <c r="C661" s="15" t="inlineStr">
        <is>
          <t>A</t>
        </is>
      </c>
      <c r="D661" s="16" t="n">
        <v>42768</v>
      </c>
      <c r="E661" s="16" t="n">
        <v>44277.5</v>
      </c>
      <c r="F661" s="16" t="n">
        <v>1509.5</v>
      </c>
      <c r="G661" s="16" t="n">
        <v>5252.5</v>
      </c>
      <c r="H661" s="15" t="inlineStr">
        <is>
          <t>Car#657</t>
        </is>
      </c>
      <c r="I661" s="16">
        <f>E661-E660</f>
        <v/>
      </c>
      <c r="J661" s="16">
        <f>I661-58</f>
        <v/>
      </c>
      <c r="K661" s="16">
        <f>MAX(0,J661)</f>
        <v/>
      </c>
      <c r="L661" s="16">
        <f>MAX(0,-J661)</f>
        <v/>
      </c>
      <c r="M661" s="16">
        <f>M660+I661</f>
        <v/>
      </c>
      <c r="N661" s="16">
        <f>D661+F661-E661</f>
        <v/>
      </c>
      <c r="O661" s="15" t="inlineStr">
        <is>
          <t>能力满足</t>
        </is>
      </c>
      <c r="P661" s="15" t="inlineStr">
        <is>
          <t>ST1 引取(开:42768.0s 加:55.0s 等前:4604.0s 等后:23.0s) | ST2 集约(开:42846.0s 加:106.0s 等前:0.0s 等后:14.5s) | ST3 空气悬挂+快充(开:42966.5s 加:0.0s 等前:0.0s 等后:137.5s) | ST4 四轮定位上、下(开:43104.0s 加:115.0s 等前:0.0s 等后:28.5s) | ST5 ADAS(开:43247.5s 加:97.0s 等前:0.0s 等后:17.5s) | ST6 ARHUD+慢充(开:43362.0s 加:0.0s 等前:0.0s 等后:114.5s) | ST7 转毂(开:43476.5s 加:116.0s 等前:0.0s 等后:0.0s) | ST8 制动(开:43592.5s 加:108.0s 等前:0.0s 等后:2.5s) | ST9 EG漏液/底盘漏液(开:43703.0s 加:115.0s 等前:0.0s 等后:0.0s) | ST10 全景/空调检查(开:43818.0s 加:98.0s 等前:0.0s 等后:0.0s) | ST11 气囊安装+绝缘(开:43916.0s 加:0.0s 等前:0.0s 等后:0.0s) | ST12 L2++(开:43916.0s 加:0.0s 等前:0.0s 等后:77.0s) | ST13 电检1(开:43993.0s 加:0.0s 等前:0.0s 等后:183.5s) | ST14 电检2(开:44176.5s 加:0.0s 等前:0.0s 等后:50.0s) | ST15 小跑道(开:44226.5s 加:51.0s 等前:0.0s 等后:0.0s)</t>
        </is>
      </c>
    </row>
    <row r="662">
      <c r="A662" s="13" t="n">
        <v>661</v>
      </c>
      <c r="B662" s="13" t="inlineStr">
        <is>
          <t>Car#661</t>
        </is>
      </c>
      <c r="C662" s="13" t="inlineStr">
        <is>
          <t>B</t>
        </is>
      </c>
      <c r="D662" s="14" t="n">
        <v>42901</v>
      </c>
      <c r="E662" s="14" t="n">
        <v>44408.5</v>
      </c>
      <c r="F662" s="14" t="n">
        <v>1507.5</v>
      </c>
      <c r="G662" s="14" t="n">
        <v>4797</v>
      </c>
      <c r="H662" s="13" t="inlineStr">
        <is>
          <t>Car#659</t>
        </is>
      </c>
      <c r="I662" s="14">
        <f>E662-E661</f>
        <v/>
      </c>
      <c r="J662" s="14">
        <f>I662-58</f>
        <v/>
      </c>
      <c r="K662" s="14">
        <f>MAX(0,J662)</f>
        <v/>
      </c>
      <c r="L662" s="14">
        <f>MAX(0,-J662)</f>
        <v/>
      </c>
      <c r="M662" s="14">
        <f>M661+I662</f>
        <v/>
      </c>
      <c r="N662" s="14">
        <f>D662+F662-E662</f>
        <v/>
      </c>
      <c r="O662" s="13" t="inlineStr">
        <is>
          <t>能力超目标：四轮定位上、下</t>
        </is>
      </c>
      <c r="P662" s="13" t="inlineStr">
        <is>
          <t>ST1 引取(开:42901.0s 加:56.0s 等前:4621.0s 等后:9.5s) | ST2 集约(开:42966.5s 加:111.0s 等前:0.0s 等后:26.5s) | ST3 空气悬挂+快充(开:43104.0s 加:108.5s 等前:0.0s 等后:35.0s) | ST4 四轮定位上、下(开:43247.5s 加:120.5s 等前:0.0s 等后:0.0s) | ST5 ADAS(开:43368.0s 加:107.0s 等前:0.0s 等后:1.5s) | ST6 ARHUD+慢充(开:43476.5s 加:51.5s 等前:0.0s 等后:64.5s) | ST7 转毂(开:43592.5s 加:114.5s 等前:0.0s 等后:0.0s) | ST8 制动(开:43707.0s 加:114.0s 等前:0.0s 等后:0.0s) | ST9 EG漏液/底盘漏液(开:43821.0s 加:112.5s 等前:0.0s 等后:0.0s) | ST10 全景/空调检查(开:43933.5s 加:0.0s 等前:0.0s 等后:0.0s) | ST11 气囊安装+绝缘(开:43933.5s 加:116.0s 等前:0.0s 等后:0.0s) | ST12 L2++(开:44049.5s 加:88.0s 等前:0.0s 等后:39.0s) | ST13 电检1(开:44176.5s 加:84.5s 等前:0.0s 等后:0.0s) | ST14 电检2(开:44261.0s 加:97.5s 等前:0.0s 等后:0.0s) | ST15 小跑道(开:44358.5s 加:50.0s 等前:0.0s 等后:0.0s)</t>
        </is>
      </c>
    </row>
    <row r="663">
      <c r="A663" s="15" t="n">
        <v>662</v>
      </c>
      <c r="B663" s="15" t="inlineStr">
        <is>
          <t>Car#662</t>
        </is>
      </c>
      <c r="C663" s="15" t="inlineStr">
        <is>
          <t>C</t>
        </is>
      </c>
      <c r="D663" s="16" t="n">
        <v>42966.5</v>
      </c>
      <c r="E663" s="16" t="n">
        <v>44458.5</v>
      </c>
      <c r="F663" s="16" t="n">
        <v>1492</v>
      </c>
      <c r="G663" s="16" t="n">
        <v>4697</v>
      </c>
      <c r="H663" s="15" t="inlineStr">
        <is>
          <t>Car#661</t>
        </is>
      </c>
      <c r="I663" s="16">
        <f>E663-E662</f>
        <v/>
      </c>
      <c r="J663" s="16">
        <f>I663-58</f>
        <v/>
      </c>
      <c r="K663" s="16">
        <f>MAX(0,J663)</f>
        <v/>
      </c>
      <c r="L663" s="16">
        <f>MAX(0,-J663)</f>
        <v/>
      </c>
      <c r="M663" s="16">
        <f>M662+I663</f>
        <v/>
      </c>
      <c r="N663" s="16">
        <f>D663+F663-E663</f>
        <v/>
      </c>
      <c r="O663" s="15" t="inlineStr">
        <is>
          <t>能力超目标：四轮定位上、下、ARHUD+慢充</t>
        </is>
      </c>
      <c r="P663" s="15" t="inlineStr">
        <is>
          <t>ST1 引取(开:42966.5s 加:56.0s 等前:4628.5s 等后:0.0s) | ST2 集约(开:43022.5s 加:111.0s 等前:0.0s 等后:18.5s) | ST3 空气悬挂+快充(开:43152.0s 加:108.5s 等前:0.0s 等后:35.0s) | ST4 四轮定位上、下(开:43295.5s 加:120.5s 等前:0.0s 等后:0.0s) | ST5 ADAS(开:43416.0s 加:107.0s 等前:0.0s 等后:3.0s) | ST6 ARHUD+慢充(开:43526.0s 加:143.5s 等前:0.0s 等后:0.0s) | ST7 转毂(开:43669.5s 加:114.5s 等前:0.0s 等后:0.0s) | ST8 制动(开:43784.0s 加:114.0s 等前:0.0s 等后:0.0s) | ST9 EG漏液/底盘漏液(开:43898.0s 加:112.5s 等前:0.0s 等后:0.0s) | ST10 全景/空调检查(开:44010.5s 加:0.0s 等前:0.0s 等后:0.0s) | ST11 气囊安装+绝缘(开:44010.5s 加:116.0s 等前:0.0s 等后:0.0s) | ST12 L2++(开:44126.5s 加:88.0s 等前:0.0s 等后:0.0s) | ST13 电检1(开:44214.5s 加:84.5s 等前:0.0s 等后:0.0s) | ST14 电检2(开:44299.0s 加:97.5s 等前:0.0s 等后:12.0s) | ST15 小跑道(开:44408.5s 加:50.0s 等前:0.0s 等后:0.0s)</t>
        </is>
      </c>
    </row>
    <row r="664">
      <c r="A664" s="13" t="n">
        <v>663</v>
      </c>
      <c r="B664" s="13" t="inlineStr">
        <is>
          <t>Car#663</t>
        </is>
      </c>
      <c r="C664" s="13" t="inlineStr">
        <is>
          <t>C</t>
        </is>
      </c>
      <c r="D664" s="14" t="n">
        <v>43022.5</v>
      </c>
      <c r="E664" s="14" t="n">
        <v>44516</v>
      </c>
      <c r="F664" s="14" t="n">
        <v>1493.5</v>
      </c>
      <c r="G664" s="14" t="n">
        <v>4696.5</v>
      </c>
      <c r="H664" s="13" t="inlineStr">
        <is>
          <t>Car#662</t>
        </is>
      </c>
      <c r="I664" s="14">
        <f>E664-E663</f>
        <v/>
      </c>
      <c r="J664" s="14">
        <f>I664-58</f>
        <v/>
      </c>
      <c r="K664" s="14">
        <f>MAX(0,J664)</f>
        <v/>
      </c>
      <c r="L664" s="14">
        <f>MAX(0,-J664)</f>
        <v/>
      </c>
      <c r="M664" s="14">
        <f>M663+I664</f>
        <v/>
      </c>
      <c r="N664" s="14">
        <f>D664+F664-E664</f>
        <v/>
      </c>
      <c r="O664" s="13" t="inlineStr">
        <is>
          <t>能力超目标：四轮定位上、下、ARHUD+慢充</t>
        </is>
      </c>
      <c r="P664" s="13" t="inlineStr">
        <is>
          <t>ST1 引取(开:43022.5s 加:56.0s 等前:4626.5s 等后:25.5s) | ST2 集约(开:43104.0s 加:111.0s 等前:0.0s 等后:32.5s) | ST3 空气悬挂+快充(开:43247.5s 加:108.5s 等前:0.0s 等后:12.0s) | ST4 四轮定位上、下(开:43368.0s 加:120.5s 等前:0.0s 等后:0.0s) | ST5 ADAS(开:43488.5s 加:107.0s 等前:0.0s 等后:0.0s) | ST6 ARHUD+慢充(开:43595.5s 加:143.5s 等前:0.0s 等后:0.0s) | ST7 转毂(开:43739.0s 加:114.5s 等前:0.0s 等后:0.0s) | ST8 制动(开:43853.5s 加:114.0s 等前:0.0s 等后:0.0s) | ST9 EG漏液/底盘漏液(开:43967.5s 加:112.5s 等前:0.0s 等后:0.0s) | ST10 全景/空调检查(开:44080.0s 加:0.0s 等前:0.0s 等后:0.0s) | ST11 气囊安装+绝缘(开:44080.0s 加:116.0s 等前:0.0s 等后:0.0s) | ST12 L2++(开:44196.0s 加:88.0s 等前:0.0s 等后:0.0s) | ST13 电检1(开:44284.0s 加:84.5s 等前:0.0s 等后:0.0s) | ST14 电检2(开:44368.5s 加:97.5s 等前:0.0s 等后:0.0s) | ST15 小跑道(开:44466.0s 加:50.0s 等前:0.0s 等后:0.0s)</t>
        </is>
      </c>
    </row>
    <row r="665">
      <c r="A665" s="15" t="n">
        <v>664</v>
      </c>
      <c r="B665" s="15" t="inlineStr">
        <is>
          <t>Car#664</t>
        </is>
      </c>
      <c r="C665" s="15" t="inlineStr">
        <is>
          <t>C</t>
        </is>
      </c>
      <c r="D665" s="16" t="n">
        <v>43104</v>
      </c>
      <c r="E665" s="16" t="n">
        <v>44590</v>
      </c>
      <c r="F665" s="16" t="n">
        <v>1486</v>
      </c>
      <c r="G665" s="16" t="n">
        <v>4712.5</v>
      </c>
      <c r="H665" s="15" t="inlineStr">
        <is>
          <t>Car#663</t>
        </is>
      </c>
      <c r="I665" s="16">
        <f>E665-E664</f>
        <v/>
      </c>
      <c r="J665" s="16">
        <f>I665-58</f>
        <v/>
      </c>
      <c r="K665" s="16">
        <f>MAX(0,J665)</f>
        <v/>
      </c>
      <c r="L665" s="16">
        <f>MAX(0,-J665)</f>
        <v/>
      </c>
      <c r="M665" s="16">
        <f>M664+I665</f>
        <v/>
      </c>
      <c r="N665" s="16">
        <f>D665+F665-E665</f>
        <v/>
      </c>
      <c r="O665" s="15" t="inlineStr">
        <is>
          <t>能力超目标：四轮定位上、下、ARHUD+慢充</t>
        </is>
      </c>
      <c r="P665" s="15" t="inlineStr">
        <is>
          <t>ST1 引取(开:43104.0s 加:56.0s 等前:4650.0s 等后:0.0s) | ST2 集约(开:43160.0s 加:111.0s 等前:0.0s 等后:24.5s) | ST3 空气悬挂+快充(开:43295.5s 加:108.5s 等前:0.0s 等后:12.0s) | ST4 四轮定位上、下(开:43416.0s 加:120.5s 等前:0.0s 等后:0.0s) | ST5 ADAS(开:43536.5s 加:107.0s 等前:0.0s 等后:26.0s) | ST6 ARHUD+慢充(开:43669.5s 加:143.5s 等前:0.0s 等后:0.0s) | ST7 转毂(开:43813.0s 加:114.5s 等前:0.0s 等后:0.0s) | ST8 制动(开:43927.5s 加:114.0s 等前:0.0s 等后:0.0s) | ST9 EG漏液/底盘漏液(开:44041.5s 加:112.5s 等前:0.0s 等后:0.0s) | ST10 全景/空调检查(开:44154.0s 加:0.0s 等前:0.0s 等后:0.0s) | ST11 气囊安装+绝缘(开:44154.0s 加:116.0s 等前:0.0s 等后:0.0s) | ST12 L2++(开:44270.0s 加:88.0s 等前:0.0s 等后:0.0s) | ST13 电检1(开:44358.0s 加:84.5s 等前:0.0s 等后:0.0s) | ST14 电检2(开:44442.5s 加:97.5s 等前:0.0s 等后:0.0s) | ST15 小跑道(开:44540.0s 加:50.0s 等前:0.0s 等后:0.0s)</t>
        </is>
      </c>
    </row>
    <row r="666">
      <c r="A666" s="13" t="n">
        <v>665</v>
      </c>
      <c r="B666" s="13" t="inlineStr">
        <is>
          <t>Car#665</t>
        </is>
      </c>
      <c r="C666" s="13" t="inlineStr">
        <is>
          <t>B</t>
        </is>
      </c>
      <c r="D666" s="14" t="n">
        <v>43160</v>
      </c>
      <c r="E666" s="14" t="n">
        <v>44640</v>
      </c>
      <c r="F666" s="14" t="n">
        <v>1480</v>
      </c>
      <c r="G666" s="14" t="n">
        <v>4796.5</v>
      </c>
      <c r="H666" s="13" t="inlineStr">
        <is>
          <t>Car#664</t>
        </is>
      </c>
      <c r="I666" s="14">
        <f>E666-E665</f>
        <v/>
      </c>
      <c r="J666" s="14">
        <f>I666-58</f>
        <v/>
      </c>
      <c r="K666" s="14">
        <f>MAX(0,J666)</f>
        <v/>
      </c>
      <c r="L666" s="14">
        <f>MAX(0,-J666)</f>
        <v/>
      </c>
      <c r="M666" s="14">
        <f>M665+I666</f>
        <v/>
      </c>
      <c r="N666" s="14">
        <f>D666+F666-E666</f>
        <v/>
      </c>
      <c r="O666" s="13" t="inlineStr">
        <is>
          <t>能力超目标：四轮定位上、下</t>
        </is>
      </c>
      <c r="P666" s="13" t="inlineStr">
        <is>
          <t>ST1 引取(开:43160.0s 加:56.0s 等前:4648.0s 等后:31.5s) | ST2 集约(开:43247.5s 加:111.0s 等前:0.0s 等后:9.5s) | ST3 空气悬挂+快充(开:43368.0s 加:108.5s 等前:0.0s 等后:12.0s) | ST4 四轮定位上、下(开:43488.5s 加:120.5s 等前:0.0s 等后:0.0s) | ST5 ADAS(开:43609.0s 加:107.0s 等前:0.0s 等后:23.0s) | ST6 ARHUD+慢充(开:43739.0s 加:51.5s 等前:0.0s 等后:63.0s) | ST7 转毂(开:43853.5s 加:114.5s 等前:0.0s 等后:0.0s) | ST8 制动(开:43968.0s 加:114.0s 等前:0.0s 等后:0.0s) | ST9 EG漏液/底盘漏液(开:44082.0s 加:112.5s 等前:0.0s 等后:0.0s) | ST10 全景/空调检查(开:44194.5s 加:0.0s 等前:0.0s 等后:1.5s) | ST11 气囊安装+绝缘(开:44196.0s 加:116.0s 等前:0.0s 等后:0.0s) | ST12 L2++(开:44312.0s 加:88.0s 等前:0.0s 等后:0.0s) | ST13 电检1(开:44400.0s 加:84.5s 等前:0.0s 等后:0.0s) | ST14 电检2(开:44484.5s 加:97.5s 等前:0.0s 等后:8.0s) | ST15 小跑道(开:44590.0s 加:50.0s 等前:0.0s 等后:0.0s)</t>
        </is>
      </c>
    </row>
    <row r="667">
      <c r="A667" s="15" t="n">
        <v>666</v>
      </c>
      <c r="B667" s="15" t="inlineStr">
        <is>
          <t>Car#666</t>
        </is>
      </c>
      <c r="C667" s="15" t="inlineStr">
        <is>
          <t>B</t>
        </is>
      </c>
      <c r="D667" s="16" t="n">
        <v>43247.5</v>
      </c>
      <c r="E667" s="16" t="n">
        <v>44706</v>
      </c>
      <c r="F667" s="16" t="n">
        <v>1458.5</v>
      </c>
      <c r="G667" s="16" t="n">
        <v>4804.5</v>
      </c>
      <c r="H667" s="15" t="inlineStr">
        <is>
          <t>Car#665</t>
        </is>
      </c>
      <c r="I667" s="16">
        <f>E667-E666</f>
        <v/>
      </c>
      <c r="J667" s="16">
        <f>I667-58</f>
        <v/>
      </c>
      <c r="K667" s="16">
        <f>MAX(0,J667)</f>
        <v/>
      </c>
      <c r="L667" s="16">
        <f>MAX(0,-J667)</f>
        <v/>
      </c>
      <c r="M667" s="16">
        <f>M666+I667</f>
        <v/>
      </c>
      <c r="N667" s="16">
        <f>D667+F667-E667</f>
        <v/>
      </c>
      <c r="O667" s="15" t="inlineStr">
        <is>
          <t>能力超目标：四轮定位上、下</t>
        </is>
      </c>
      <c r="P667" s="15" t="inlineStr">
        <is>
          <t>ST1 引取(开:43247.5s 加:56.0s 等前:4677.5s 等后:0.0s) | ST2 集约(开:43303.5s 加:111.0s 等前:0.0s 等后:1.5s) | ST3 空气悬挂+快充(开:43416.0s 加:108.5s 等前:0.0s 等后:12.0s) | ST4 四轮定位上、下(开:43536.5s 加:120.5s 等前:0.0s 等后:12.5s) | ST5 ADAS(开:43669.5s 加:107.0s 等前:0.0s 等后:36.5s) | ST6 ARHUD+慢充(开:43813.0s 加:51.5s 等前:0.0s 等后:63.0s) | ST7 转毂(开:43927.5s 加:114.5s 等前:0.0s 等后:0.0s) | ST8 制动(开:44042.0s 加:114.0s 等前:0.0s 等后:0.0s) | ST9 EG漏液/底盘漏液(开:44156.0s 加:112.5s 等前:0.0s 等后:0.0s) | ST10 全景/空调检查(开:44268.5s 加:0.0s 等前:0.0s 等后:1.5s) | ST11 气囊安装+绝缘(开:44270.0s 加:116.0s 等前:0.0s 等后:0.0s) | ST12 L2++(开:44386.0s 加:88.0s 等前:0.0s 等后:0.0s) | ST13 电检1(开:44474.0s 加:84.5s 等前:0.0s 等后:0.0s) | ST14 电检2(开:44558.5s 加:97.5s 等前:0.0s 等后:0.0s) | ST15 小跑道(开:44656.0s 加:50.0s 等前:0.0s 等后:0.0s)</t>
        </is>
      </c>
    </row>
    <row r="668">
      <c r="A668" s="13" t="n">
        <v>667</v>
      </c>
      <c r="B668" s="13" t="inlineStr">
        <is>
          <t>Car#667</t>
        </is>
      </c>
      <c r="C668" s="13" t="inlineStr">
        <is>
          <t>B</t>
        </is>
      </c>
      <c r="D668" s="14" t="n">
        <v>43303.5</v>
      </c>
      <c r="E668" s="14" t="n">
        <v>44756</v>
      </c>
      <c r="F668" s="14" t="n">
        <v>1452.5</v>
      </c>
      <c r="G668" s="14" t="n">
        <v>4796.5</v>
      </c>
      <c r="H668" s="13" t="inlineStr">
        <is>
          <t>Car#666</t>
        </is>
      </c>
      <c r="I668" s="14">
        <f>E668-E667</f>
        <v/>
      </c>
      <c r="J668" s="14">
        <f>I668-58</f>
        <v/>
      </c>
      <c r="K668" s="14">
        <f>MAX(0,J668)</f>
        <v/>
      </c>
      <c r="L668" s="14">
        <f>MAX(0,-J668)</f>
        <v/>
      </c>
      <c r="M668" s="14">
        <f>M667+I668</f>
        <v/>
      </c>
      <c r="N668" s="14">
        <f>D668+F668-E668</f>
        <v/>
      </c>
      <c r="O668" s="13" t="inlineStr">
        <is>
          <t>能力超目标：四轮定位上、下</t>
        </is>
      </c>
      <c r="P668" s="13" t="inlineStr">
        <is>
          <t>ST1 引取(开:43303.5s 加:56.0s 等前:4675.5s 等后:8.5s) | ST2 集约(开:43368.0s 加:111.0s 等前:0.0s 等后:9.5s) | ST3 空气悬挂+快充(开:43488.5s 加:108.5s 等前:0.0s 等后:12.0s) | ST4 四轮定位上、下(开:43609.0s 加:120.5s 等前:0.0s 等后:9.5s) | ST5 ADAS(开:43739.0s 加:107.0s 等前:0.0s 等后:7.5s) | ST6 ARHUD+慢充(开:43853.5s 加:51.5s 等前:0.0s 等后:63.0s) | ST7 转毂(开:43968.0s 加:114.5s 等前:0.0s 等后:0.0s) | ST8 制动(开:44082.5s 加:114.0s 等前:0.0s 等后:0.0s) | ST9 EG漏液/底盘漏液(开:44196.5s 加:112.5s 等前:0.0s 等后:0.0s) | ST10 全景/空调检查(开:44309.0s 加:0.0s 等前:0.0s 等后:3.0s) | ST11 气囊安装+绝缘(开:44312.0s 加:116.0s 等前:0.0s 等后:0.0s) | ST12 L2++(开:44428.0s 加:88.0s 等前:0.0s 等后:0.0s) | ST13 电检1(开:44516.0s 加:84.5s 等前:0.0s 等后:0.0s) | ST14 电检2(开:44600.5s 加:97.5s 等前:0.0s 等后:8.0s) | ST15 小跑道(开:44706.0s 加:50.0s 等前:0.0s 等后:0.0s)</t>
        </is>
      </c>
    </row>
    <row r="669">
      <c r="A669" s="15" t="n">
        <v>668</v>
      </c>
      <c r="B669" s="15" t="inlineStr">
        <is>
          <t>Car#668</t>
        </is>
      </c>
      <c r="C669" s="15" t="inlineStr">
        <is>
          <t>C</t>
        </is>
      </c>
      <c r="D669" s="16" t="n">
        <v>43368</v>
      </c>
      <c r="E669" s="16" t="n">
        <v>44848</v>
      </c>
      <c r="F669" s="16" t="n">
        <v>1480</v>
      </c>
      <c r="G669" s="16" t="n">
        <v>4738.5</v>
      </c>
      <c r="H669" s="15" t="inlineStr">
        <is>
          <t>Car#667</t>
        </is>
      </c>
      <c r="I669" s="16">
        <f>E669-E668</f>
        <v/>
      </c>
      <c r="J669" s="16">
        <f>I669-58</f>
        <v/>
      </c>
      <c r="K669" s="16">
        <f>MAX(0,J669)</f>
        <v/>
      </c>
      <c r="L669" s="16">
        <f>MAX(0,-J669)</f>
        <v/>
      </c>
      <c r="M669" s="16">
        <f>M668+I669</f>
        <v/>
      </c>
      <c r="N669" s="16">
        <f>D669+F669-E669</f>
        <v/>
      </c>
      <c r="O669" s="15" t="inlineStr">
        <is>
          <t>能力超目标：四轮定位上、下、ARHUD+慢充</t>
        </is>
      </c>
      <c r="P669" s="15" t="inlineStr">
        <is>
          <t>ST1 引取(开:43368.0s 加:56.0s 等前:4682.0s 等后:0.0s) | ST2 集约(开:43424.0s 加:111.0s 等前:0.0s 等后:1.5s) | ST3 空气悬挂+快充(开:43536.5s 加:108.5s 等前:0.0s 等后:24.5s) | ST4 四轮定位上、下(开:43669.5s 加:120.5s 等前:0.0s 等后:23.0s) | ST5 ADAS(开:43813.0s 加:107.0s 等前:0.0s 等后:7.5s) | ST6 ARHUD+慢充(开:43927.5s 加:143.5s 等前:0.0s 等后:0.0s) | ST7 转毂(开:44071.0s 加:114.5s 等前:0.0s 等后:0.0s) | ST8 制动(开:44185.5s 加:114.0s 等前:0.0s 等后:0.0s) | ST9 EG漏液/底盘漏液(开:44299.5s 加:112.5s 等前:0.0s 等后:0.0s) | ST10 全景/空调检查(开:44412.0s 加:0.0s 等前:0.0s 等后:0.0s) | ST11 气囊安装+绝缘(开:44412.0s 加:116.0s 等前:0.0s 等后:0.0s) | ST12 L2++(开:44528.0s 加:88.0s 等前:0.0s 等后:0.0s) | ST13 电检1(开:44616.0s 加:84.5s 等前:0.0s 等后:0.0s) | ST14 电检2(开:44700.5s 加:97.5s 等前:0.0s 等后:0.0s) | ST15 小跑道(开:44798.0s 加:50.0s 等前:0.0s 等后:0.0s)</t>
        </is>
      </c>
    </row>
    <row r="670">
      <c r="A670" s="13" t="n">
        <v>669</v>
      </c>
      <c r="B670" s="13" t="inlineStr">
        <is>
          <t>Car#670</t>
        </is>
      </c>
      <c r="C670" s="13" t="inlineStr">
        <is>
          <t>A</t>
        </is>
      </c>
      <c r="D670" s="14" t="n">
        <v>43488.5</v>
      </c>
      <c r="E670" s="14" t="n">
        <v>44899</v>
      </c>
      <c r="F670" s="14" t="n">
        <v>1410.5</v>
      </c>
      <c r="G670" s="14" t="n">
        <v>5236</v>
      </c>
      <c r="H670" s="13" t="inlineStr">
        <is>
          <t>Car#668</t>
        </is>
      </c>
      <c r="I670" s="14">
        <f>E670-E669</f>
        <v/>
      </c>
      <c r="J670" s="14">
        <f>I670-58</f>
        <v/>
      </c>
      <c r="K670" s="14">
        <f>MAX(0,J670)</f>
        <v/>
      </c>
      <c r="L670" s="14">
        <f>MAX(0,-J670)</f>
        <v/>
      </c>
      <c r="M670" s="14">
        <f>M669+I670</f>
        <v/>
      </c>
      <c r="N670" s="14">
        <f>D670+F670-E670</f>
        <v/>
      </c>
      <c r="O670" s="13" t="inlineStr">
        <is>
          <t>能力满足</t>
        </is>
      </c>
      <c r="P670" s="13" t="inlineStr">
        <is>
          <t>ST1 引取(开:43488.5s 加:55.0s 等前:4686.5s 等后:0.0s) | ST2 集约(开:43543.5s 加:106.0s 等前:0.0s 等后:20.0s) | ST3 空气悬挂+快充(开:43669.5s 加:0.0s 等前:0.0s 等后:143.5s) | ST4 四轮定位上、下(开:43813.0s 加:115.0s 等前:0.0s 等后:0.0s) | ST5 ADAS(开:43928.0s 加:97.0s 等前:0.0s 等后:46.0s) | ST6 ARHUD+慢充(开:44071.0s 加:0.0s 等前:0.0s 等后:114.5s) | ST7 转毂(开:44185.5s 加:116.0s 等前:0.0s 等后:0.0s) | ST8 制动(开:44301.5s 加:108.0s 等前:0.0s 等后:2.5s) | ST9 EG漏液/底盘漏液(开:44412.0s 加:115.0s 等前:0.0s 等后:0.0s) | ST10 全景/空调检查(开:44527.0s 加:98.0s 等前:0.0s 等后:0.0s) | ST11 气囊安装+绝缘(开:44625.0s 加:0.0s 等前:0.0s 等后:0.0s) | ST12 L2++(开:44625.0s 加:0.0s 等前:0.0s 等后:75.5s) | ST13 电检1(开:44700.5s 加:0.0s 等前:0.0s 等后:97.5s) | ST14 电检2(开:44798.0s 加:0.0s 等前:0.0s 等后:50.0s) | ST15 小跑道(开:44848.0s 加:51.0s 等前:0.0s 等后:0.0s)</t>
        </is>
      </c>
    </row>
    <row r="671">
      <c r="A671" s="15" t="n">
        <v>670</v>
      </c>
      <c r="B671" s="15" t="inlineStr">
        <is>
          <t>Car#669</t>
        </is>
      </c>
      <c r="C671" s="15" t="inlineStr">
        <is>
          <t>C</t>
        </is>
      </c>
      <c r="D671" s="16" t="n">
        <v>43424</v>
      </c>
      <c r="E671" s="16" t="n">
        <v>44949</v>
      </c>
      <c r="F671" s="16" t="n">
        <v>1525</v>
      </c>
      <c r="G671" s="16" t="n">
        <v>4781.5</v>
      </c>
      <c r="H671" s="15" t="inlineStr">
        <is>
          <t>Car#670</t>
        </is>
      </c>
      <c r="I671" s="16">
        <f>E671-E670</f>
        <v/>
      </c>
      <c r="J671" s="16">
        <f>I671-58</f>
        <v/>
      </c>
      <c r="K671" s="16">
        <f>MAX(0,J671)</f>
        <v/>
      </c>
      <c r="L671" s="16">
        <f>MAX(0,-J671)</f>
        <v/>
      </c>
      <c r="M671" s="16">
        <f>M670+I671</f>
        <v/>
      </c>
      <c r="N671" s="16">
        <f>D671+F671-E671</f>
        <v/>
      </c>
      <c r="O671" s="15" t="inlineStr">
        <is>
          <t>能力超目标：四轮定位上、下、ARHUD+慢充</t>
        </is>
      </c>
      <c r="P671" s="15" t="inlineStr">
        <is>
          <t>ST1 引取(开:43424.0s 加:56.0s 等前:4680.0s 等后:8.5s) | ST2 集约(开:43488.5s 加:111.0s 等前:0.0s 等后:9.5s) | ST3 空气悬挂+快充(开:43609.0s 加:108.5s 等前:0.0s 等后:21.5s) | ST4 四轮定位上、下(开:43739.0s 加:120.5s 等前:0.0s 等后:0.0s) | ST5 ADAS(开:43859.5s 加:107.0s 等前:0.0s 等后:1.5s) | ST6 ARHUD+慢充(开:43968.0s 加:143.5s 等前:0.0s 等后:0.0s) | ST7 转毂(开:44111.5s 加:114.5s 等前:0.0s 等后:0.0s) | ST8 制动(开:44226.0s 加:114.0s 等前:0.0s 等后:0.0s) | ST9 EG漏液/底盘漏液(开:44340.0s 加:112.5s 等前:0.0s 等后:0.0s) | ST10 全景/空调检查(开:44452.5s 加:0.0s 等前:0.0s 等后:0.0s) | ST11 气囊安装+绝缘(开:44452.5s 加:116.0s 等前:0.0s 等后:0.0s) | ST12 L2++(开:44568.5s 加:88.0s 等前:0.0s 等后:0.0s) | ST13 电检1(开:44656.5s 加:84.5s 等前:0.0s 等后:0.0s) | ST14 电检2(开:44741.0s 加:97.5s 等前:0.0s 等后:60.5s) | ST15 小跑道(开:44899.0s 加:50.0s 等前:0.0s 等后:0.0s)</t>
        </is>
      </c>
    </row>
    <row r="672">
      <c r="A672" s="13" t="n">
        <v>671</v>
      </c>
      <c r="B672" s="13" t="inlineStr">
        <is>
          <t>Car#671</t>
        </is>
      </c>
      <c r="C672" s="13" t="inlineStr">
        <is>
          <t>A</t>
        </is>
      </c>
      <c r="D672" s="14" t="n">
        <v>43543.5</v>
      </c>
      <c r="E672" s="14" t="n">
        <v>45000</v>
      </c>
      <c r="F672" s="14" t="n">
        <v>1456.5</v>
      </c>
      <c r="G672" s="14" t="n">
        <v>5279</v>
      </c>
      <c r="H672" s="13" t="inlineStr">
        <is>
          <t>Car#669</t>
        </is>
      </c>
      <c r="I672" s="14">
        <f>E672-E671</f>
        <v/>
      </c>
      <c r="J672" s="14">
        <f>I672-58</f>
        <v/>
      </c>
      <c r="K672" s="14">
        <f>MAX(0,J672)</f>
        <v/>
      </c>
      <c r="L672" s="14">
        <f>MAX(0,-J672)</f>
        <v/>
      </c>
      <c r="M672" s="14">
        <f>M671+I672</f>
        <v/>
      </c>
      <c r="N672" s="14">
        <f>D672+F672-E672</f>
        <v/>
      </c>
      <c r="O672" s="13" t="inlineStr">
        <is>
          <t>能力满足</t>
        </is>
      </c>
      <c r="P672" s="13" t="inlineStr">
        <is>
          <t>ST1 引取(开:43543.5s 加:55.0s 等前:4683.5s 等后:10.5s) | ST2 集约(开:43609.0s 加:106.0s 等前:0.0s 等后:24.0s) | ST3 空气悬挂+快充(开:43739.0s 加:0.0s 等前:0.0s 等后:120.5s) | ST4 四轮定位上、下(开:43859.5s 加:115.0s 等前:0.0s 等后:0.0s) | ST5 ADAS(开:43974.5s 加:97.0s 等前:0.0s 等后:40.0s) | ST6 ARHUD+慢充(开:44111.5s 加:0.0s 等前:0.0s 等后:114.5s) | ST7 转毂(开:44226.0s 加:116.0s 等前:0.0s 等后:0.0s) | ST8 制动(开:44342.0s 加:108.0s 等前:0.0s 等后:2.5s) | ST9 EG漏液/底盘漏液(开:44452.5s 加:115.0s 等前:0.0s 等后:0.0s) | ST10 全景/空调检查(开:44567.5s 加:98.0s 等前:0.0s 等后:0.0s) | ST11 气囊安装+绝缘(开:44665.5s 加:0.0s 等前:0.0s 等后:0.0s) | ST12 L2++(开:44665.5s 加:0.0s 等前:0.0s 等后:75.5s) | ST13 电检1(开:44741.0s 加:0.0s 等前:0.0s 等后:158.0s) | ST14 电检2(开:44899.0s 加:0.0s 等前:0.0s 等后:50.0s) | ST15 小跑道(开:44949.0s 加:51.0s 等前:0.0s 等后:0.0s)</t>
        </is>
      </c>
    </row>
    <row r="673">
      <c r="A673" s="15" t="n">
        <v>672</v>
      </c>
      <c r="B673" s="15" t="inlineStr">
        <is>
          <t>Car#672</t>
        </is>
      </c>
      <c r="C673" s="15" t="inlineStr">
        <is>
          <t>C</t>
        </is>
      </c>
      <c r="D673" s="16" t="n">
        <v>43609</v>
      </c>
      <c r="E673" s="16" t="n">
        <v>45106</v>
      </c>
      <c r="F673" s="16" t="n">
        <v>1497</v>
      </c>
      <c r="G673" s="16" t="n">
        <v>4764.5</v>
      </c>
      <c r="H673" s="15" t="inlineStr">
        <is>
          <t>Car#671</t>
        </is>
      </c>
      <c r="I673" s="16">
        <f>E673-E672</f>
        <v/>
      </c>
      <c r="J673" s="16">
        <f>I673-58</f>
        <v/>
      </c>
      <c r="K673" s="16">
        <f>MAX(0,J673)</f>
        <v/>
      </c>
      <c r="L673" s="16">
        <f>MAX(0,-J673)</f>
        <v/>
      </c>
      <c r="M673" s="16">
        <f>M672+I673</f>
        <v/>
      </c>
      <c r="N673" s="16">
        <f>D673+F673-E673</f>
        <v/>
      </c>
      <c r="O673" s="15" t="inlineStr">
        <is>
          <t>能力超目标：四轮定位上、下、ARHUD+慢充</t>
        </is>
      </c>
      <c r="P673" s="15" t="inlineStr">
        <is>
          <t>ST1 引取(开:43609.0s 加:56.0s 等前:4691.0s 等后:4.5s) | ST2 集约(开:43669.5s 加:111.0s 等前:0.0s 等后:32.5s) | ST3 空气悬挂+快充(开:43813.0s 加:108.5s 等前:0.0s 等后:6.5s) | ST4 四轮定位上、下(开:43928.0s 加:120.5s 等前:0.0s 等后:22.5s) | ST5 ADAS(开:44071.0s 加:107.0s 等前:0.0s 等后:7.5s) | ST6 ARHUD+慢充(开:44185.5s 加:143.5s 等前:0.0s 等后:0.0s) | ST7 转毂(开:44329.0s 加:114.5s 等前:0.0s 等后:0.0s) | ST8 制动(开:44443.5s 加:114.0s 等前:0.0s 等后:0.0s) | ST9 EG漏液/底盘漏液(开:44557.5s 加:112.5s 等前:0.0s 等后:0.0s) | ST10 全景/空调检查(开:44670.0s 加:0.0s 等前:0.0s 等后:0.0s) | ST11 气囊安装+绝缘(开:44670.0s 加:116.0s 等前:0.0s 等后:0.0s) | ST12 L2++(开:44786.0s 加:88.0s 等前:0.0s 等后:0.0s) | ST13 电检1(开:44874.0s 加:84.5s 等前:0.0s 等后:0.0s) | ST14 电检2(开:44958.5s 加:97.5s 等前:0.0s 等后:0.0s) | ST15 小跑道(开:45056.0s 加:50.0s 等前:0.0s 等后:0.0s)</t>
        </is>
      </c>
    </row>
    <row r="674">
      <c r="A674" s="13" t="n">
        <v>673</v>
      </c>
      <c r="B674" s="13" t="inlineStr">
        <is>
          <t>Car#673</t>
        </is>
      </c>
      <c r="C674" s="13" t="inlineStr">
        <is>
          <t>C</t>
        </is>
      </c>
      <c r="D674" s="14" t="n">
        <v>43669.5</v>
      </c>
      <c r="E674" s="14" t="n">
        <v>45156</v>
      </c>
      <c r="F674" s="14" t="n">
        <v>1486.5</v>
      </c>
      <c r="G674" s="14" t="n">
        <v>4756.5</v>
      </c>
      <c r="H674" s="13" t="inlineStr">
        <is>
          <t>Car#672</t>
        </is>
      </c>
      <c r="I674" s="14">
        <f>E674-E673</f>
        <v/>
      </c>
      <c r="J674" s="14">
        <f>I674-58</f>
        <v/>
      </c>
      <c r="K674" s="14">
        <f>MAX(0,J674)</f>
        <v/>
      </c>
      <c r="L674" s="14">
        <f>MAX(0,-J674)</f>
        <v/>
      </c>
      <c r="M674" s="14">
        <f>M673+I674</f>
        <v/>
      </c>
      <c r="N674" s="14">
        <f>D674+F674-E674</f>
        <v/>
      </c>
      <c r="O674" s="13" t="inlineStr">
        <is>
          <t>能力超目标：四轮定位上、下、ARHUD+慢充</t>
        </is>
      </c>
      <c r="P674" s="13" t="inlineStr">
        <is>
          <t>ST1 引取(开:43669.5s 加:56.0s 等前:4693.5s 等后:13.5s) | ST2 集约(开:43739.0s 加:111.0s 等前:0.0s 等后:9.5s) | ST3 空气悬挂+快充(开:43859.5s 加:108.5s 等前:0.0s 等后:6.5s) | ST4 四轮定位上、下(开:43974.5s 加:120.5s 等前:0.0s 等后:16.5s) | ST5 ADAS(开:44111.5s 加:107.0s 等前:0.0s 等后:7.5s) | ST6 ARHUD+慢充(开:44226.0s 加:143.5s 等前:0.0s 等后:0.0s) | ST7 转毂(开:44369.5s 加:114.5s 等前:0.0s 等后:0.0s) | ST8 制动(开:44484.0s 加:114.0s 等前:0.0s 等后:0.0s) | ST9 EG漏液/底盘漏液(开:44598.0s 加:112.5s 等前:0.0s 等后:0.0s) | ST10 全景/空调检查(开:44710.5s 加:0.0s 等前:0.0s 等后:0.0s) | ST11 气囊安装+绝缘(开:44710.5s 加:116.0s 等前:0.0s 等后:0.0s) | ST12 L2++(开:44826.5s 加:88.0s 等前:0.0s 等后:0.0s) | ST13 电检1(开:44914.5s 加:84.5s 等前:0.0s 等后:0.0s) | ST14 电检2(开:44999.0s 加:97.5s 等前:0.0s 等后:9.5s) | ST15 小跑道(开:45106.0s 加:50.0s 等前:0.0s 等后:0.0s)</t>
        </is>
      </c>
    </row>
    <row r="675">
      <c r="A675" s="15" t="n">
        <v>674</v>
      </c>
      <c r="B675" s="15" t="inlineStr">
        <is>
          <t>Car#674</t>
        </is>
      </c>
      <c r="C675" s="15" t="inlineStr">
        <is>
          <t>C</t>
        </is>
      </c>
      <c r="D675" s="16" t="n">
        <v>43739</v>
      </c>
      <c r="E675" s="16" t="n">
        <v>45249.5</v>
      </c>
      <c r="F675" s="16" t="n">
        <v>1510.5</v>
      </c>
      <c r="G675" s="16" t="n">
        <v>4792</v>
      </c>
      <c r="H675" s="15" t="inlineStr">
        <is>
          <t>Car#673</t>
        </is>
      </c>
      <c r="I675" s="16">
        <f>E675-E674</f>
        <v/>
      </c>
      <c r="J675" s="16">
        <f>I675-58</f>
        <v/>
      </c>
      <c r="K675" s="16">
        <f>MAX(0,J675)</f>
        <v/>
      </c>
      <c r="L675" s="16">
        <f>MAX(0,-J675)</f>
        <v/>
      </c>
      <c r="M675" s="16">
        <f>M674+I675</f>
        <v/>
      </c>
      <c r="N675" s="16">
        <f>D675+F675-E675</f>
        <v/>
      </c>
      <c r="O675" s="15" t="inlineStr">
        <is>
          <t>能力超目标：四轮定位上、下、ARHUD+慢充</t>
        </is>
      </c>
      <c r="P675" s="15" t="inlineStr">
        <is>
          <t>ST1 引取(开:43739.0s 加:56.0s 等前:4705.0s 等后:18.0s) | ST2 集约(开:43813.0s 加:111.0s 等前:0.0s 等后:4.0s) | ST3 空气悬挂+快充(开:43928.0s 加:108.5s 等前:0.0s 等后:34.5s) | ST4 四轮定位上、下(开:44071.0s 加:120.5s 等前:0.0s 等后:0.0s) | ST5 ADAS(开:44191.5s 加:107.0s 等前:0.0s 等后:30.5s) | ST6 ARHUD+慢充(开:44329.0s 加:143.5s 等前:0.0s 等后:0.0s) | ST7 转毂(开:44472.5s 加:114.5s 等前:0.0s 等后:0.0s) | ST8 制动(开:44587.0s 加:114.0s 等前:0.0s 等后:0.0s) | ST9 EG漏液/底盘漏液(开:44701.0s 加:112.5s 等前:0.0s 等后:0.0s) | ST10 全景/空调检查(开:44813.5s 加:0.0s 等前:0.0s 等后:0.0s) | ST11 气囊安装+绝缘(开:44813.5s 加:116.0s 等前:0.0s 等后:0.0s) | ST12 L2++(开:44929.5s 加:88.0s 等前:0.0s 等后:0.0s) | ST13 电检1(开:45017.5s 加:84.5s 等前:0.0s 等后:0.0s) | ST14 电检2(开:45102.0s 加:97.5s 等前:0.0s 等后:0.0s) | ST15 小跑道(开:45199.5s 加:50.0s 等前:0.0s 等后:0.0s)</t>
        </is>
      </c>
    </row>
    <row r="676">
      <c r="A676" s="13" t="n">
        <v>675</v>
      </c>
      <c r="B676" s="13" t="inlineStr">
        <is>
          <t>Car#675</t>
        </is>
      </c>
      <c r="C676" s="13" t="inlineStr">
        <is>
          <t>C</t>
        </is>
      </c>
      <c r="D676" s="14" t="n">
        <v>43813</v>
      </c>
      <c r="E676" s="14" t="n">
        <v>45299.5</v>
      </c>
      <c r="F676" s="14" t="n">
        <v>1486.5</v>
      </c>
      <c r="G676" s="14" t="n">
        <v>4784</v>
      </c>
      <c r="H676" s="13" t="inlineStr">
        <is>
          <t>Car#674</t>
        </is>
      </c>
      <c r="I676" s="14">
        <f>E676-E675</f>
        <v/>
      </c>
      <c r="J676" s="14">
        <f>I676-58</f>
        <v/>
      </c>
      <c r="K676" s="14">
        <f>MAX(0,J676)</f>
        <v/>
      </c>
      <c r="L676" s="14">
        <f>MAX(0,-J676)</f>
        <v/>
      </c>
      <c r="M676" s="14">
        <f>M675+I676</f>
        <v/>
      </c>
      <c r="N676" s="14">
        <f>D676+F676-E676</f>
        <v/>
      </c>
      <c r="O676" s="13" t="inlineStr">
        <is>
          <t>能力超目标：四轮定位上、下、ARHUD+慢充</t>
        </is>
      </c>
      <c r="P676" s="13" t="inlineStr">
        <is>
          <t>ST1 引取(开:43813.0s 加:56.0s 等前:4721.0s 等后:0.0s) | ST2 集约(开:43869.0s 加:111.0s 等前:0.0s 等后:0.0s) | ST3 空气悬挂+快充(开:43980.0s 加:108.5s 等前:0.0s 等后:23.0s) | ST4 四轮定位上、下(开:44111.5s 加:120.5s 等前:0.0s 等后:0.0s) | ST5 ADAS(开:44232.0s 加:107.0s 等前:0.0s 等后:30.5s) | ST6 ARHUD+慢充(开:44369.5s 加:143.5s 等前:0.0s 等后:0.0s) | ST7 转毂(开:44513.0s 加:114.5s 等前:0.0s 等后:0.0s) | ST8 制动(开:44627.5s 加:114.0s 等前:0.0s 等后:0.0s) | ST9 EG漏液/底盘漏液(开:44741.5s 加:112.5s 等前:0.0s 等后:0.0s) | ST10 全景/空调检查(开:44854.0s 加:0.0s 等前:0.0s 等后:0.0s) | ST11 气囊安装+绝缘(开:44854.0s 加:116.0s 等前:0.0s 等后:0.0s) | ST12 L2++(开:44970.0s 加:88.0s 等前:0.0s 等后:0.0s) | ST13 电检1(开:45058.0s 加:84.5s 等前:0.0s 等后:0.0s) | ST14 电检2(开:45142.5s 加:97.5s 等前:0.0s 等后:9.5s) | ST15 小跑道(开:45249.5s 加:50.0s 等前:0.0s 等后:0.0s)</t>
        </is>
      </c>
    </row>
    <row r="677">
      <c r="A677" s="15" t="n">
        <v>676</v>
      </c>
      <c r="B677" s="15" t="inlineStr">
        <is>
          <t>Car#676</t>
        </is>
      </c>
      <c r="C677" s="15" t="inlineStr">
        <is>
          <t>B</t>
        </is>
      </c>
      <c r="D677" s="16" t="n">
        <v>43869</v>
      </c>
      <c r="E677" s="16" t="n">
        <v>45365.5</v>
      </c>
      <c r="F677" s="16" t="n">
        <v>1496.5</v>
      </c>
      <c r="G677" s="16" t="n">
        <v>4884</v>
      </c>
      <c r="H677" s="15" t="inlineStr">
        <is>
          <t>Car#675</t>
        </is>
      </c>
      <c r="I677" s="16">
        <f>E677-E676</f>
        <v/>
      </c>
      <c r="J677" s="16">
        <f>I677-58</f>
        <v/>
      </c>
      <c r="K677" s="16">
        <f>MAX(0,J677)</f>
        <v/>
      </c>
      <c r="L677" s="16">
        <f>MAX(0,-J677)</f>
        <v/>
      </c>
      <c r="M677" s="16">
        <f>M676+I677</f>
        <v/>
      </c>
      <c r="N677" s="16">
        <f>D677+F677-E677</f>
        <v/>
      </c>
      <c r="O677" s="15" t="inlineStr">
        <is>
          <t>能力超目标：四轮定位上、下</t>
        </is>
      </c>
      <c r="P677" s="15" t="inlineStr">
        <is>
          <t>ST1 引取(开:43869.0s 加:56.0s 等前:4719.0s 等后:3.0s) | ST2 集约(开:43928.0s 加:111.0s 等前:0.0s 等后:32.0s) | ST3 空气悬挂+快充(开:44071.0s 加:108.5s 等前:0.0s 等后:12.0s) | ST4 四轮定位上、下(开:44191.5s 加:120.5s 等前:0.0s 等后:17.0s) | ST5 ADAS(开:44329.0s 加:107.0s 等前:0.0s 等后:36.5s) | ST6 ARHUD+慢充(开:44472.5s 加:51.5s 等前:0.0s 等后:63.0s) | ST7 转毂(开:44587.0s 加:114.5s 等前:0.0s 等后:0.0s) | ST8 制动(开:44701.5s 加:114.0s 等前:0.0s 等后:0.0s) | ST9 EG漏液/底盘漏液(开:44815.5s 加:112.5s 等前:0.0s 等后:0.0s) | ST10 全景/空调检查(开:44928.0s 加:0.0s 等前:0.0s 等后:1.5s) | ST11 气囊安装+绝缘(开:44929.5s 加:116.0s 等前:0.0s 等后:0.0s) | ST12 L2++(开:45045.5s 加:88.0s 等前:0.0s 等后:0.0s) | ST13 电检1(开:45133.5s 加:84.5s 等前:0.0s 等后:0.0s) | ST14 电检2(开:45218.0s 加:97.5s 等前:0.0s 等后:0.0s) | ST15 小跑道(开:45315.5s 加:50.0s 等前:0.0s 等后:0.0s)</t>
        </is>
      </c>
    </row>
    <row r="678">
      <c r="A678" s="13" t="n">
        <v>677</v>
      </c>
      <c r="B678" s="13" t="inlineStr">
        <is>
          <t>Car#678</t>
        </is>
      </c>
      <c r="C678" s="13" t="inlineStr">
        <is>
          <t>A</t>
        </is>
      </c>
      <c r="D678" s="14" t="n">
        <v>43984</v>
      </c>
      <c r="E678" s="14" t="n">
        <v>45416.5</v>
      </c>
      <c r="F678" s="14" t="n">
        <v>1432.5</v>
      </c>
      <c r="G678" s="14" t="n">
        <v>5289.5</v>
      </c>
      <c r="H678" s="13" t="inlineStr">
        <is>
          <t>Car#676</t>
        </is>
      </c>
      <c r="I678" s="14">
        <f>E678-E677</f>
        <v/>
      </c>
      <c r="J678" s="14">
        <f>I678-58</f>
        <v/>
      </c>
      <c r="K678" s="14">
        <f>MAX(0,J678)</f>
        <v/>
      </c>
      <c r="L678" s="14">
        <f>MAX(0,-J678)</f>
        <v/>
      </c>
      <c r="M678" s="14">
        <f>M677+I678</f>
        <v/>
      </c>
      <c r="N678" s="14">
        <f>D678+F678-E678</f>
        <v/>
      </c>
      <c r="O678" s="13" t="inlineStr">
        <is>
          <t>能力满足</t>
        </is>
      </c>
      <c r="P678" s="13" t="inlineStr">
        <is>
          <t>ST1 引取(开:43984.0s 加:55.0s 等前:4718.0s 等后:32.0s) | ST2 集约(开:44071.0s 加:106.0s 等前:0.0s 等后:14.5s) | ST3 空气悬挂+快充(开:44191.5s 加:0.0s 等前:0.0s 等后:137.5s) | ST4 四轮定位上、下(开:44329.0s 加:115.0s 等前:0.0s 等后:28.5s) | ST5 ADAS(开:44472.5s 加:97.0s 等前:0.0s 等后:17.5s) | ST6 ARHUD+慢充(开:44587.0s 加:0.0s 等前:0.0s 等后:114.5s) | ST7 转毂(开:44701.5s 加:116.0s 等前:0.0s 等后:0.0s) | ST8 制动(开:44817.5s 加:108.0s 等前:0.0s 等后:2.5s) | ST9 EG漏液/底盘漏液(开:44928.0s 加:115.0s 等前:0.0s 等后:0.0s) | ST10 全景/空调检查(开:45043.0s 加:98.0s 等前:0.0s 等后:0.0s) | ST11 气囊安装+绝缘(开:45141.0s 加:0.0s 等前:0.0s 等后:0.0s) | ST12 L2++(开:45141.0s 加:0.0s 等前:0.0s 等后:77.0s) | ST13 电检1(开:45218.0s 加:0.0s 等前:0.0s 等后:97.5s) | ST14 电检2(开:45315.5s 加:0.0s 等前:0.0s 等后:50.0s) | ST15 小跑道(开:45365.5s 加:51.0s 等前:0.0s 等后:0.0s)</t>
        </is>
      </c>
    </row>
    <row r="679">
      <c r="A679" s="15" t="n">
        <v>678</v>
      </c>
      <c r="B679" s="15" t="inlineStr">
        <is>
          <t>Car#677</t>
        </is>
      </c>
      <c r="C679" s="15" t="inlineStr">
        <is>
          <t>B</t>
        </is>
      </c>
      <c r="D679" s="16" t="n">
        <v>43928</v>
      </c>
      <c r="E679" s="16" t="n">
        <v>45466.5</v>
      </c>
      <c r="F679" s="16" t="n">
        <v>1538.5</v>
      </c>
      <c r="G679" s="16" t="n">
        <v>4927</v>
      </c>
      <c r="H679" s="15" t="inlineStr">
        <is>
          <t>Car#678</t>
        </is>
      </c>
      <c r="I679" s="16">
        <f>E679-E678</f>
        <v/>
      </c>
      <c r="J679" s="16">
        <f>I679-58</f>
        <v/>
      </c>
      <c r="K679" s="16">
        <f>MAX(0,J679)</f>
        <v/>
      </c>
      <c r="L679" s="16">
        <f>MAX(0,-J679)</f>
        <v/>
      </c>
      <c r="M679" s="16">
        <f>M678+I679</f>
        <v/>
      </c>
      <c r="N679" s="16">
        <f>D679+F679-E679</f>
        <v/>
      </c>
      <c r="O679" s="15" t="inlineStr">
        <is>
          <t>能力超目标：四轮定位上、下</t>
        </is>
      </c>
      <c r="P679" s="15" t="inlineStr">
        <is>
          <t>ST1 引取(开:43928.0s 加:56.0s 等前:4720.0s 等后:0.0s) | ST2 集约(开:43984.0s 加:111.0s 等前:0.0s 等后:16.5s) | ST3 空气悬挂+快充(开:44111.5s 加:108.5s 等前:0.0s 等后:12.0s) | ST4 四轮定位上、下(开:44232.0s 加:120.5s 等前:0.0s 等后:17.0s) | ST5 ADAS(开:44369.5s 加:107.0s 等前:0.0s 等后:36.5s) | ST6 ARHUD+慢充(开:44513.0s 加:51.5s 等前:0.0s 等后:63.0s) | ST7 转毂(开:44627.5s 加:114.5s 等前:0.0s 等后:0.0s) | ST8 制动(开:44742.0s 加:114.0s 等前:0.0s 等后:0.0s) | ST9 EG漏液/底盘漏液(开:44856.0s 加:112.5s 等前:0.0s 等后:0.0s) | ST10 全景/空调检查(开:44968.5s 加:0.0s 等前:0.0s 等后:1.5s) | ST11 气囊安装+绝缘(开:44970.0s 加:116.0s 等前:0.0s 等后:0.0s) | ST12 L2++(开:45086.0s 加:88.0s 等前:0.0s 等后:0.0s) | ST13 电检1(开:45174.0s 加:84.5s 等前:0.0s 等后:0.0s) | ST14 电检2(开:45258.5s 加:97.5s 等前:0.0s 等后:60.5s) | ST15 小跑道(开:45416.5s 加:50.0s 等前:0.0s 等后:0.0s)</t>
        </is>
      </c>
    </row>
    <row r="680">
      <c r="A680" s="13" t="n">
        <v>679</v>
      </c>
      <c r="B680" s="13" t="inlineStr">
        <is>
          <t>Car#679</t>
        </is>
      </c>
      <c r="C680" s="13" t="inlineStr">
        <is>
          <t>A</t>
        </is>
      </c>
      <c r="D680" s="14" t="n">
        <v>44071</v>
      </c>
      <c r="E680" s="14" t="n">
        <v>45517.5</v>
      </c>
      <c r="F680" s="14" t="n">
        <v>1446.5</v>
      </c>
      <c r="G680" s="14" t="n">
        <v>5332.5</v>
      </c>
      <c r="H680" s="13" t="inlineStr">
        <is>
          <t>Car#677</t>
        </is>
      </c>
      <c r="I680" s="14">
        <f>E680-E679</f>
        <v/>
      </c>
      <c r="J680" s="14">
        <f>I680-58</f>
        <v/>
      </c>
      <c r="K680" s="14">
        <f>MAX(0,J680)</f>
        <v/>
      </c>
      <c r="L680" s="14">
        <f>MAX(0,-J680)</f>
        <v/>
      </c>
      <c r="M680" s="14">
        <f>M679+I680</f>
        <v/>
      </c>
      <c r="N680" s="14">
        <f>D680+F680-E680</f>
        <v/>
      </c>
      <c r="O680" s="13" t="inlineStr">
        <is>
          <t>能力满足</t>
        </is>
      </c>
      <c r="P680" s="13" t="inlineStr">
        <is>
          <t>ST1 引取(开:44071.0s 加:55.0s 等前:4747.0s 等后:0.0s) | ST2 集约(开:44126.0s 加:106.0s 等前:0.0s 等后:0.0s) | ST3 空气悬挂+快充(开:44232.0s 加:0.0s 等前:0.0s 等后:137.5s) | ST4 四轮定位上、下(开:44369.5s 加:115.0s 等前:0.0s 等后:28.5s) | ST5 ADAS(开:44513.0s 加:97.0s 等前:0.0s 等后:17.5s) | ST6 ARHUD+慢充(开:44627.5s 加:0.0s 等前:0.0s 等后:114.5s) | ST7 转毂(开:44742.0s 加:116.0s 等前:0.0s 等后:0.0s) | ST8 制动(开:44858.0s 加:108.0s 等前:0.0s 等后:2.5s) | ST9 EG漏液/底盘漏液(开:44968.5s 加:115.0s 等前:0.0s 等后:0.0s) | ST10 全景/空调检查(开:45083.5s 加:98.0s 等前:0.0s 等后:0.0s) | ST11 气囊安装+绝缘(开:45181.5s 加:0.0s 等前:0.0s 等后:0.0s) | ST12 L2++(开:45181.5s 加:0.0s 等前:0.0s 等后:77.0s) | ST13 电检1(开:45258.5s 加:0.0s 等前:0.0s 等后:158.0s) | ST14 电检2(开:45416.5s 加:0.0s 等前:0.0s 等后:50.0s) | ST15 小跑道(开:45466.5s 加:51.0s 等前:0.0s 等后:0.0s)</t>
        </is>
      </c>
    </row>
    <row r="681">
      <c r="A681" s="15" t="n">
        <v>680</v>
      </c>
      <c r="B681" s="15" t="inlineStr">
        <is>
          <t>Car#680</t>
        </is>
      </c>
      <c r="C681" s="15" t="inlineStr">
        <is>
          <t>C</t>
        </is>
      </c>
      <c r="D681" s="16" t="n">
        <v>44126</v>
      </c>
      <c r="E681" s="16" t="n">
        <v>45622</v>
      </c>
      <c r="F681" s="16" t="n">
        <v>1496</v>
      </c>
      <c r="G681" s="16" t="n">
        <v>4816.5</v>
      </c>
      <c r="H681" s="15" t="inlineStr">
        <is>
          <t>Car#679</t>
        </is>
      </c>
      <c r="I681" s="16">
        <f>E681-E680</f>
        <v/>
      </c>
      <c r="J681" s="16">
        <f>I681-58</f>
        <v/>
      </c>
      <c r="K681" s="16">
        <f>MAX(0,J681)</f>
        <v/>
      </c>
      <c r="L681" s="16">
        <f>MAX(0,-J681)</f>
        <v/>
      </c>
      <c r="M681" s="16">
        <f>M680+I681</f>
        <v/>
      </c>
      <c r="N681" s="16">
        <f>D681+F681-E681</f>
        <v/>
      </c>
      <c r="O681" s="15" t="inlineStr">
        <is>
          <t>能力超目标：四轮定位上、下、ARHUD+慢充</t>
        </is>
      </c>
      <c r="P681" s="15" t="inlineStr">
        <is>
          <t>ST1 引取(开:44126.0s 加:56.0s 等前:4744.0s 等后:9.5s) | ST2 集约(开:44191.5s 加:111.0s 等前:0.0s 等后:26.5s) | ST3 空气悬挂+快充(开:44329.0s 加:108.5s 等前:0.0s 等后:35.0s) | ST4 四轮定位上、下(开:44472.5s 加:120.5s 等前:0.0s 等后:0.0s) | ST5 ADAS(开:44593.0s 加:107.0s 等前:0.0s 等后:1.5s) | ST6 ARHUD+慢充(开:44701.5s 加:143.5s 等前:0.0s 等后:0.0s) | ST7 转毂(开:44845.0s 加:114.5s 等前:0.0s 等后:0.0s) | ST8 制动(开:44959.5s 加:114.0s 等前:0.0s 等后:0.0s) | ST9 EG漏液/底盘漏液(开:45073.5s 加:112.5s 等前:0.0s 等后:0.0s) | ST10 全景/空调检查(开:45186.0s 加:0.0s 等前:0.0s 等后:0.0s) | ST11 气囊安装+绝缘(开:45186.0s 加:116.0s 等前:0.0s 等后:0.0s) | ST12 L2++(开:45302.0s 加:88.0s 等前:0.0s 等后:0.0s) | ST13 电检1(开:45390.0s 加:84.5s 等前:0.0s 等后:0.0s) | ST14 电检2(开:45474.5s 加:97.5s 等前:0.0s 等后:0.0s) | ST15 小跑道(开:45572.0s 加:50.0s 等前:0.0s 等后:0.0s)</t>
        </is>
      </c>
    </row>
    <row r="682">
      <c r="A682" s="13" t="n">
        <v>681</v>
      </c>
      <c r="B682" s="13" t="inlineStr">
        <is>
          <t>Car#681</t>
        </is>
      </c>
      <c r="C682" s="13" t="inlineStr">
        <is>
          <t>C</t>
        </is>
      </c>
      <c r="D682" s="14" t="n">
        <v>44191.5</v>
      </c>
      <c r="E682" s="14" t="n">
        <v>45672</v>
      </c>
      <c r="F682" s="14" t="n">
        <v>1480.5</v>
      </c>
      <c r="G682" s="14" t="n">
        <v>4808.5</v>
      </c>
      <c r="H682" s="13" t="inlineStr">
        <is>
          <t>Car#680</t>
        </is>
      </c>
      <c r="I682" s="14">
        <f>E682-E681</f>
        <v/>
      </c>
      <c r="J682" s="14">
        <f>I682-58</f>
        <v/>
      </c>
      <c r="K682" s="14">
        <f>MAX(0,J682)</f>
        <v/>
      </c>
      <c r="L682" s="14">
        <f>MAX(0,-J682)</f>
        <v/>
      </c>
      <c r="M682" s="14">
        <f>M681+I682</f>
        <v/>
      </c>
      <c r="N682" s="14">
        <f>D682+F682-E682</f>
        <v/>
      </c>
      <c r="O682" s="13" t="inlineStr">
        <is>
          <t>能力超目标：四轮定位上、下、ARHUD+慢充</t>
        </is>
      </c>
      <c r="P682" s="13" t="inlineStr">
        <is>
          <t>ST1 引取(开:44191.5s 加:56.0s 等前:4751.5s 等后:0.0s) | ST2 集约(开:44247.5s 加:111.0s 等前:0.0s 等后:11.0s) | ST3 空气悬挂+快充(开:44369.5s 加:108.5s 等前:0.0s 等后:35.0s) | ST4 四轮定位上、下(开:44513.0s 加:120.5s 等前:0.0s 等后:0.0s) | ST5 ADAS(开:44633.5s 加:107.0s 等前:0.0s 等后:1.5s) | ST6 ARHUD+慢充(开:44742.0s 加:143.5s 等前:0.0s 等后:0.0s) | ST7 转毂(开:44885.5s 加:114.5s 等前:0.0s 等后:0.0s) | ST8 制动(开:45000.0s 加:114.0s 等前:0.0s 等后:0.0s) | ST9 EG漏液/底盘漏液(开:45114.0s 加:112.5s 等前:0.0s 等后:0.0s) | ST10 全景/空调检查(开:45226.5s 加:0.0s 等前:0.0s 等后:0.0s) | ST11 气囊安装+绝缘(开:45226.5s 加:116.0s 等前:0.0s 等后:0.0s) | ST12 L2++(开:45342.5s 加:88.0s 等前:0.0s 等后:0.0s) | ST13 电检1(开:45430.5s 加:84.5s 等前:0.0s 等后:0.0s) | ST14 电检2(开:45515.0s 加:97.5s 等前:0.0s 等后:9.5s) | ST15 小跑道(开:45622.0s 加:50.0s 等前:0.0s 等后:0.0s)</t>
        </is>
      </c>
    </row>
    <row r="683">
      <c r="A683" s="15" t="n">
        <v>682</v>
      </c>
      <c r="B683" s="15" t="inlineStr">
        <is>
          <t>Car#682</t>
        </is>
      </c>
      <c r="C683" s="15" t="inlineStr">
        <is>
          <t>C</t>
        </is>
      </c>
      <c r="D683" s="16" t="n">
        <v>44247.5</v>
      </c>
      <c r="E683" s="16" t="n">
        <v>45765.5</v>
      </c>
      <c r="F683" s="16" t="n">
        <v>1518</v>
      </c>
      <c r="G683" s="16" t="n">
        <v>4844</v>
      </c>
      <c r="H683" s="15" t="inlineStr">
        <is>
          <t>Car#681</t>
        </is>
      </c>
      <c r="I683" s="16">
        <f>E683-E682</f>
        <v/>
      </c>
      <c r="J683" s="16">
        <f>I683-58</f>
        <v/>
      </c>
      <c r="K683" s="16">
        <f>MAX(0,J683)</f>
        <v/>
      </c>
      <c r="L683" s="16">
        <f>MAX(0,-J683)</f>
        <v/>
      </c>
      <c r="M683" s="16">
        <f>M682+I683</f>
        <v/>
      </c>
      <c r="N683" s="16">
        <f>D683+F683-E683</f>
        <v/>
      </c>
      <c r="O683" s="15" t="inlineStr">
        <is>
          <t>能力超目标：四轮定位上、下、ARHUD+慢充</t>
        </is>
      </c>
      <c r="P683" s="15" t="inlineStr">
        <is>
          <t>ST1 引取(开:44247.5s 加:56.0s 等前:4749.5s 等后:25.5s) | ST2 集约(开:44329.0s 加:111.0s 等前:0.0s 等后:32.5s) | ST3 空气悬挂+快充(开:44472.5s 加:108.5s 等前:0.0s 等后:12.0s) | ST4 四轮定位上、下(开:44593.0s 加:120.5s 等前:0.0s 等后:0.0s) | ST5 ADAS(开:44713.5s 加:107.0s 等前:0.0s 等后:24.5s) | ST6 ARHUD+慢充(开:44845.0s 加:143.5s 等前:0.0s 等后:0.0s) | ST7 转毂(开:44988.5s 加:114.5s 等前:0.0s 等后:0.0s) | ST8 制动(开:45103.0s 加:114.0s 等前:0.0s 等后:0.0s) | ST9 EG漏液/底盘漏液(开:45217.0s 加:112.5s 等前:0.0s 等后:0.0s) | ST10 全景/空调检查(开:45329.5s 加:0.0s 等前:0.0s 等后:0.0s) | ST11 气囊安装+绝缘(开:45329.5s 加:116.0s 等前:0.0s 等后:0.0s) | ST12 L2++(开:45445.5s 加:88.0s 等前:0.0s 等后:0.0s) | ST13 电检1(开:45533.5s 加:84.5s 等前:0.0s 等后:0.0s) | ST14 电检2(开:45618.0s 加:97.5s 等前:0.0s 等后:0.0s) | ST15 小跑道(开:45715.5s 加:50.0s 等前:0.0s 等后:0.0s)</t>
        </is>
      </c>
    </row>
    <row r="684">
      <c r="A684" s="13" t="n">
        <v>683</v>
      </c>
      <c r="B684" s="13" t="inlineStr">
        <is>
          <t>Car#683</t>
        </is>
      </c>
      <c r="C684" s="13" t="inlineStr">
        <is>
          <t>B</t>
        </is>
      </c>
      <c r="D684" s="14" t="n">
        <v>44329</v>
      </c>
      <c r="E684" s="14" t="n">
        <v>45815.5</v>
      </c>
      <c r="F684" s="14" t="n">
        <v>1486.5</v>
      </c>
      <c r="G684" s="14" t="n">
        <v>4928</v>
      </c>
      <c r="H684" s="13" t="inlineStr">
        <is>
          <t>Car#682</t>
        </is>
      </c>
      <c r="I684" s="14">
        <f>E684-E683</f>
        <v/>
      </c>
      <c r="J684" s="14">
        <f>I684-58</f>
        <v/>
      </c>
      <c r="K684" s="14">
        <f>MAX(0,J684)</f>
        <v/>
      </c>
      <c r="L684" s="14">
        <f>MAX(0,-J684)</f>
        <v/>
      </c>
      <c r="M684" s="14">
        <f>M683+I684</f>
        <v/>
      </c>
      <c r="N684" s="14">
        <f>D684+F684-E684</f>
        <v/>
      </c>
      <c r="O684" s="13" t="inlineStr">
        <is>
          <t>能力超目标：四轮定位上、下</t>
        </is>
      </c>
      <c r="P684" s="13" t="inlineStr">
        <is>
          <t>ST1 引取(开:44329.0s 加:56.0s 等前:4773.0s 等后:0.0s) | ST2 集约(开:44385.0s 加:111.0s 等前:0.0s 等后:17.0s) | ST3 空气悬挂+快充(开:44513.0s 加:108.5s 等前:0.0s 等后:12.0s) | ST4 四轮定位上、下(开:44633.5s 加:120.5s 等前:0.0s 等后:0.0s) | ST5 ADAS(开:44754.0s 加:107.0s 等前:0.0s 等后:24.5s) | ST6 ARHUD+慢充(开:44885.5s 加:51.5s 等前:0.0s 等后:63.0s) | ST7 转毂(开:45000.0s 加:114.5s 等前:0.0s 等后:0.0s) | ST8 制动(开:45114.5s 加:114.0s 等前:0.0s 等后:0.0s) | ST9 EG漏液/底盘漏液(开:45228.5s 加:112.5s 等前:0.0s 等后:0.0s) | ST10 全景/空调检查(开:45341.0s 加:0.0s 等前:0.0s 等后:1.5s) | ST11 气囊安装+绝缘(开:45342.5s 加:116.0s 等前:0.0s 等后:0.0s) | ST12 L2++(开:45458.5s 加:88.0s 等前:0.0s 等后:0.0s) | ST13 电检1(开:45546.5s 加:84.5s 等前:0.0s 等后:0.0s) | ST14 电检2(开:45631.0s 加:97.5s 等前:0.0s 等后:37.0s) | ST15 小跑道(开:45765.5s 加:50.0s 等前:0.0s 等后:0.0s)</t>
        </is>
      </c>
    </row>
    <row r="685">
      <c r="A685" s="15" t="n">
        <v>684</v>
      </c>
      <c r="B685" s="15" t="inlineStr">
        <is>
          <t>Car#684</t>
        </is>
      </c>
      <c r="C685" s="15" t="inlineStr">
        <is>
          <t>B</t>
        </is>
      </c>
      <c r="D685" s="16" t="n">
        <v>44385</v>
      </c>
      <c r="E685" s="16" t="n">
        <v>45881.5</v>
      </c>
      <c r="F685" s="16" t="n">
        <v>1496.5</v>
      </c>
      <c r="G685" s="16" t="n">
        <v>4936</v>
      </c>
      <c r="H685" s="15" t="inlineStr">
        <is>
          <t>Car#683</t>
        </is>
      </c>
      <c r="I685" s="16">
        <f>E685-E684</f>
        <v/>
      </c>
      <c r="J685" s="16">
        <f>I685-58</f>
        <v/>
      </c>
      <c r="K685" s="16">
        <f>MAX(0,J685)</f>
        <v/>
      </c>
      <c r="L685" s="16">
        <f>MAX(0,-J685)</f>
        <v/>
      </c>
      <c r="M685" s="16">
        <f>M684+I685</f>
        <v/>
      </c>
      <c r="N685" s="16">
        <f>D685+F685-E685</f>
        <v/>
      </c>
      <c r="O685" s="15" t="inlineStr">
        <is>
          <t>能力超目标：四轮定位上、下</t>
        </is>
      </c>
      <c r="P685" s="15" t="inlineStr">
        <is>
          <t>ST1 引取(开:44385.0s 加:56.0s 等前:4771.0s 等后:31.5s) | ST2 集约(开:44472.5s 加:111.0s 等前:0.0s 等后:9.5s) | ST3 空气悬挂+快充(开:44593.0s 加:108.5s 等前:0.0s 等后:12.0s) | ST4 四轮定位上、下(开:44713.5s 加:120.5s 等前:0.0s 等后:11.0s) | ST5 ADAS(开:44845.0s 加:107.0s 等前:0.0s 等后:36.5s) | ST6 ARHUD+慢充(开:44988.5s 加:51.5s 等前:0.0s 等后:63.0s) | ST7 转毂(开:45103.0s 加:114.5s 等前:0.0s 等后:0.0s) | ST8 制动(开:45217.5s 加:114.0s 等前:0.0s 等后:0.0s) | ST9 EG漏液/底盘漏液(开:45331.5s 加:112.5s 等前:0.0s 等后:0.0s) | ST10 全景/空调检查(开:45444.0s 加:0.0s 等前:0.0s 等后:1.5s) | ST11 气囊安装+绝缘(开:45445.5s 加:116.0s 等前:0.0s 等后:0.0s) | ST12 L2++(开:45561.5s 加:88.0s 等前:0.0s 等后:0.0s) | ST13 电检1(开:45649.5s 加:84.5s 等前:0.0s 等后:0.0s) | ST14 电检2(开:45734.0s 加:97.5s 等前:0.0s 等后:0.0s) | ST15 小跑道(开:45831.5s 加:50.0s 等前:0.0s 等后:0.0s)</t>
        </is>
      </c>
    </row>
    <row r="686">
      <c r="A686" s="13" t="n">
        <v>685</v>
      </c>
      <c r="B686" s="13" t="inlineStr">
        <is>
          <t>Car#685</t>
        </is>
      </c>
      <c r="C686" s="13" t="inlineStr">
        <is>
          <t>B</t>
        </is>
      </c>
      <c r="D686" s="14" t="n">
        <v>44472.5</v>
      </c>
      <c r="E686" s="14" t="n">
        <v>45931.5</v>
      </c>
      <c r="F686" s="14" t="n">
        <v>1459</v>
      </c>
      <c r="G686" s="14" t="n">
        <v>4928</v>
      </c>
      <c r="H686" s="13" t="inlineStr">
        <is>
          <t>Car#684</t>
        </is>
      </c>
      <c r="I686" s="14">
        <f>E686-E685</f>
        <v/>
      </c>
      <c r="J686" s="14">
        <f>I686-58</f>
        <v/>
      </c>
      <c r="K686" s="14">
        <f>MAX(0,J686)</f>
        <v/>
      </c>
      <c r="L686" s="14">
        <f>MAX(0,-J686)</f>
        <v/>
      </c>
      <c r="M686" s="14">
        <f>M685+I686</f>
        <v/>
      </c>
      <c r="N686" s="14">
        <f>D686+F686-E686</f>
        <v/>
      </c>
      <c r="O686" s="13" t="inlineStr">
        <is>
          <t>能力超目标：四轮定位上、下</t>
        </is>
      </c>
      <c r="P686" s="13" t="inlineStr">
        <is>
          <t>ST1 引取(开:44472.5s 加:56.0s 等前:4800.5s 等后:0.0s) | ST2 集约(开:44528.5s 加:111.0s 等前:0.0s 等后:0.0s) | ST3 空气悬挂+快充(开:44639.5s 加:108.5s 等前:0.0s 等后:6.0s) | ST4 四轮定位上、下(开:44754.0s 加:120.5s 等前:0.0s 等后:11.0s) | ST5 ADAS(开:44885.5s 加:107.0s 等前:0.0s 等后:7.5s) | ST6 ARHUD+慢充(开:45000.0s 加:51.5s 等前:0.0s 等后:63.0s) | ST7 转毂(开:45114.5s 加:114.5s 等前:0.0s 等后:0.0s) | ST8 制动(开:45229.0s 加:114.0s 等前:0.0s 等后:0.0s) | ST9 EG漏液/底盘漏液(开:45343.0s 加:112.5s 等前:0.0s 等后:0.0s) | ST10 全景/空调检查(开:45455.5s 加:0.0s 等前:0.0s 等后:3.0s) | ST11 气囊安装+绝缘(开:45458.5s 加:116.0s 等前:0.0s 等后:0.0s) | ST12 L2++(开:45574.5s 加:88.0s 等前:0.0s 等后:0.0s) | ST13 电检1(开:45662.5s 加:84.5s 等前:0.0s 等后:18.5s) | ST14 电检2(开:45765.5s 加:97.5s 等前:0.0s 等后:18.5s) | ST15 小跑道(开:45881.5s 加:50.0s 等前:0.0s 等后:0.0s)</t>
        </is>
      </c>
    </row>
    <row r="687">
      <c r="A687" s="15" t="n">
        <v>686</v>
      </c>
      <c r="B687" s="15" t="inlineStr">
        <is>
          <t>Car#687</t>
        </is>
      </c>
      <c r="C687" s="15" t="inlineStr">
        <is>
          <t>A</t>
        </is>
      </c>
      <c r="D687" s="16" t="n">
        <v>44593</v>
      </c>
      <c r="E687" s="16" t="n">
        <v>45982.5</v>
      </c>
      <c r="F687" s="16" t="n">
        <v>1389.5</v>
      </c>
      <c r="G687" s="16" t="n">
        <v>5333.5</v>
      </c>
      <c r="H687" s="15" t="inlineStr">
        <is>
          <t>Car#685</t>
        </is>
      </c>
      <c r="I687" s="16">
        <f>E687-E686</f>
        <v/>
      </c>
      <c r="J687" s="16">
        <f>I687-58</f>
        <v/>
      </c>
      <c r="K687" s="16">
        <f>MAX(0,J687)</f>
        <v/>
      </c>
      <c r="L687" s="16">
        <f>MAX(0,-J687)</f>
        <v/>
      </c>
      <c r="M687" s="16">
        <f>M686+I687</f>
        <v/>
      </c>
      <c r="N687" s="16">
        <f>D687+F687-E687</f>
        <v/>
      </c>
      <c r="O687" s="15" t="inlineStr">
        <is>
          <t>能力满足</t>
        </is>
      </c>
      <c r="P687" s="15" t="inlineStr">
        <is>
          <t>ST1 引取(开:44593.0s 加:55.0s 等前:4805.0s 等后:0.0s) | ST2 集约(开:44648.0s 加:106.0s 等前:0.0s 等后:0.0s) | ST3 空气悬挂+快充(开:44754.0s 加:0.0s 等前:0.0s 等后:131.5s) | ST4 四轮定位上、下(开:44885.5s 加:115.0s 等前:0.0s 等后:0.0s) | ST5 ADAS(开:45000.5s 加:97.0s 等前:0.0s 等后:17.0s) | ST6 ARHUD+慢充(开:45114.5s 加:0.0s 等前:0.0s 等后:114.5s) | ST7 转毂(开:45229.0s 加:116.0s 等前:0.0s 等后:0.0s) | ST8 制动(开:45345.0s 加:108.0s 等前:0.0s 等后:2.5s) | ST9 EG漏液/底盘漏液(开:45455.5s 加:115.0s 等前:0.0s 等后:0.0s) | ST10 全景/空调检查(开:45570.5s 加:98.0s 等前:0.0s 等后:0.0s) | ST11 气囊安装+绝缘(开:45668.5s 加:0.0s 等前:0.0s 等后:0.0s) | ST12 L2++(开:45668.5s 加:0.0s 等前:0.0s 等后:97.0s) | ST13 电检1(开:45765.5s 加:0.0s 等前:0.0s 等后:116.0s) | ST14 电检2(开:45881.5s 加:0.0s 等前:0.0s 等后:50.0s) | ST15 小跑道(开:45931.5s 加:51.0s 等前:0.0s 等后:0.0s)</t>
        </is>
      </c>
    </row>
    <row r="688">
      <c r="A688" s="13" t="n">
        <v>687</v>
      </c>
      <c r="B688" s="13" t="inlineStr">
        <is>
          <t>Car#686</t>
        </is>
      </c>
      <c r="C688" s="13" t="inlineStr">
        <is>
          <t>C</t>
        </is>
      </c>
      <c r="D688" s="14" t="n">
        <v>44528.5</v>
      </c>
      <c r="E688" s="14" t="n">
        <v>46032.5</v>
      </c>
      <c r="F688" s="14" t="n">
        <v>1504</v>
      </c>
      <c r="G688" s="14" t="n">
        <v>4879</v>
      </c>
      <c r="H688" s="13" t="inlineStr">
        <is>
          <t>Car#687</t>
        </is>
      </c>
      <c r="I688" s="14">
        <f>E688-E687</f>
        <v/>
      </c>
      <c r="J688" s="14">
        <f>I688-58</f>
        <v/>
      </c>
      <c r="K688" s="14">
        <f>MAX(0,J688)</f>
        <v/>
      </c>
      <c r="L688" s="14">
        <f>MAX(0,-J688)</f>
        <v/>
      </c>
      <c r="M688" s="14">
        <f>M687+I688</f>
        <v/>
      </c>
      <c r="N688" s="14">
        <f>D688+F688-E688</f>
        <v/>
      </c>
      <c r="O688" s="13" t="inlineStr">
        <is>
          <t>能力超目标：四轮定位上、下、ARHUD+慢充</t>
        </is>
      </c>
      <c r="P688" s="13" t="inlineStr">
        <is>
          <t>ST1 引取(开:44528.5s 加:56.0s 等前:4798.5s 等后:8.5s) | ST2 集约(开:44593.0s 加:111.0s 等前:0.0s 等后:9.5s) | ST3 空气悬挂+快充(开:44713.5s 加:108.5s 等前:0.0s 等后:23.0s) | ST4 四轮定位上、下(开:44845.0s 加:120.5s 等前:0.0s 等后:23.0s) | ST5 ADAS(开:44988.5s 加:107.0s 等前:0.0s 等后:7.5s) | ST6 ARHUD+慢充(开:45103.0s 加:143.5s 等前:0.0s 等后:0.0s) | ST7 转毂(开:45246.5s 加:114.5s 等前:0.0s 等后:0.0s) | ST8 制动(开:45361.0s 加:114.0s 等前:0.0s 等后:0.0s) | ST9 EG漏液/底盘漏液(开:45475.0s 加:112.5s 等前:0.0s 等后:0.0s) | ST10 全景/空调检查(开:45587.5s 加:0.0s 等前:0.0s 等后:0.0s) | ST11 气囊安装+绝缘(开:45587.5s 加:116.0s 等前:0.0s 等后:0.0s) | ST12 L2++(开:45703.5s 加:88.0s 等前:0.0s 等后:0.0s) | ST13 电检1(开:45791.5s 加:84.5s 等前:0.0s 等后:0.0s) | ST14 电检2(开:45876.0s 加:97.5s 等前:0.0s 等后:9.0s) | ST15 小跑道(开:45982.5s 加:50.0s 等前:0.0s 等后:0.0s)</t>
        </is>
      </c>
    </row>
    <row r="689">
      <c r="A689" s="15" t="n">
        <v>688</v>
      </c>
      <c r="B689" s="15" t="inlineStr">
        <is>
          <t>Car#689</t>
        </is>
      </c>
      <c r="C689" s="15" t="inlineStr">
        <is>
          <t>C</t>
        </is>
      </c>
      <c r="D689" s="16" t="n">
        <v>44713.5</v>
      </c>
      <c r="E689" s="16" t="n">
        <v>46149.5</v>
      </c>
      <c r="F689" s="16" t="n">
        <v>1436</v>
      </c>
      <c r="G689" s="16" t="n">
        <v>4822</v>
      </c>
      <c r="H689" s="15" t="inlineStr">
        <is>
          <t>Car#686</t>
        </is>
      </c>
      <c r="I689" s="16">
        <f>E689-E688</f>
        <v/>
      </c>
      <c r="J689" s="16">
        <f>I689-58</f>
        <v/>
      </c>
      <c r="K689" s="16">
        <f>MAX(0,J689)</f>
        <v/>
      </c>
      <c r="L689" s="16">
        <f>MAX(0,-J689)</f>
        <v/>
      </c>
      <c r="M689" s="16">
        <f>M688+I689</f>
        <v/>
      </c>
      <c r="N689" s="16">
        <f>D689+F689-E689</f>
        <v/>
      </c>
      <c r="O689" s="15" t="inlineStr">
        <is>
          <t>能力超目标：四轮定位上、下、ARHUD+慢充</t>
        </is>
      </c>
      <c r="P689" s="15" t="inlineStr">
        <is>
          <t>ST1 引取(开:44713.5s 加:56.0s 等前:4809.5s 等后:0.0s) | ST2 集约(开:44769.5s 加:111.0s 等前:0.0s 等后:5.0s) | ST3 空气悬挂+快充(开:44885.5s 加:108.5s 等前:0.0s 等后:6.5s) | ST4 四轮定位上、下(开:45000.5s 加:120.5s 等前:0.0s 等后:0.0s) | ST5 ADAS(开:45121.0s 加:107.0s 等前:0.0s 等后:1.0s) | ST6 ARHUD+慢充(开:45229.0s 加:143.5s 等前:0.0s 等后:0.0s) | ST7 转毂(开:45372.5s 加:114.5s 等前:0.0s 等后:0.0s) | ST8 制动(开:45487.0s 加:114.0s 等前:0.0s 等后:0.0s) | ST9 EG漏液/底盘漏液(开:45601.0s 加:112.5s 等前:0.0s 等后:0.0s) | ST10 全景/空调检查(开:45713.5s 加:0.0s 等前:0.0s 等后:0.0s) | ST11 气囊安装+绝缘(开:45713.5s 加:116.0s 等前:0.0s 等后:0.0s) | ST12 L2++(开:45829.5s 加:88.0s 等前:0.0s 等后:0.0s) | ST13 电检1(开:45917.5s 加:84.5s 等前:0.0s 等后:0.0s) | ST14 电检2(开:46002.0s 加:97.5s 等前:0.0s 等后:0.0s) | ST15 小跑道(开:46099.5s 加:50.0s 等前:0.0s 等后:0.0s)</t>
        </is>
      </c>
    </row>
    <row r="690">
      <c r="A690" s="13" t="n">
        <v>689</v>
      </c>
      <c r="B690" s="13" t="inlineStr">
        <is>
          <t>Car#691</t>
        </is>
      </c>
      <c r="C690" s="13" t="inlineStr">
        <is>
          <t>A</t>
        </is>
      </c>
      <c r="D690" s="14" t="n">
        <v>44845</v>
      </c>
      <c r="E690" s="14" t="n">
        <v>46200.5</v>
      </c>
      <c r="F690" s="14" t="n">
        <v>1355.5</v>
      </c>
      <c r="G690" s="14" t="n">
        <v>5319.5</v>
      </c>
      <c r="H690" s="13" t="inlineStr">
        <is>
          <t>Car#689</t>
        </is>
      </c>
      <c r="I690" s="14">
        <f>E690-E689</f>
        <v/>
      </c>
      <c r="J690" s="14">
        <f>I690-58</f>
        <v/>
      </c>
      <c r="K690" s="14">
        <f>MAX(0,J690)</f>
        <v/>
      </c>
      <c r="L690" s="14">
        <f>MAX(0,-J690)</f>
        <v/>
      </c>
      <c r="M690" s="14">
        <f>M689+I690</f>
        <v/>
      </c>
      <c r="N690" s="14">
        <f>D690+F690-E690</f>
        <v/>
      </c>
      <c r="O690" s="13" t="inlineStr">
        <is>
          <t>能力满足</t>
        </is>
      </c>
      <c r="P690" s="13" t="inlineStr">
        <is>
          <t>ST1 引取(开:44845.0s 加:55.0s 等前:4825.0s 等后:0.0s) | ST2 集约(开:44900.0s 加:106.0s 等前:0.0s 等后:0.0s) | ST3 空气悬挂+快充(开:45006.0s 加:0.0s 等前:0.0s 等后:115.0s) | ST4 四轮定位上、下(开:45121.0s 加:115.0s 等前:0.0s 等后:0.0s) | ST5 ADAS(开:45236.0s 加:97.0s 等前:0.0s 等后:39.5s) | ST6 ARHUD+慢充(开:45372.5s 加:0.0s 等前:0.0s 等后:114.5s) | ST7 转毂(开:45487.0s 加:116.0s 等前:0.0s 等后:0.0s) | ST8 制动(开:45603.0s 加:108.0s 等前:0.0s 等后:2.5s) | ST9 EG漏液/底盘漏液(开:45713.5s 加:115.0s 等前:0.0s 等后:0.0s) | ST10 全景/空调检查(开:45828.5s 加:98.0s 等前:0.0s 等后:0.0s) | ST11 气囊安装+绝缘(开:45926.5s 加:0.0s 等前:0.0s 等后:0.0s) | ST12 L2++(开:45926.5s 加:0.0s 等前:0.0s 等后:75.5s) | ST13 电检1(开:46002.0s 加:0.0s 等前:0.0s 等后:97.5s) | ST14 电检2(开:46099.5s 加:0.0s 等前:0.0s 等后:50.0s) | ST15 小跑道(开:46149.5s 加:51.0s 等前:0.0s 等后:0.0s)</t>
        </is>
      </c>
    </row>
    <row r="691">
      <c r="A691" s="15" t="n">
        <v>690</v>
      </c>
      <c r="B691" s="15" t="inlineStr">
        <is>
          <t>Car#688</t>
        </is>
      </c>
      <c r="C691" s="15" t="inlineStr">
        <is>
          <t>C</t>
        </is>
      </c>
      <c r="D691" s="16" t="n">
        <v>44648</v>
      </c>
      <c r="E691" s="16" t="n">
        <v>46250.5</v>
      </c>
      <c r="F691" s="16" t="n">
        <v>1602.5</v>
      </c>
      <c r="G691" s="16" t="n">
        <v>4981</v>
      </c>
      <c r="H691" s="15" t="inlineStr">
        <is>
          <t>Car#691</t>
        </is>
      </c>
      <c r="I691" s="16">
        <f>E691-E690</f>
        <v/>
      </c>
      <c r="J691" s="16">
        <f>I691-58</f>
        <v/>
      </c>
      <c r="K691" s="16">
        <f>MAX(0,J691)</f>
        <v/>
      </c>
      <c r="L691" s="16">
        <f>MAX(0,-J691)</f>
        <v/>
      </c>
      <c r="M691" s="16">
        <f>M690+I691</f>
        <v/>
      </c>
      <c r="N691" s="16">
        <f>D691+F691-E691</f>
        <v/>
      </c>
      <c r="O691" s="15" t="inlineStr">
        <is>
          <t>能力超目标：四轮定位上、下、ARHUD+慢充</t>
        </is>
      </c>
      <c r="P691" s="15" t="inlineStr">
        <is>
          <t>ST1 引取(开:44648.0s 加:56.0s 等前:4802.0s 等后:9.5s) | ST2 集约(开:44713.5s 加:111.0s 等前:0.0s 等后:20.5s) | ST3 空气悬挂+快充(开:44845.0s 加:108.5s 等前:0.0s 等后:35.0s) | ST4 四轮定位上、下(开:44988.5s 加:120.5s 等前:0.0s 等后:0.0s) | ST5 ADAS(开:45109.0s 加:107.0s 等前:0.0s 等后:30.5s) | ST6 ARHUD+慢充(开:45246.5s 加:143.5s 等前:0.0s 等后:0.0s) | ST7 转毂(开:45390.0s 加:114.5s 等前:0.0s 等后:0.0s) | ST8 制动(开:45504.5s 加:114.0s 等前:0.0s 等后:0.0s) | ST9 EG漏液/底盘漏液(开:45618.5s 加:112.5s 等前:0.0s 等后:0.0s) | ST10 全景/空调检查(开:45731.0s 加:0.0s 等前:0.0s 等后:0.0s) | ST11 气囊安装+绝缘(开:45731.0s 加:116.0s 等前:0.0s 等后:0.0s) | ST12 L2++(开:45847.0s 加:88.0s 等前:0.0s 等后:0.0s) | ST13 电检1(开:45935.0s 加:84.5s 等前:0.0s 等后:0.0s) | ST14 电检2(开:46019.5s 加:97.5s 等前:0.0s 等后:83.5s) | ST15 小跑道(开:46200.5s 加:50.0s 等前:0.0s 等后:0.0s)</t>
        </is>
      </c>
    </row>
    <row r="692">
      <c r="A692" s="13" t="n">
        <v>691</v>
      </c>
      <c r="B692" s="13" t="inlineStr">
        <is>
          <t>Car#693</t>
        </is>
      </c>
      <c r="C692" s="13" t="inlineStr">
        <is>
          <t>A</t>
        </is>
      </c>
      <c r="D692" s="14" t="n">
        <v>44988.5</v>
      </c>
      <c r="E692" s="14" t="n">
        <v>46301.5</v>
      </c>
      <c r="F692" s="14" t="n">
        <v>1313</v>
      </c>
      <c r="G692" s="14" t="n">
        <v>5304.5</v>
      </c>
      <c r="H692" s="13" t="inlineStr">
        <is>
          <t>Car#688</t>
        </is>
      </c>
      <c r="I692" s="14">
        <f>E692-E691</f>
        <v/>
      </c>
      <c r="J692" s="14">
        <f>I692-58</f>
        <v/>
      </c>
      <c r="K692" s="14">
        <f>MAX(0,J692)</f>
        <v/>
      </c>
      <c r="L692" s="14">
        <f>MAX(0,-J692)</f>
        <v/>
      </c>
      <c r="M692" s="14">
        <f>M691+I692</f>
        <v/>
      </c>
      <c r="N692" s="14">
        <f>D692+F692-E692</f>
        <v/>
      </c>
      <c r="O692" s="13" t="inlineStr">
        <is>
          <t>能力满足</t>
        </is>
      </c>
      <c r="P692" s="13" t="inlineStr">
        <is>
          <t>ST1 引取(开:44988.5s 加:55.0s 等前:4852.5s 等后:0.0s) | ST2 集约(开:45043.5s 加:106.0s 等前:0.0s 等后:0.0s) | ST3 空气悬挂+快充(开:45149.5s 加:0.0s 等前:0.0s 等后:86.5s) | ST4 四轮定位上、下(开:45236.0s 加:115.0s 等前:0.0s 等后:21.5s) | ST5 ADAS(开:45372.5s 加:97.0s 等前:0.0s 等后:17.5s) | ST6 ARHUD+慢充(开:45487.0s 加:0.0s 等前:0.0s 等后:116.0s) | ST7 转毂(开:45603.0s 加:116.0s 等前:0.0s 等后:0.0s) | ST8 制动(开:45719.0s 加:108.0s 等前:0.0s 等后:1.5s) | ST9 EG漏液/底盘漏液(开:45828.5s 加:115.0s 等前:0.0s 等后:0.0s) | ST10 全景/空调检查(开:45943.5s 加:98.0s 等前:0.0s 等后:0.0s) | ST11 气囊安装+绝缘(开:46041.5s 加:0.0s 等前:0.0s 等后:0.0s) | ST12 L2++(开:46041.5s 加:0.0s 等前:0.0s 等后:58.0s) | ST13 电检1(开:46099.5s 加:0.0s 等前:0.0s 等后:50.0s) | ST14 电检2(开:46149.5s 加:0.0s 等前:0.0s 等后:101.0s) | ST15 小跑道(开:46250.5s 加:51.0s 等前:0.0s 等后:0.0s)</t>
        </is>
      </c>
    </row>
    <row r="693">
      <c r="A693" s="15" t="n">
        <v>692</v>
      </c>
      <c r="B693" s="15" t="inlineStr">
        <is>
          <t>Car#690</t>
        </is>
      </c>
      <c r="C693" s="15" t="inlineStr">
        <is>
          <t>C</t>
        </is>
      </c>
      <c r="D693" s="16" t="n">
        <v>44769.5</v>
      </c>
      <c r="E693" s="16" t="n">
        <v>46351.5</v>
      </c>
      <c r="F693" s="16" t="n">
        <v>1582</v>
      </c>
      <c r="G693" s="16" t="n">
        <v>4966</v>
      </c>
      <c r="H693" s="15" t="inlineStr">
        <is>
          <t>Car#693</t>
        </is>
      </c>
      <c r="I693" s="16">
        <f>E693-E692</f>
        <v/>
      </c>
      <c r="J693" s="16">
        <f>I693-58</f>
        <v/>
      </c>
      <c r="K693" s="16">
        <f>MAX(0,J693)</f>
        <v/>
      </c>
      <c r="L693" s="16">
        <f>MAX(0,-J693)</f>
        <v/>
      </c>
      <c r="M693" s="16">
        <f>M692+I693</f>
        <v/>
      </c>
      <c r="N693" s="16">
        <f>D693+F693-E693</f>
        <v/>
      </c>
      <c r="O693" s="15" t="inlineStr">
        <is>
          <t>能力超目标：四轮定位上、下、ARHUD+慢充</t>
        </is>
      </c>
      <c r="P693" s="15" t="inlineStr">
        <is>
          <t>ST1 引取(开:44769.5s 加:56.0s 等前:4807.5s 等后:19.5s) | ST2 集约(开:44845.0s 加:111.0s 等前:0.0s 等后:32.5s) | ST3 空气悬挂+快充(开:44988.5s 加:108.5s 等前:0.0s 等后:12.0s) | ST4 四轮定位上、下(开:45109.0s 加:120.5s 等前:0.0s 等后:17.0s) | ST5 ADAS(开:45246.5s 加:107.0s 等前:0.0s 等后:36.5s) | ST6 ARHUD+慢充(开:45390.0s 加:143.5s 等前:0.0s 等后:0.0s) | ST7 转毂(开:45533.5s 加:114.5s 等前:0.0s 等后:0.0s) | ST8 制动(开:45648.0s 加:114.0s 等前:0.0s 等后:0.0s) | ST9 EG漏液/底盘漏液(开:45762.0s 加:112.5s 等前:0.0s 等后:0.0s) | ST10 全景/空调检查(开:45874.5s 加:0.0s 等前:0.0s 等后:0.0s) | ST11 气囊安装+绝缘(开:45874.5s 加:116.0s 等前:0.0s 等后:0.0s) | ST12 L2++(开:45990.5s 加:88.0s 等前:0.0s 等后:0.0s) | ST13 电检1(开:46078.5s 加:84.5s 等前:0.0s 等后:37.5s) | ST14 电检2(开:46200.5s 加:97.5s 等前:0.0s 等后:3.5s) | ST15 小跑道(开:46301.5s 加:50.0s 等前:0.0s 等后:0.0s)</t>
        </is>
      </c>
    </row>
    <row r="694">
      <c r="A694" s="13" t="n">
        <v>693</v>
      </c>
      <c r="B694" s="13" t="inlineStr">
        <is>
          <t>Car#692</t>
        </is>
      </c>
      <c r="C694" s="13" t="inlineStr">
        <is>
          <t>A</t>
        </is>
      </c>
      <c r="D694" s="14" t="n">
        <v>44900</v>
      </c>
      <c r="E694" s="14" t="n">
        <v>46402.5</v>
      </c>
      <c r="F694" s="14" t="n">
        <v>1502.5</v>
      </c>
      <c r="G694" s="14" t="n">
        <v>5463.5</v>
      </c>
      <c r="H694" s="13" t="inlineStr">
        <is>
          <t>Car#690</t>
        </is>
      </c>
      <c r="I694" s="14">
        <f>E694-E693</f>
        <v/>
      </c>
      <c r="J694" s="14">
        <f>I694-58</f>
        <v/>
      </c>
      <c r="K694" s="14">
        <f>MAX(0,J694)</f>
        <v/>
      </c>
      <c r="L694" s="14">
        <f>MAX(0,-J694)</f>
        <v/>
      </c>
      <c r="M694" s="14">
        <f>M693+I694</f>
        <v/>
      </c>
      <c r="N694" s="14">
        <f>D694+F694-E694</f>
        <v/>
      </c>
      <c r="O694" s="13" t="inlineStr">
        <is>
          <t>能力满足</t>
        </is>
      </c>
      <c r="P694" s="13" t="inlineStr">
        <is>
          <t>ST1 引取(开:44900.0s 加:55.0s 等前:4822.0s 等后:33.5s) | ST2 集约(开:44988.5s 加:106.0s 等前:0.0s 等后:14.5s) | ST3 空气悬挂+快充(开:45109.0s 加:0.0s 等前:0.0s 等后:137.5s) | ST4 四轮定位上、下(开:45246.5s 加:115.0s 等前:0.0s 等后:28.5s) | ST5 ADAS(开:45390.0s 加:97.0s 等前:0.0s 等后:46.5s) | ST6 ARHUD+慢充(开:45533.5s 加:0.0s 等前:0.0s 等后:114.5s) | ST7 转毂(开:45648.0s 加:116.0s 等前:0.0s 等后:0.0s) | ST8 制动(开:45764.0s 加:108.0s 等前:0.0s 等后:2.5s) | ST9 EG漏液/底盘漏液(开:45874.5s 加:115.0s 等前:0.0s 等后:0.0s) | ST10 全景/空调检查(开:45989.5s 加:98.0s 等前:0.0s 等后:0.0s) | ST11 气囊安装+绝缘(开:46087.5s 加:0.0s 等前:0.0s 等后:0.0s) | ST12 L2++(开:46087.5s 加:0.0s 等前:0.0s 等后:113.0s) | ST13 电检1(开:46200.5s 加:0.0s 等前:0.0s 等后:101.0s) | ST14 电检2(开:46301.5s 加:0.0s 等前:0.0s 等后:50.0s) | ST15 小跑道(开:46351.5s 加:51.0s 等前:0.0s 等后:0.0s)</t>
        </is>
      </c>
    </row>
    <row r="695">
      <c r="A695" s="15" t="n">
        <v>694</v>
      </c>
      <c r="B695" s="15" t="inlineStr">
        <is>
          <t>Car#695</t>
        </is>
      </c>
      <c r="C695" s="15" t="inlineStr">
        <is>
          <t>B</t>
        </is>
      </c>
      <c r="D695" s="16" t="n">
        <v>45109</v>
      </c>
      <c r="E695" s="16" t="n">
        <v>46496</v>
      </c>
      <c r="F695" s="16" t="n">
        <v>1387</v>
      </c>
      <c r="G695" s="16" t="n">
        <v>4912.5</v>
      </c>
      <c r="H695" s="15" t="inlineStr">
        <is>
          <t>Car#692</t>
        </is>
      </c>
      <c r="I695" s="16">
        <f>E695-E694</f>
        <v/>
      </c>
      <c r="J695" s="16">
        <f>I695-58</f>
        <v/>
      </c>
      <c r="K695" s="16">
        <f>MAX(0,J695)</f>
        <v/>
      </c>
      <c r="L695" s="16">
        <f>MAX(0,-J695)</f>
        <v/>
      </c>
      <c r="M695" s="16">
        <f>M694+I695</f>
        <v/>
      </c>
      <c r="N695" s="16">
        <f>D695+F695-E695</f>
        <v/>
      </c>
      <c r="O695" s="15" t="inlineStr">
        <is>
          <t>能力超目标：四轮定位上、下</t>
        </is>
      </c>
      <c r="P695" s="15" t="inlineStr">
        <is>
          <t>ST1 引取(开:45109.0s 加:56.0s 等前:4857.0s 等后:0.0s) | ST2 集约(开:45165.0s 加:111.0s 等前:0.0s 等后:0.0s) | ST3 空气悬挂+快充(开:45276.0s 加:108.5s 等前:0.0s 等后:0.0s) | ST4 四轮定位上、下(开:45384.5s 加:120.5s 等前:0.0s 等后:0.0s) | ST5 ADAS(开:45505.0s 加:107.0s 等前:0.0s 等后:0.0s) | ST6 ARHUD+慢充(开:45612.0s 加:51.5s 等前:0.0s 等后:55.5s) | ST7 转毂(开:45719.0s 加:114.5s 等前:0.0s 等后:0.0s) | ST8 制动(开:45833.5s 加:114.0s 等前:0.0s 等后:0.0s) | ST9 EG漏液/底盘漏液(开:45947.5s 加:112.5s 等前:0.0s 等后:0.0s) | ST10 全景/空调检查(开:46060.0s 加:0.0s 等前:0.0s 等后:0.0s) | ST11 气囊安装+绝缘(开:46060.0s 加:116.0s 等前:0.0s 等后:0.0s) | ST12 L2++(开:46176.0s 加:88.0s 等前:0.0s 等后:0.0s) | ST13 电检1(开:46264.0s 加:84.5s 等前:0.0s 等后:0.0s) | ST14 电检2(开:46348.5s 加:97.5s 等前:0.0s 等后:0.0s) | ST15 小跑道(开:46446.0s 加:50.0s 等前:0.0s 等后:0.0s)</t>
        </is>
      </c>
    </row>
    <row r="696">
      <c r="A696" s="13" t="n">
        <v>695</v>
      </c>
      <c r="B696" s="13" t="inlineStr">
        <is>
          <t>Car#694</t>
        </is>
      </c>
      <c r="C696" s="13" t="inlineStr">
        <is>
          <t>C</t>
        </is>
      </c>
      <c r="D696" s="14" t="n">
        <v>45043.5</v>
      </c>
      <c r="E696" s="14" t="n">
        <v>46568.5</v>
      </c>
      <c r="F696" s="14" t="n">
        <v>1525</v>
      </c>
      <c r="G696" s="14" t="n">
        <v>4951</v>
      </c>
      <c r="H696" s="13" t="inlineStr">
        <is>
          <t>Car#695</t>
        </is>
      </c>
      <c r="I696" s="14">
        <f>E696-E695</f>
        <v/>
      </c>
      <c r="J696" s="14">
        <f>I696-58</f>
        <v/>
      </c>
      <c r="K696" s="14">
        <f>MAX(0,J696)</f>
        <v/>
      </c>
      <c r="L696" s="14">
        <f>MAX(0,-J696)</f>
        <v/>
      </c>
      <c r="M696" s="14">
        <f>M695+I696</f>
        <v/>
      </c>
      <c r="N696" s="14">
        <f>D696+F696-E696</f>
        <v/>
      </c>
      <c r="O696" s="13" t="inlineStr">
        <is>
          <t>能力超目标：四轮定位上、下、ARHUD+慢充</t>
        </is>
      </c>
      <c r="P696" s="13" t="inlineStr">
        <is>
          <t>ST1 引取(开:45043.5s 加:56.0s 等前:4849.5s 等后:9.5s) | ST2 集约(开:45109.0s 加:111.0s 等前:0.0s 等后:26.5s) | ST3 空气悬挂+快充(开:45246.5s 加:108.5s 等前:0.0s 等后:35.0s) | ST4 四轮定位上、下(开:45390.0s 加:120.5s 等前:0.0s 等后:23.0s) | ST5 ADAS(开:45533.5s 加:107.0s 等前:0.0s 等后:7.5s) | ST6 ARHUD+慢充(开:45648.0s 加:143.5s 等前:0.0s 等后:0.0s) | ST7 转毂(开:45791.5s 加:114.5s 等前:0.0s 等后:0.0s) | ST8 制动(开:45906.0s 加:114.0s 等前:0.0s 等后:0.0s) | ST9 EG漏液/底盘漏液(开:46020.0s 加:112.5s 等前:0.0s 等后:0.0s) | ST10 全景/空调检查(开:46132.5s 加:0.0s 等前:0.0s 等后:0.0s) | ST11 气囊安装+绝缘(开:46132.5s 加:116.0s 等前:0.0s 等后:0.0s) | ST12 L2++(开:46248.5s 加:88.0s 等前:0.0s 等后:0.0s) | ST13 电检1(开:46336.5s 加:84.5s 等前:0.0s 等后:0.0s) | ST14 电检2(开:46421.0s 加:97.5s 等前:0.0s 等后:0.0s) | ST15 小跑道(开:46518.5s 加:50.0s 等前:0.0s 等后:0.0s)</t>
        </is>
      </c>
    </row>
    <row r="697">
      <c r="A697" s="15" t="n">
        <v>696</v>
      </c>
      <c r="B697" s="15" t="inlineStr">
        <is>
          <t>Car#697</t>
        </is>
      </c>
      <c r="C697" s="15" t="inlineStr">
        <is>
          <t>C</t>
        </is>
      </c>
      <c r="D697" s="16" t="n">
        <v>45246.5</v>
      </c>
      <c r="E697" s="16" t="n">
        <v>46670</v>
      </c>
      <c r="F697" s="16" t="n">
        <v>1423.5</v>
      </c>
      <c r="G697" s="16" t="n">
        <v>4878.5</v>
      </c>
      <c r="H697" s="15" t="inlineStr">
        <is>
          <t>Car#694</t>
        </is>
      </c>
      <c r="I697" s="16">
        <f>E697-E696</f>
        <v/>
      </c>
      <c r="J697" s="16">
        <f>I697-58</f>
        <v/>
      </c>
      <c r="K697" s="16">
        <f>MAX(0,J697)</f>
        <v/>
      </c>
      <c r="L697" s="16">
        <f>MAX(0,-J697)</f>
        <v/>
      </c>
      <c r="M697" s="16">
        <f>M696+I697</f>
        <v/>
      </c>
      <c r="N697" s="16">
        <f>D697+F697-E697</f>
        <v/>
      </c>
      <c r="O697" s="15" t="inlineStr">
        <is>
          <t>能力超目标：四轮定位上、下、ARHUD+慢充</t>
        </is>
      </c>
      <c r="P697" s="15" t="inlineStr">
        <is>
          <t>ST1 引取(开:45246.5s 加:56.0s 等前:4878.5s 等后:0.0s) | ST2 集约(开:45302.5s 加:111.0s 等前:0.0s 等后:0.0s) | ST3 空气悬挂+快充(开:45413.5s 加:108.5s 等前:0.0s 等后:0.0s) | ST4 四轮定位上、下(开:45522.0s 加:120.5s 等前:0.0s 等后:0.0s) | ST5 ADAS(开:45642.5s 加:107.0s 等前:0.0s 等后:0.0s) | ST6 ARHUD+慢充(开:45749.5s 加:143.5s 等前:0.0s 等后:0.0s) | ST7 转毂(开:45893.0s 加:114.5s 等前:0.0s 等后:0.0s) | ST8 制动(开:46007.5s 加:114.0s 等前:0.0s 等后:0.0s) | ST9 EG漏液/底盘漏液(开:46121.5s 加:112.5s 等前:0.0s 等后:0.0s) | ST10 全景/空调检查(开:46234.0s 加:0.0s 等前:0.0s 等后:0.0s) | ST11 气囊安装+绝缘(开:46234.0s 加:116.0s 等前:0.0s 等后:0.0s) | ST12 L2++(开:46350.0s 加:88.0s 等前:0.0s 等后:0.0s) | ST13 电检1(开:46438.0s 加:84.5s 等前:0.0s 等后:0.0s) | ST14 电检2(开:46522.5s 加:97.5s 等前:0.0s 等后:0.0s) | ST15 小跑道(开:46620.0s 加:50.0s 等前:0.0s 等后:0.0s)</t>
        </is>
      </c>
    </row>
    <row r="698">
      <c r="A698" s="13" t="n">
        <v>697</v>
      </c>
      <c r="B698" s="13" t="inlineStr">
        <is>
          <t>Car#696</t>
        </is>
      </c>
      <c r="C698" s="13" t="inlineStr">
        <is>
          <t>C</t>
        </is>
      </c>
      <c r="D698" s="14" t="n">
        <v>45165</v>
      </c>
      <c r="E698" s="14" t="n">
        <v>46720</v>
      </c>
      <c r="F698" s="14" t="n">
        <v>1555</v>
      </c>
      <c r="G698" s="14" t="n">
        <v>4986.5</v>
      </c>
      <c r="H698" s="13" t="inlineStr">
        <is>
          <t>Car#697</t>
        </is>
      </c>
      <c r="I698" s="14">
        <f>E698-E697</f>
        <v/>
      </c>
      <c r="J698" s="14">
        <f>I698-58</f>
        <v/>
      </c>
      <c r="K698" s="14">
        <f>MAX(0,J698)</f>
        <v/>
      </c>
      <c r="L698" s="14">
        <f>MAX(0,-J698)</f>
        <v/>
      </c>
      <c r="M698" s="14">
        <f>M697+I698</f>
        <v/>
      </c>
      <c r="N698" s="14">
        <f>D698+F698-E698</f>
        <v/>
      </c>
      <c r="O698" s="13" t="inlineStr">
        <is>
          <t>能力超目标：四轮定位上、下、ARHUD+慢充</t>
        </is>
      </c>
      <c r="P698" s="13" t="inlineStr">
        <is>
          <t>ST1 引取(开:45165.0s 加:56.0s 等前:4855.0s 等后:25.5s) | ST2 集约(开:45246.5s 加:111.0s 等前:0.0s 等后:32.5s) | ST3 空气悬挂+快充(开:45390.0s 加:108.5s 等前:0.0s 等后:35.0s) | ST4 四轮定位上、下(开:45533.5s 加:120.5s 等前:0.0s 等后:0.0s) | ST5 ADAS(开:45654.0s 加:107.0s 等前:0.0s 等后:30.5s) | ST6 ARHUD+慢充(开:45791.5s 加:143.5s 等前:0.0s 等后:0.0s) | ST7 转毂(开:45935.0s 加:114.5s 等前:0.0s 等后:0.0s) | ST8 制动(开:46049.5s 加:114.0s 等前:0.0s 等后:0.0s) | ST9 EG漏液/底盘漏液(开:46163.5s 加:112.5s 等前:0.0s 等后:0.0s) | ST10 全景/空调检查(开:46276.0s 加:0.0s 等前:0.0s 等后:0.0s) | ST11 气囊安装+绝缘(开:46276.0s 加:116.0s 等前:0.0s 等后:0.0s) | ST12 L2++(开:46392.0s 加:88.0s 等前:0.0s 等后:0.0s) | ST13 电检1(开:46480.0s 加:84.5s 等前:0.0s 等后:0.0s) | ST14 电检2(开:46564.5s 加:97.5s 等前:0.0s 等后:8.0s) | ST15 小跑道(开:46670.0s 加:50.0s 等前:0.0s 等后:0.0s)</t>
        </is>
      </c>
    </row>
    <row r="699">
      <c r="A699" s="15" t="n">
        <v>698</v>
      </c>
      <c r="B699" s="15" t="inlineStr">
        <is>
          <t>Car#699</t>
        </is>
      </c>
      <c r="C699" s="15" t="inlineStr">
        <is>
          <t>B</t>
        </is>
      </c>
      <c r="D699" s="16" t="n">
        <v>45390</v>
      </c>
      <c r="E699" s="16" t="n">
        <v>46786</v>
      </c>
      <c r="F699" s="16" t="n">
        <v>1396</v>
      </c>
      <c r="G699" s="16" t="n">
        <v>4970.5</v>
      </c>
      <c r="H699" s="15" t="inlineStr">
        <is>
          <t>Car#696</t>
        </is>
      </c>
      <c r="I699" s="16">
        <f>E699-E698</f>
        <v/>
      </c>
      <c r="J699" s="16">
        <f>I699-58</f>
        <v/>
      </c>
      <c r="K699" s="16">
        <f>MAX(0,J699)</f>
        <v/>
      </c>
      <c r="L699" s="16">
        <f>MAX(0,-J699)</f>
        <v/>
      </c>
      <c r="M699" s="16">
        <f>M698+I699</f>
        <v/>
      </c>
      <c r="N699" s="16">
        <f>D699+F699-E699</f>
        <v/>
      </c>
      <c r="O699" s="15" t="inlineStr">
        <is>
          <t>能力超目标：四轮定位上、下</t>
        </is>
      </c>
      <c r="P699" s="15" t="inlineStr">
        <is>
          <t>ST1 引取(开:45390.0s 加:56.0s 等前:4906.0s 等后:0.0s) | ST2 集约(开:45446.0s 加:111.0s 等前:0.0s 等后:0.0s) | ST3 空气悬挂+快充(开:45557.0s 加:108.5s 等前:0.0s 等后:0.0s) | ST4 四轮定位上、下(开:45665.5s 加:120.5s 等前:0.0s 等后:0.0s) | ST5 ADAS(开:45786.0s 加:107.0s 等前:0.0s 等后:0.0s) | ST6 ARHUD+慢充(开:45893.0s 加:51.5s 等前:0.0s 等后:63.0s) | ST7 转毂(开:46007.5s 加:114.5s 等前:0.0s 等后:0.0s) | ST8 制动(开:46122.0s 加:114.0s 等前:0.0s 等后:0.0s) | ST9 EG漏液/底盘漏液(开:46236.0s 加:112.5s 等前:0.0s 等后:0.0s) | ST10 全景/空调检查(开:46348.5s 加:0.0s 等前:0.0s 等后:1.5s) | ST11 气囊安装+绝缘(开:46350.0s 加:116.0s 等前:0.0s 等后:0.0s) | ST12 L2++(开:46466.0s 加:88.0s 等前:0.0s 等后:0.0s) | ST13 电检1(开:46554.0s 加:84.5s 等前:0.0s 等后:0.0s) | ST14 电检2(开:46638.5s 加:97.5s 等前:0.0s 等后:0.0s) | ST15 小跑道(开:46736.0s 加:50.0s 等前:0.0s 等后:0.0s)</t>
        </is>
      </c>
    </row>
    <row r="700">
      <c r="A700" s="13" t="n">
        <v>699</v>
      </c>
      <c r="B700" s="13" t="inlineStr">
        <is>
          <t>Car#698</t>
        </is>
      </c>
      <c r="C700" s="13" t="inlineStr">
        <is>
          <t>B</t>
        </is>
      </c>
      <c r="D700" s="14" t="n">
        <v>45302.5</v>
      </c>
      <c r="E700" s="14" t="n">
        <v>46836</v>
      </c>
      <c r="F700" s="14" t="n">
        <v>1533.5</v>
      </c>
      <c r="G700" s="14" t="n">
        <v>5078.5</v>
      </c>
      <c r="H700" s="13" t="inlineStr">
        <is>
          <t>Car#699</t>
        </is>
      </c>
      <c r="I700" s="14">
        <f>E700-E699</f>
        <v/>
      </c>
      <c r="J700" s="14">
        <f>I700-58</f>
        <v/>
      </c>
      <c r="K700" s="14">
        <f>MAX(0,J700)</f>
        <v/>
      </c>
      <c r="L700" s="14">
        <f>MAX(0,-J700)</f>
        <v/>
      </c>
      <c r="M700" s="14">
        <f>M699+I700</f>
        <v/>
      </c>
      <c r="N700" s="14">
        <f>D700+F700-E700</f>
        <v/>
      </c>
      <c r="O700" s="13" t="inlineStr">
        <is>
          <t>能力超目标：四轮定位上、下</t>
        </is>
      </c>
      <c r="P700" s="13" t="inlineStr">
        <is>
          <t>ST1 引取(开:45302.5s 加:56.0s 等前:4876.5s 等后:31.5s) | ST2 集约(开:45390.0s 加:111.0s 等前:0.0s 等后:32.5s) | ST3 空气悬挂+快充(开:45533.5s 加:108.5s 等前:0.0s 等后:12.0s) | ST4 四轮定位上、下(开:45654.0s 加:120.5s 等前:0.0s 等后:17.0s) | ST5 ADAS(开:45791.5s 加:107.0s 等前:0.0s 等后:36.5s) | ST6 ARHUD+慢充(开:45935.0s 加:51.5s 等前:0.0s 等后:63.0s) | ST7 转毂(开:46049.5s 加:114.5s 等前:0.0s 等后:0.0s) | ST8 制动(开:46164.0s 加:114.0s 等前:0.0s 等后:0.0s) | ST9 EG漏液/底盘漏液(开:46278.0s 加:112.5s 等前:0.0s 等后:0.0s) | ST10 全景/空调检查(开:46390.5s 加:0.0s 等前:0.0s 等后:1.5s) | ST11 气囊安装+绝缘(开:46392.0s 加:116.0s 等前:0.0s 等后:0.0s) | ST12 L2++(开:46508.0s 加:88.0s 等前:0.0s 等后:0.0s) | ST13 电检1(开:46596.0s 加:84.5s 等前:0.0s 等后:0.0s) | ST14 电检2(开:46680.5s 加:97.5s 等前:0.0s 等后:8.0s) | ST15 小跑道(开:46786.0s 加:50.0s 等前:0.0s 等后:0.0s)</t>
        </is>
      </c>
    </row>
    <row r="701">
      <c r="A701" s="15" t="n">
        <v>700</v>
      </c>
      <c r="B701" s="15" t="inlineStr">
        <is>
          <t>Car#701</t>
        </is>
      </c>
      <c r="C701" s="15" t="inlineStr">
        <is>
          <t>C</t>
        </is>
      </c>
      <c r="D701" s="16" t="n">
        <v>45533.5</v>
      </c>
      <c r="E701" s="16" t="n">
        <v>46957</v>
      </c>
      <c r="F701" s="16" t="n">
        <v>1423.5</v>
      </c>
      <c r="G701" s="16" t="n">
        <v>4933.5</v>
      </c>
      <c r="H701" s="15" t="inlineStr">
        <is>
          <t>Car#698</t>
        </is>
      </c>
      <c r="I701" s="16">
        <f>E701-E700</f>
        <v/>
      </c>
      <c r="J701" s="16">
        <f>I701-58</f>
        <v/>
      </c>
      <c r="K701" s="16">
        <f>MAX(0,J701)</f>
        <v/>
      </c>
      <c r="L701" s="16">
        <f>MAX(0,-J701)</f>
        <v/>
      </c>
      <c r="M701" s="16">
        <f>M700+I701</f>
        <v/>
      </c>
      <c r="N701" s="16">
        <f>D701+F701-E701</f>
        <v/>
      </c>
      <c r="O701" s="15" t="inlineStr">
        <is>
          <t>能力超目标：四轮定位上、下、ARHUD+慢充</t>
        </is>
      </c>
      <c r="P701" s="15" t="inlineStr">
        <is>
          <t>ST1 引取(开:45533.5s 加:56.0s 等前:4933.5s 等后:0.0s) | ST2 集约(开:45589.5s 加:111.0s 等前:0.0s 等后:0.0s) | ST3 空气悬挂+快充(开:45700.5s 加:108.5s 等前:0.0s 等后:0.0s) | ST4 四轮定位上、下(开:45809.0s 加:120.5s 等前:0.0s 等后:0.0s) | ST5 ADAS(开:45929.5s 加:107.0s 等前:0.0s 等后:0.0s) | ST6 ARHUD+慢充(开:46036.5s 加:143.5s 等前:0.0s 等后:0.0s) | ST7 转毂(开:46180.0s 加:114.5s 等前:0.0s 等后:0.0s) | ST8 制动(开:46294.5s 加:114.0s 等前:0.0s 等后:0.0s) | ST9 EG漏液/底盘漏液(开:46408.5s 加:112.5s 等前:0.0s 等后:0.0s) | ST10 全景/空调检查(开:46521.0s 加:0.0s 等前:0.0s 等后:0.0s) | ST11 气囊安装+绝缘(开:46521.0s 加:116.0s 等前:0.0s 等后:0.0s) | ST12 L2++(开:46637.0s 加:88.0s 等前:0.0s 等后:0.0s) | ST13 电检1(开:46725.0s 加:84.5s 等前:0.0s 等后:0.0s) | ST14 电检2(开:46809.5s 加:97.5s 等前:0.0s 等后:0.0s) | ST15 小跑道(开:46907.0s 加:50.0s 等前:0.0s 等后:0.0s)</t>
        </is>
      </c>
    </row>
    <row r="702">
      <c r="A702" s="13" t="n">
        <v>701</v>
      </c>
      <c r="B702" s="13" t="inlineStr">
        <is>
          <t>Car#703</t>
        </is>
      </c>
      <c r="C702" s="13" t="inlineStr">
        <is>
          <t>A</t>
        </is>
      </c>
      <c r="D702" s="14" t="n">
        <v>45654</v>
      </c>
      <c r="E702" s="14" t="n">
        <v>47008</v>
      </c>
      <c r="F702" s="14" t="n">
        <v>1354</v>
      </c>
      <c r="G702" s="14" t="n">
        <v>5431</v>
      </c>
      <c r="H702" s="13" t="inlineStr">
        <is>
          <t>Car#701</t>
        </is>
      </c>
      <c r="I702" s="14">
        <f>E702-E701</f>
        <v/>
      </c>
      <c r="J702" s="14">
        <f>I702-58</f>
        <v/>
      </c>
      <c r="K702" s="14">
        <f>MAX(0,J702)</f>
        <v/>
      </c>
      <c r="L702" s="14">
        <f>MAX(0,-J702)</f>
        <v/>
      </c>
      <c r="M702" s="14">
        <f>M701+I702</f>
        <v/>
      </c>
      <c r="N702" s="14">
        <f>D702+F702-E702</f>
        <v/>
      </c>
      <c r="O702" s="13" t="inlineStr">
        <is>
          <t>能力满足</t>
        </is>
      </c>
      <c r="P702" s="13" t="inlineStr">
        <is>
          <t>ST1 引取(开:45654.0s 加:55.0s 等前:4938.0s 等后:0.0s) | ST2 集约(开:45709.0s 加:106.0s 等前:0.0s 等后:0.0s) | ST3 空气悬挂+快充(开:45815.0s 加:0.0s 等前:0.0s 等后:114.5s) | ST4 四轮定位上、下(开:45929.5s 加:115.0s 等前:0.0s 等后:0.0s) | ST5 ADAS(开:46044.5s 加:97.0s 等前:0.0s 等后:38.5s) | ST6 ARHUD+慢充(开:46180.0s 加:0.0s 等前:0.0s 等后:114.5s) | ST7 转毂(开:46294.5s 加:116.0s 等前:0.0s 等后:0.0s) | ST8 制动(开:46410.5s 加:108.0s 等前:0.0s 等后:2.5s) | ST9 EG漏液/底盘漏液(开:46521.0s 加:115.0s 等前:0.0s 等后:0.0s) | ST10 全景/空调检查(开:46636.0s 加:98.0s 等前:0.0s 等后:0.0s) | ST11 气囊安装+绝缘(开:46734.0s 加:0.0s 等前:0.0s 等后:0.0s) | ST12 L2++(开:46734.0s 加:0.0s 等前:0.0s 等后:75.5s) | ST13 电检1(开:46809.5s 加:0.0s 等前:0.0s 等后:97.5s) | ST14 电检2(开:46907.0s 加:0.0s 等前:0.0s 等后:50.0s) | ST15 小跑道(开:46957.0s 加:51.0s 等前:0.0s 等后:0.0s)</t>
        </is>
      </c>
    </row>
    <row r="703">
      <c r="A703" s="15" t="n">
        <v>702</v>
      </c>
      <c r="B703" s="15" t="inlineStr">
        <is>
          <t>Car#700</t>
        </is>
      </c>
      <c r="C703" s="15" t="inlineStr">
        <is>
          <t>C</t>
        </is>
      </c>
      <c r="D703" s="16" t="n">
        <v>45446</v>
      </c>
      <c r="E703" s="16" t="n">
        <v>47058</v>
      </c>
      <c r="F703" s="16" t="n">
        <v>1612</v>
      </c>
      <c r="G703" s="16" t="n">
        <v>5092.5</v>
      </c>
      <c r="H703" s="15" t="inlineStr">
        <is>
          <t>Car#703</t>
        </is>
      </c>
      <c r="I703" s="16">
        <f>E703-E702</f>
        <v/>
      </c>
      <c r="J703" s="16">
        <f>I703-58</f>
        <v/>
      </c>
      <c r="K703" s="16">
        <f>MAX(0,J703)</f>
        <v/>
      </c>
      <c r="L703" s="16">
        <f>MAX(0,-J703)</f>
        <v/>
      </c>
      <c r="M703" s="16">
        <f>M702+I703</f>
        <v/>
      </c>
      <c r="N703" s="16">
        <f>D703+F703-E703</f>
        <v/>
      </c>
      <c r="O703" s="15" t="inlineStr">
        <is>
          <t>能力超目标：四轮定位上、下、ARHUD+慢充</t>
        </is>
      </c>
      <c r="P703" s="15" t="inlineStr">
        <is>
          <t>ST1 引取(开:45446.0s 加:56.0s 等前:4904.0s 等后:31.5s) | ST2 集约(开:45533.5s 加:111.0s 等前:0.0s 等后:9.5s) | ST3 空气悬挂+快充(开:45654.0s 加:108.5s 等前:0.0s 等后:29.0s) | ST4 四轮定位上、下(开:45791.5s 加:120.5s 等前:0.0s 等后:23.0s) | ST5 ADAS(开:45935.0s 加:107.0s 等前:0.0s 等后:7.5s) | ST6 ARHUD+慢充(开:46049.5s 加:143.5s 等前:0.0s 等后:0.0s) | ST7 转毂(开:46193.0s 加:114.5s 等前:0.0s 等后:0.0s) | ST8 制动(开:46307.5s 加:114.0s 等前:0.0s 等后:0.0s) | ST9 EG漏液/底盘漏液(开:46421.5s 加:112.5s 等前:0.0s 等后:0.0s) | ST10 全景/空调检查(开:46534.0s 加:0.0s 等前:0.0s 等后:0.0s) | ST11 气囊安装+绝缘(开:46534.0s 加:116.0s 等前:0.0s 等后:0.0s) | ST12 L2++(开:46650.0s 加:88.0s 等前:0.0s 等后:0.0s) | ST13 电检1(开:46738.0s 加:84.5s 等前:0.0s 等后:0.0s) | ST14 电检2(开:46822.5s 加:97.5s 等前:0.0s 等后:88.0s) | ST15 小跑道(开:47008.0s 加:50.0s 等前:0.0s 等后:0.0s)</t>
        </is>
      </c>
    </row>
    <row r="704">
      <c r="A704" s="13" t="n">
        <v>703</v>
      </c>
      <c r="B704" s="13" t="inlineStr">
        <is>
          <t>Car#705</t>
        </is>
      </c>
      <c r="C704" s="13" t="inlineStr">
        <is>
          <t>A</t>
        </is>
      </c>
      <c r="D704" s="14" t="n">
        <v>45791.5</v>
      </c>
      <c r="E704" s="14" t="n">
        <v>47109</v>
      </c>
      <c r="F704" s="14" t="n">
        <v>1317.5</v>
      </c>
      <c r="G704" s="14" t="n">
        <v>5416</v>
      </c>
      <c r="H704" s="13" t="inlineStr">
        <is>
          <t>Car#700</t>
        </is>
      </c>
      <c r="I704" s="14">
        <f>E704-E703</f>
        <v/>
      </c>
      <c r="J704" s="14">
        <f>I704-58</f>
        <v/>
      </c>
      <c r="K704" s="14">
        <f>MAX(0,J704)</f>
        <v/>
      </c>
      <c r="L704" s="14">
        <f>MAX(0,-J704)</f>
        <v/>
      </c>
      <c r="M704" s="14">
        <f>M703+I704</f>
        <v/>
      </c>
      <c r="N704" s="14">
        <f>D704+F704-E704</f>
        <v/>
      </c>
      <c r="O704" s="13" t="inlineStr">
        <is>
          <t>能力满足</t>
        </is>
      </c>
      <c r="P704" s="13" t="inlineStr">
        <is>
          <t>ST1 引取(开:45791.5s 加:55.0s 等前:4959.5s 等后:0.0s) | ST2 集约(开:45846.5s 加:106.0s 等前:0.0s 等后:0.0s) | ST3 空气悬挂+快充(开:45952.5s 加:0.0s 等前:0.0s 等后:92.0s) | ST4 四轮定位上、下(开:46044.5s 加:115.0s 等前:0.0s 等后:20.5s) | ST5 ADAS(开:46180.0s 加:97.0s 等前:0.0s 等后:17.5s) | ST6 ARHUD+慢充(开:46294.5s 加:0.0s 等前:0.0s 等后:116.0s) | ST7 转毂(开:46410.5s 加:116.0s 等前:0.0s 等后:0.0s) | ST8 制动(开:46526.5s 加:108.0s 等前:0.0s 等后:1.5s) | ST9 EG漏液/底盘漏液(开:46636.0s 加:115.0s 等前:0.0s 等后:0.0s) | ST10 全景/空调检查(开:46751.0s 加:98.0s 等前:0.0s 等后:0.0s) | ST11 气囊安装+绝缘(开:46849.0s 加:0.0s 等前:0.0s 等后:0.0s) | ST12 L2++(开:46849.0s 加:0.0s 等前:0.0s 等后:58.0s) | ST13 电检1(开:46907.0s 加:0.0s 等前:0.0s 等后:50.0s) | ST14 电检2(开:46957.0s 加:0.0s 等前:0.0s 等后:101.0s) | ST15 小跑道(开:47058.0s 加:51.0s 等前:0.0s 等后:0.0s)</t>
        </is>
      </c>
    </row>
    <row r="705">
      <c r="A705" s="15" t="n">
        <v>704</v>
      </c>
      <c r="B705" s="15" t="inlineStr">
        <is>
          <t>Car#702</t>
        </is>
      </c>
      <c r="C705" s="15" t="inlineStr">
        <is>
          <t>C</t>
        </is>
      </c>
      <c r="D705" s="16" t="n">
        <v>45589.5</v>
      </c>
      <c r="E705" s="16" t="n">
        <v>47159</v>
      </c>
      <c r="F705" s="16" t="n">
        <v>1569.5</v>
      </c>
      <c r="G705" s="16" t="n">
        <v>5077.5</v>
      </c>
      <c r="H705" s="15" t="inlineStr">
        <is>
          <t>Car#705</t>
        </is>
      </c>
      <c r="I705" s="16">
        <f>E705-E704</f>
        <v/>
      </c>
      <c r="J705" s="16">
        <f>I705-58</f>
        <v/>
      </c>
      <c r="K705" s="16">
        <f>MAX(0,J705)</f>
        <v/>
      </c>
      <c r="L705" s="16">
        <f>MAX(0,-J705)</f>
        <v/>
      </c>
      <c r="M705" s="16">
        <f>M704+I705</f>
        <v/>
      </c>
      <c r="N705" s="16">
        <f>D705+F705-E705</f>
        <v/>
      </c>
      <c r="O705" s="15" t="inlineStr">
        <is>
          <t>能力超目标：四轮定位上、下、ARHUD+慢充</t>
        </is>
      </c>
      <c r="P705" s="15" t="inlineStr">
        <is>
          <t>ST1 引取(开:45589.5s 加:56.0s 等前:4931.5s 等后:8.5s) | ST2 集约(开:45654.0s 加:111.0s 等前:0.0s 等后:26.5s) | ST3 空气悬挂+快充(开:45791.5s 加:108.5s 等前:0.0s 等后:35.0s) | ST4 四轮定位上、下(开:45935.0s 加:120.5s 等前:0.0s 等后:0.0s) | ST5 ADAS(开:46055.5s 加:107.0s 等前:0.0s 等后:30.5s) | ST6 ARHUD+慢充(开:46193.0s 加:143.5s 等前:0.0s 等后:0.0s) | ST7 转毂(开:46336.5s 加:114.5s 等前:0.0s 等后:0.0s) | ST8 制动(开:46451.0s 加:114.0s 等前:0.0s 等后:0.0s) | ST9 EG漏液/底盘漏液(开:46565.0s 加:112.5s 等前:0.0s 等后:0.0s) | ST10 全景/空调检查(开:46677.5s 加:0.0s 等前:0.0s 等后:0.0s) | ST11 气囊安装+绝缘(开:46677.5s 加:116.0s 等前:0.0s 等后:0.0s) | ST12 L2++(开:46793.5s 加:88.0s 等前:0.0s 等后:0.0s) | ST13 电检1(开:46881.5s 加:84.5s 等前:0.0s 等后:42.0s) | ST14 电检2(开:47008.0s 加:97.5s 等前:0.0s 等后:3.5s) | ST15 小跑道(开:47109.0s 加:50.0s 等前:0.0s 等后:0.0s)</t>
        </is>
      </c>
    </row>
    <row r="706">
      <c r="A706" s="13" t="n">
        <v>705</v>
      </c>
      <c r="B706" s="13" t="inlineStr">
        <is>
          <t>Car#704</t>
        </is>
      </c>
      <c r="C706" s="13" t="inlineStr">
        <is>
          <t>A</t>
        </is>
      </c>
      <c r="D706" s="14" t="n">
        <v>45709</v>
      </c>
      <c r="E706" s="14" t="n">
        <v>47210</v>
      </c>
      <c r="F706" s="14" t="n">
        <v>1501</v>
      </c>
      <c r="G706" s="14" t="n">
        <v>5575</v>
      </c>
      <c r="H706" s="13" t="inlineStr">
        <is>
          <t>Car#702</t>
        </is>
      </c>
      <c r="I706" s="14">
        <f>E706-E705</f>
        <v/>
      </c>
      <c r="J706" s="14">
        <f>I706-58</f>
        <v/>
      </c>
      <c r="K706" s="14">
        <f>MAX(0,J706)</f>
        <v/>
      </c>
      <c r="L706" s="14">
        <f>MAX(0,-J706)</f>
        <v/>
      </c>
      <c r="M706" s="14">
        <f>M705+I706</f>
        <v/>
      </c>
      <c r="N706" s="14">
        <f>D706+F706-E706</f>
        <v/>
      </c>
      <c r="O706" s="13" t="inlineStr">
        <is>
          <t>能力满足</t>
        </is>
      </c>
      <c r="P706" s="13" t="inlineStr">
        <is>
          <t>ST1 引取(开:45709.0s 加:55.0s 等前:4935.0s 等后:27.5s) | ST2 集约(开:45791.5s 加:106.0s 等前:0.0s 等后:37.5s) | ST3 空气悬挂+快充(开:45935.0s 加:0.0s 等前:0.0s 等后:120.5s) | ST4 四轮定位上、下(开:46055.5s 加:115.0s 等前:0.0s 等后:22.5s) | ST5 ADAS(开:46193.0s 加:97.0s 等前:0.0s 等后:46.5s) | ST6 ARHUD+慢充(开:46336.5s 加:0.0s 等前:0.0s 等后:114.5s) | ST7 转毂(开:46451.0s 加:116.0s 等前:0.0s 等后:0.0s) | ST8 制动(开:46567.0s 加:108.0s 等前:0.0s 等后:2.5s) | ST9 EG漏液/底盘漏液(开:46677.5s 加:115.0s 等前:0.0s 等后:0.0s) | ST10 全景/空调检查(开:46792.5s 加:98.0s 等前:0.0s 等后:0.0s) | ST11 气囊安装+绝缘(开:46890.5s 加:0.0s 等前:0.0s 等后:0.0s) | ST12 L2++(开:46890.5s 加:0.0s 等前:0.0s 等后:117.5s) | ST13 电检1(开:47008.0s 加:0.0s 等前:0.0s 等后:101.0s) | ST14 电检2(开:47109.0s 加:0.0s 等前:0.0s 等后:50.0s) | ST15 小跑道(开:47159.0s 加:51.0s 等前:0.0s 等后:0.0s)</t>
        </is>
      </c>
    </row>
    <row r="707">
      <c r="A707" s="15" t="n">
        <v>706</v>
      </c>
      <c r="B707" s="15" t="inlineStr">
        <is>
          <t>Car#706</t>
        </is>
      </c>
      <c r="C707" s="15" t="inlineStr">
        <is>
          <t>B</t>
        </is>
      </c>
      <c r="D707" s="16" t="n">
        <v>45846.5</v>
      </c>
      <c r="E707" s="16" t="n">
        <v>47344</v>
      </c>
      <c r="F707" s="16" t="n">
        <v>1497.5</v>
      </c>
      <c r="G707" s="16" t="n">
        <v>5122.5</v>
      </c>
      <c r="H707" s="15" t="inlineStr">
        <is>
          <t>Car#704</t>
        </is>
      </c>
      <c r="I707" s="16">
        <f>E707-E706</f>
        <v/>
      </c>
      <c r="J707" s="16">
        <f>I707-58</f>
        <v/>
      </c>
      <c r="K707" s="16">
        <f>MAX(0,J707)</f>
        <v/>
      </c>
      <c r="L707" s="16">
        <f>MAX(0,-J707)</f>
        <v/>
      </c>
      <c r="M707" s="16">
        <f>M706+I707</f>
        <v/>
      </c>
      <c r="N707" s="16">
        <f>D707+F707-E707</f>
        <v/>
      </c>
      <c r="O707" s="15" t="inlineStr">
        <is>
          <t>能力超目标：四轮定位上、下</t>
        </is>
      </c>
      <c r="P707" s="15" t="inlineStr">
        <is>
          <t>ST1 引取(开:45846.5s 加:56.0s 等前:4956.5s 等后:32.5s) | ST2 集约(开:45935.0s 加:111.0s 等前:0.0s 等后:9.5s) | ST3 空气悬挂+快充(开:46055.5s 加:108.5s 等前:0.0s 等后:29.0s) | ST4 四轮定位上、下(开:46193.0s 加:120.5s 等前:0.0s 等后:23.0s) | ST5 ADAS(开:46336.5s 加:107.0s 等前:0.0s 等后:7.5s) | ST6 ARHUD+慢充(开:46451.0s 加:51.5s 等前:0.0s 等后:64.5s) | ST7 转毂(开:46567.0s 加:114.5s 等前:0.0s 等后:0.0s) | ST8 制动(开:46681.5s 加:114.0s 等前:0.0s 等后:0.0s) | ST9 EG漏液/底盘漏液(开:46795.5s 加:112.5s 等前:0.0s 等后:0.0s) | ST10 全景/空调检查(开:46908.0s 加:0.0s 等前:0.0s 等后:0.0s) | ST11 气囊安装+绝缘(开:46908.0s 加:116.0s 等前:0.0s 等后:0.0s) | ST12 L2++(开:47024.0s 加:88.0s 等前:0.0s 等后:0.0s) | ST13 电检1(开:47112.0s 加:84.5s 等前:0.0s 等后:0.0s) | ST14 电检2(开:47196.5s 加:97.5s 等前:0.0s 等后:0.0s) | ST15 小跑道(开:47294.0s 加:50.0s 等前:0.0s 等后:0.0s)</t>
        </is>
      </c>
    </row>
    <row r="708">
      <c r="A708" s="13" t="n">
        <v>707</v>
      </c>
      <c r="B708" s="13" t="inlineStr">
        <is>
          <t>Car#707</t>
        </is>
      </c>
      <c r="C708" s="13" t="inlineStr">
        <is>
          <t>C</t>
        </is>
      </c>
      <c r="D708" s="14" t="n">
        <v>45935</v>
      </c>
      <c r="E708" s="14" t="n">
        <v>47394</v>
      </c>
      <c r="F708" s="14" t="n">
        <v>1459</v>
      </c>
      <c r="G708" s="14" t="n">
        <v>5022.5</v>
      </c>
      <c r="H708" s="13" t="inlineStr">
        <is>
          <t>Car#706</t>
        </is>
      </c>
      <c r="I708" s="14">
        <f>E708-E707</f>
        <v/>
      </c>
      <c r="J708" s="14">
        <f>I708-58</f>
        <v/>
      </c>
      <c r="K708" s="14">
        <f>MAX(0,J708)</f>
        <v/>
      </c>
      <c r="L708" s="14">
        <f>MAX(0,-J708)</f>
        <v/>
      </c>
      <c r="M708" s="14">
        <f>M707+I708</f>
        <v/>
      </c>
      <c r="N708" s="14">
        <f>D708+F708-E708</f>
        <v/>
      </c>
      <c r="O708" s="13" t="inlineStr">
        <is>
          <t>能力超目标：四轮定位上、下、ARHUD+慢充</t>
        </is>
      </c>
      <c r="P708" s="13" t="inlineStr">
        <is>
          <t>ST1 引取(开:45935.0s 加:56.0s 等前:4987.0s 等后:0.0s) | ST2 集约(开:45991.0s 加:111.0s 等前:0.0s 等后:0.0s) | ST3 空气悬挂+快充(开:46102.0s 加:108.5s 等前:0.0s 等后:0.0s) | ST4 四轮定位上、下(开:46210.5s 加:120.5s 等前:0.0s 等后:0.0s) | ST5 ADAS(开:46331.0s 加:107.0s 等前:0.0s 等后:0.0s) | ST6 ARHUD+慢充(开:46438.0s 加:143.5s 等前:0.0s 等后:0.0s) | ST7 转毂(开:46581.5s 加:114.5s 等前:0.0s 等后:0.0s) | ST8 制动(开:46696.0s 加:114.0s 等前:0.0s 等后:0.0s) | ST9 EG漏液/底盘漏液(开:46810.0s 加:112.5s 等前:0.0s 等后:0.0s) | ST10 全景/空调检查(开:46922.5s 加:0.0s 等前:0.0s 等后:0.0s) | ST11 气囊安装+绝缘(开:46922.5s 加:116.0s 等前:0.0s 等后:0.0s) | ST12 L2++(开:47038.5s 加:88.0s 等前:0.0s 等后:0.0s) | ST13 电检1(开:47126.5s 加:84.5s 等前:0.0s 等后:0.0s) | ST14 电检2(开:47211.0s 加:97.5s 等前:0.0s 等后:35.5s) | ST15 小跑道(开:47344.0s 加:50.0s 等前:0.0s 等后:0.0s)</t>
        </is>
      </c>
    </row>
    <row r="709">
      <c r="A709" s="15" t="n">
        <v>708</v>
      </c>
      <c r="B709" s="15" t="inlineStr">
        <is>
          <t>Car#708</t>
        </is>
      </c>
      <c r="C709" s="15" t="inlineStr">
        <is>
          <t>C</t>
        </is>
      </c>
      <c r="D709" s="16" t="n">
        <v>45991</v>
      </c>
      <c r="E709" s="16" t="n">
        <v>47487.5</v>
      </c>
      <c r="F709" s="16" t="n">
        <v>1496.5</v>
      </c>
      <c r="G709" s="16" t="n">
        <v>5058</v>
      </c>
      <c r="H709" s="15" t="inlineStr">
        <is>
          <t>Car#707</t>
        </is>
      </c>
      <c r="I709" s="16">
        <f>E709-E708</f>
        <v/>
      </c>
      <c r="J709" s="16">
        <f>I709-58</f>
        <v/>
      </c>
      <c r="K709" s="16">
        <f>MAX(0,J709)</f>
        <v/>
      </c>
      <c r="L709" s="16">
        <f>MAX(0,-J709)</f>
        <v/>
      </c>
      <c r="M709" s="16">
        <f>M708+I709</f>
        <v/>
      </c>
      <c r="N709" s="16">
        <f>D709+F709-E709</f>
        <v/>
      </c>
      <c r="O709" s="15" t="inlineStr">
        <is>
          <t>能力超目标：四轮定位上、下、ARHUD+慢充</t>
        </is>
      </c>
      <c r="P709" s="15" t="inlineStr">
        <is>
          <t>ST1 引取(开:45991.0s 加:56.0s 等前:4985.0s 等后:8.5s) | ST2 集约(开:46055.5s 加:111.0s 等前:0.0s 等后:26.5s) | ST3 空气悬挂+快充(开:46193.0s 加:108.5s 等前:0.0s 等后:35.0s) | ST4 四轮定位上、下(开:46336.5s 加:120.5s 等前:0.0s 等后:0.0s) | ST5 ADAS(开:46457.0s 加:107.0s 等前:0.0s 等后:3.0s) | ST6 ARHUD+慢充(开:46567.0s 加:143.5s 等前:0.0s 等后:0.0s) | ST7 转毂(开:46710.5s 加:114.5s 等前:0.0s 等后:0.0s) | ST8 制动(开:46825.0s 加:114.0s 等前:0.0s 等后:0.0s) | ST9 EG漏液/底盘漏液(开:46939.0s 加:112.5s 等前:0.0s 等后:0.0s) | ST10 全景/空调检查(开:47051.5s 加:0.0s 等前:0.0s 等后:0.0s) | ST11 气囊安装+绝缘(开:47051.5s 加:116.0s 等前:0.0s 等后:0.0s) | ST12 L2++(开:47167.5s 加:88.0s 等前:0.0s 等后:0.0s) | ST13 电检1(开:47255.5s 加:84.5s 等前:0.0s 等后:0.0s) | ST14 电检2(开:47340.0s 加:97.5s 等前:0.0s 等后:0.0s) | ST15 小跑道(开:47437.5s 加:50.0s 等前:0.0s 等后:0.0s)</t>
        </is>
      </c>
    </row>
    <row r="710">
      <c r="A710" s="13" t="n">
        <v>709</v>
      </c>
      <c r="B710" s="13" t="inlineStr">
        <is>
          <t>Car#709</t>
        </is>
      </c>
      <c r="C710" s="13" t="inlineStr">
        <is>
          <t>C</t>
        </is>
      </c>
      <c r="D710" s="14" t="n">
        <v>46055.5</v>
      </c>
      <c r="E710" s="14" t="n">
        <v>47537.5</v>
      </c>
      <c r="F710" s="14" t="n">
        <v>1482</v>
      </c>
      <c r="G710" s="14" t="n">
        <v>5050</v>
      </c>
      <c r="H710" s="13" t="inlineStr">
        <is>
          <t>Car#708</t>
        </is>
      </c>
      <c r="I710" s="14">
        <f>E710-E709</f>
        <v/>
      </c>
      <c r="J710" s="14">
        <f>I710-58</f>
        <v/>
      </c>
      <c r="K710" s="14">
        <f>MAX(0,J710)</f>
        <v/>
      </c>
      <c r="L710" s="14">
        <f>MAX(0,-J710)</f>
        <v/>
      </c>
      <c r="M710" s="14">
        <f>M709+I710</f>
        <v/>
      </c>
      <c r="N710" s="14">
        <f>D710+F710-E710</f>
        <v/>
      </c>
      <c r="O710" s="13" t="inlineStr">
        <is>
          <t>能力超目标：四轮定位上、下、ARHUD+慢充</t>
        </is>
      </c>
      <c r="P710" s="13" t="inlineStr">
        <is>
          <t>ST1 引取(开:46055.5s 加:56.0s 等前:4991.5s 等后:0.0s) | ST2 集约(开:46111.5s 加:111.0s 等前:0.0s 等后:0.0s) | ST3 空气悬挂+快充(开:46222.5s 加:108.5s 等前:0.0s 等后:0.0s) | ST4 四轮定位上、下(开:46331.0s 加:120.5s 等前:0.0s 等后:0.0s) | ST5 ADAS(开:46451.5s 加:107.0s 等前:0.0s 等后:23.0s) | ST6 ARHUD+慢充(开:46581.5s 加:143.5s 等前:0.0s 等后:0.0s) | ST7 转毂(开:46725.0s 加:114.5s 等前:0.0s 等后:0.0s) | ST8 制动(开:46839.5s 加:114.0s 等前:0.0s 等后:0.0s) | ST9 EG漏液/底盘漏液(开:46953.5s 加:112.5s 等前:0.0s 等后:0.0s) | ST10 全景/空调检查(开:47066.0s 加:0.0s 等前:0.0s 等后:0.0s) | ST11 气囊安装+绝缘(开:47066.0s 加:116.0s 等前:0.0s 等后:0.0s) | ST12 L2++(开:47182.0s 加:88.0s 等前:0.0s 等后:0.0s) | ST13 电检1(开:47270.0s 加:84.5s 等前:0.0s 等后:0.0s) | ST14 电检2(开:47354.5s 加:97.5s 等前:0.0s 等后:35.5s) | ST15 小跑道(开:47487.5s 加:50.0s 等前:0.0s 等后:0.0s)</t>
        </is>
      </c>
    </row>
    <row r="711">
      <c r="A711" s="15" t="n">
        <v>710</v>
      </c>
      <c r="B711" s="15" t="inlineStr">
        <is>
          <t>Car#710</t>
        </is>
      </c>
      <c r="C711" s="15" t="inlineStr">
        <is>
          <t>B</t>
        </is>
      </c>
      <c r="D711" s="16" t="n">
        <v>46111.5</v>
      </c>
      <c r="E711" s="16" t="n">
        <v>47603.5</v>
      </c>
      <c r="F711" s="16" t="n">
        <v>1492</v>
      </c>
      <c r="G711" s="16" t="n">
        <v>5150</v>
      </c>
      <c r="H711" s="15" t="inlineStr">
        <is>
          <t>Car#709</t>
        </is>
      </c>
      <c r="I711" s="16">
        <f>E711-E710</f>
        <v/>
      </c>
      <c r="J711" s="16">
        <f>I711-58</f>
        <v/>
      </c>
      <c r="K711" s="16">
        <f>MAX(0,J711)</f>
        <v/>
      </c>
      <c r="L711" s="16">
        <f>MAX(0,-J711)</f>
        <v/>
      </c>
      <c r="M711" s="16">
        <f>M710+I711</f>
        <v/>
      </c>
      <c r="N711" s="16">
        <f>D711+F711-E711</f>
        <v/>
      </c>
      <c r="O711" s="15" t="inlineStr">
        <is>
          <t>能力超目标：四轮定位上、下</t>
        </is>
      </c>
      <c r="P711" s="15" t="inlineStr">
        <is>
          <t>ST1 引取(开:46111.5s 加:56.0s 等前:4989.5s 等后:25.5s) | ST2 集约(开:46193.0s 加:111.0s 等前:0.0s 等后:32.5s) | ST3 空气悬挂+快充(开:46336.5s 加:108.5s 等前:0.0s 等后:12.0s) | ST4 四轮定位上、下(开:46457.0s 加:120.5s 等前:0.0s 等后:0.0s) | ST5 ADAS(开:46577.5s 加:107.0s 等前:0.0s 等后:26.0s) | ST6 ARHUD+慢充(开:46710.5s 加:51.5s 等前:0.0s 等后:63.0s) | ST7 转毂(开:46825.0s 加:114.5s 等前:0.0s 等后:0.0s) | ST8 制动(开:46939.5s 加:114.0s 等前:0.0s 等后:0.0s) | ST9 EG漏液/底盘漏液(开:47053.5s 加:112.5s 等前:0.0s 等后:0.0s) | ST10 全景/空调检查(开:47166.0s 加:0.0s 等前:0.0s 等后:1.5s) | ST11 气囊安装+绝缘(开:47167.5s 加:116.0s 等前:0.0s 等后:0.0s) | ST12 L2++(开:47283.5s 加:88.0s 等前:0.0s 等后:0.0s) | ST13 电检1(开:47371.5s 加:84.5s 等前:0.0s 等后:0.0s) | ST14 电检2(开:47456.0s 加:97.5s 等前:0.0s 等后:0.0s) | ST15 小跑道(开:47553.5s 加:50.0s 等前:0.0s 等后:0.0s)</t>
        </is>
      </c>
    </row>
    <row r="712">
      <c r="A712" s="13" t="n">
        <v>711</v>
      </c>
      <c r="B712" s="13" t="inlineStr">
        <is>
          <t>Car#711</t>
        </is>
      </c>
      <c r="C712" s="13" t="inlineStr">
        <is>
          <t>B</t>
        </is>
      </c>
      <c r="D712" s="14" t="n">
        <v>46193</v>
      </c>
      <c r="E712" s="14" t="n">
        <v>47653.5</v>
      </c>
      <c r="F712" s="14" t="n">
        <v>1460.5</v>
      </c>
      <c r="G712" s="14" t="n">
        <v>5142</v>
      </c>
      <c r="H712" s="13" t="inlineStr">
        <is>
          <t>Car#710</t>
        </is>
      </c>
      <c r="I712" s="14">
        <f>E712-E711</f>
        <v/>
      </c>
      <c r="J712" s="14">
        <f>I712-58</f>
        <v/>
      </c>
      <c r="K712" s="14">
        <f>MAX(0,J712)</f>
        <v/>
      </c>
      <c r="L712" s="14">
        <f>MAX(0,-J712)</f>
        <v/>
      </c>
      <c r="M712" s="14">
        <f>M711+I712</f>
        <v/>
      </c>
      <c r="N712" s="14">
        <f>D712+F712-E712</f>
        <v/>
      </c>
      <c r="O712" s="13" t="inlineStr">
        <is>
          <t>能力超目标：四轮定位上、下</t>
        </is>
      </c>
      <c r="P712" s="13" t="inlineStr">
        <is>
          <t>ST1 引取(开:46193.0s 加:56.0s 等前:5013.0s 等后:0.0s) | ST2 集约(开:46249.0s 加:111.0s 等前:0.0s 等后:0.0s) | ST3 空气悬挂+快充(开:46360.0s 加:108.5s 等前:0.0s 等后:0.0s) | ST4 四轮定位上、下(开:46468.5s 加:120.5s 等前:0.0s 等后:0.0s) | ST5 ADAS(开:46589.0s 加:107.0s 等前:0.0s 等后:29.0s) | ST6 ARHUD+慢充(开:46725.0s 加:51.5s 等前:0.0s 等后:63.0s) | ST7 转毂(开:46839.5s 加:114.5s 等前:0.0s 等后:0.0s) | ST8 制动(开:46954.0s 加:114.0s 等前:0.0s 等后:0.0s) | ST9 EG漏液/底盘漏液(开:47068.0s 加:112.5s 等前:0.0s 等后:0.0s) | ST10 全景/空调检查(开:47180.5s 加:0.0s 等前:0.0s 等后:1.5s) | ST11 气囊安装+绝缘(开:47182.0s 加:116.0s 等前:0.0s 等后:0.0s) | ST12 L2++(开:47298.0s 加:88.0s 等前:0.0s 等后:0.0s) | ST13 电检1(开:47386.0s 加:84.5s 等前:0.0s 等后:17.0s) | ST14 电检2(开:47487.5s 加:97.5s 等前:0.0s 等后:18.5s) | ST15 小跑道(开:47603.5s 加:50.0s 等前:0.0s 等后:0.0s)</t>
        </is>
      </c>
    </row>
    <row r="713">
      <c r="A713" s="15" t="n">
        <v>712</v>
      </c>
      <c r="B713" s="15" t="inlineStr">
        <is>
          <t>Car#712</t>
        </is>
      </c>
      <c r="C713" s="15" t="inlineStr">
        <is>
          <t>C</t>
        </is>
      </c>
      <c r="D713" s="16" t="n">
        <v>46249</v>
      </c>
      <c r="E713" s="16" t="n">
        <v>47745.5</v>
      </c>
      <c r="F713" s="16" t="n">
        <v>1496.5</v>
      </c>
      <c r="G713" s="16" t="n">
        <v>5084</v>
      </c>
      <c r="H713" s="15" t="inlineStr">
        <is>
          <t>Car#711</t>
        </is>
      </c>
      <c r="I713" s="16">
        <f>E713-E712</f>
        <v/>
      </c>
      <c r="J713" s="16">
        <f>I713-58</f>
        <v/>
      </c>
      <c r="K713" s="16">
        <f>MAX(0,J713)</f>
        <v/>
      </c>
      <c r="L713" s="16">
        <f>MAX(0,-J713)</f>
        <v/>
      </c>
      <c r="M713" s="16">
        <f>M712+I713</f>
        <v/>
      </c>
      <c r="N713" s="16">
        <f>D713+F713-E713</f>
        <v/>
      </c>
      <c r="O713" s="15" t="inlineStr">
        <is>
          <t>能力超目标：四轮定位上、下、ARHUD+慢充</t>
        </is>
      </c>
      <c r="P713" s="15" t="inlineStr">
        <is>
          <t>ST1 引取(开:46249.0s 加:56.0s 等前:5011.0s 等后:31.5s) | ST2 集约(开:46336.5s 加:111.0s 等前:0.0s 等后:9.5s) | ST3 空气悬挂+快充(开:46457.0s 加:108.5s 等前:0.0s 等后:12.0s) | ST4 四轮定位上、下(开:46577.5s 加:120.5s 等前:0.0s 等后:12.5s) | ST5 ADAS(开:46710.5s 加:107.0s 等前:0.0s 等后:7.5s) | ST6 ARHUD+慢充(开:46825.0s 加:143.5s 等前:0.0s 等后:0.0s) | ST7 转毂(开:46968.5s 加:114.5s 等前:0.0s 等后:0.0s) | ST8 制动(开:47083.0s 加:114.0s 等前:0.0s 等后:0.0s) | ST9 EG漏液/底盘漏液(开:47197.0s 加:112.5s 等前:0.0s 等后:0.0s) | ST10 全景/空调检查(开:47309.5s 加:0.0s 等前:0.0s 等后:0.0s) | ST11 气囊安装+绝缘(开:47309.5s 加:116.0s 等前:0.0s 等后:0.0s) | ST12 L2++(开:47425.5s 加:88.0s 等前:0.0s 等后:0.0s) | ST13 电检1(开:47513.5s 加:84.5s 等前:0.0s 等后:0.0s) | ST14 电检2(开:47598.0s 加:97.5s 等前:0.0s 等后:0.0s) | ST15 小跑道(开:47695.5s 加:50.0s 等前:0.0s 等后:0.0s)</t>
        </is>
      </c>
    </row>
    <row r="714">
      <c r="A714" s="13" t="n">
        <v>713</v>
      </c>
      <c r="B714" s="13" t="inlineStr">
        <is>
          <t>Car#713</t>
        </is>
      </c>
      <c r="C714" s="13" t="inlineStr">
        <is>
          <t>C</t>
        </is>
      </c>
      <c r="D714" s="14" t="n">
        <v>46336.5</v>
      </c>
      <c r="E714" s="14" t="n">
        <v>47795.5</v>
      </c>
      <c r="F714" s="14" t="n">
        <v>1459</v>
      </c>
      <c r="G714" s="14" t="n">
        <v>5076</v>
      </c>
      <c r="H714" s="13" t="inlineStr">
        <is>
          <t>Car#712</t>
        </is>
      </c>
      <c r="I714" s="14">
        <f>E714-E713</f>
        <v/>
      </c>
      <c r="J714" s="14">
        <f>I714-58</f>
        <v/>
      </c>
      <c r="K714" s="14">
        <f>MAX(0,J714)</f>
        <v/>
      </c>
      <c r="L714" s="14">
        <f>MAX(0,-J714)</f>
        <v/>
      </c>
      <c r="M714" s="14">
        <f>M713+I714</f>
        <v/>
      </c>
      <c r="N714" s="14">
        <f>D714+F714-E714</f>
        <v/>
      </c>
      <c r="O714" s="13" t="inlineStr">
        <is>
          <t>能力超目标：四轮定位上、下、ARHUD+慢充</t>
        </is>
      </c>
      <c r="P714" s="13" t="inlineStr">
        <is>
          <t>ST1 引取(开:46336.5s 加:56.0s 等前:5040.5s 等后:0.0s) | ST2 集约(开:46392.5s 加:111.0s 等前:0.0s 等后:0.0s) | ST3 空气悬挂+快充(开:46503.5s 加:108.5s 等前:0.0s 等后:0.0s) | ST4 四轮定位上、下(开:46612.0s 加:120.5s 等前:0.0s 等后:0.0s) | ST5 ADAS(开:46732.5s 加:107.0s 等前:0.0s 等后:0.0s) | ST6 ARHUD+慢充(开:46839.5s 加:143.5s 等前:0.0s 等后:0.0s) | ST7 转毂(开:46983.0s 加:114.5s 等前:0.0s 等后:0.0s) | ST8 制动(开:47097.5s 加:114.0s 等前:0.0s 等后:0.0s) | ST9 EG漏液/底盘漏液(开:47211.5s 加:112.5s 等前:0.0s 等后:0.0s) | ST10 全景/空调检查(开:47324.0s 加:0.0s 等前:0.0s 等后:0.0s) | ST11 气囊安装+绝缘(开:47324.0s 加:116.0s 等前:0.0s 等后:0.0s) | ST12 L2++(开:47440.0s 加:88.0s 等前:0.0s 等后:0.0s) | ST13 电检1(开:47528.0s 加:84.5s 等前:0.0s 等后:0.0s) | ST14 电检2(开:47612.5s 加:97.5s 等前:0.0s 等后:35.5s) | ST15 小跑道(开:47745.5s 加:50.0s 等前:0.0s 等后:0.0s)</t>
        </is>
      </c>
    </row>
    <row r="715">
      <c r="A715" s="15" t="n">
        <v>714</v>
      </c>
      <c r="B715" s="15" t="inlineStr">
        <is>
          <t>Car#714</t>
        </is>
      </c>
      <c r="C715" s="15" t="inlineStr">
        <is>
          <t>C</t>
        </is>
      </c>
      <c r="D715" s="16" t="n">
        <v>46392.5</v>
      </c>
      <c r="E715" s="16" t="n">
        <v>47889</v>
      </c>
      <c r="F715" s="16" t="n">
        <v>1496.5</v>
      </c>
      <c r="G715" s="16" t="n">
        <v>5111.5</v>
      </c>
      <c r="H715" s="15" t="inlineStr">
        <is>
          <t>Car#713</t>
        </is>
      </c>
      <c r="I715" s="16">
        <f>E715-E714</f>
        <v/>
      </c>
      <c r="J715" s="16">
        <f>I715-58</f>
        <v/>
      </c>
      <c r="K715" s="16">
        <f>MAX(0,J715)</f>
        <v/>
      </c>
      <c r="L715" s="16">
        <f>MAX(0,-J715)</f>
        <v/>
      </c>
      <c r="M715" s="16">
        <f>M714+I715</f>
        <v/>
      </c>
      <c r="N715" s="16">
        <f>D715+F715-E715</f>
        <v/>
      </c>
      <c r="O715" s="15" t="inlineStr">
        <is>
          <t>能力超目标：四轮定位上、下、ARHUD+慢充</t>
        </is>
      </c>
      <c r="P715" s="15" t="inlineStr">
        <is>
          <t>ST1 引取(开:46392.5s 加:56.0s 等前:5038.5s 等后:8.5s) | ST2 集约(开:46457.0s 加:111.0s 等前:0.0s 等后:9.5s) | ST3 空气悬挂+快充(开:46577.5s 加:108.5s 等前:0.0s 等后:24.5s) | ST4 四轮定位上、下(开:46710.5s 加:120.5s 等前:0.0s 等后:0.0s) | ST5 ADAS(开:46831.0s 加:107.0s 等前:0.0s 等后:30.5s) | ST6 ARHUD+慢充(开:46968.5s 加:143.5s 等前:0.0s 等后:0.0s) | ST7 转毂(开:47112.0s 加:114.5s 等前:0.0s 等后:0.0s) | ST8 制动(开:47226.5s 加:114.0s 等前:0.0s 等后:0.0s) | ST9 EG漏液/底盘漏液(开:47340.5s 加:112.5s 等前:0.0s 等后:0.0s) | ST10 全景/空调检查(开:47453.0s 加:0.0s 等前:0.0s 等后:0.0s) | ST11 气囊安装+绝缘(开:47453.0s 加:116.0s 等前:0.0s 等后:0.0s) | ST12 L2++(开:47569.0s 加:88.0s 等前:0.0s 等后:0.0s) | ST13 电检1(开:47657.0s 加:84.5s 等前:0.0s 等后:0.0s) | ST14 电检2(开:47741.5s 加:97.5s 等前:0.0s 等后:0.0s) | ST15 小跑道(开:47839.0s 加:50.0s 等前:0.0s 等后:0.0s)</t>
        </is>
      </c>
    </row>
    <row r="716">
      <c r="A716" s="13" t="n">
        <v>715</v>
      </c>
      <c r="B716" s="13" t="inlineStr">
        <is>
          <t>Car#716</t>
        </is>
      </c>
      <c r="C716" s="13" t="inlineStr">
        <is>
          <t>A</t>
        </is>
      </c>
      <c r="D716" s="14" t="n">
        <v>46513</v>
      </c>
      <c r="E716" s="14" t="n">
        <v>47940</v>
      </c>
      <c r="F716" s="14" t="n">
        <v>1427</v>
      </c>
      <c r="G716" s="14" t="n">
        <v>5609</v>
      </c>
      <c r="H716" s="13" t="inlineStr">
        <is>
          <t>Car#714</t>
        </is>
      </c>
      <c r="I716" s="14">
        <f>E716-E715</f>
        <v/>
      </c>
      <c r="J716" s="14">
        <f>I716-58</f>
        <v/>
      </c>
      <c r="K716" s="14">
        <f>MAX(0,J716)</f>
        <v/>
      </c>
      <c r="L716" s="14">
        <f>MAX(0,-J716)</f>
        <v/>
      </c>
      <c r="M716" s="14">
        <f>M715+I716</f>
        <v/>
      </c>
      <c r="N716" s="14">
        <f>D716+F716-E716</f>
        <v/>
      </c>
      <c r="O716" s="13" t="inlineStr">
        <is>
          <t>能力满足</t>
        </is>
      </c>
      <c r="P716" s="13" t="inlineStr">
        <is>
          <t>ST1 引取(开:46513.0s 加:55.0s 等前:5043.0s 等后:9.5s) | ST2 集约(开:46577.5s 加:106.0s 等前:0.0s 等后:27.0s) | ST3 空气悬挂+快充(开:46710.5s 加:0.0s 等前:0.0s 等后:120.5s) | ST4 四轮定位上、下(开:46831.0s 加:115.0s 等前:0.0s 等后:22.5s) | ST5 ADAS(开:46968.5s 加:97.0s 等前:0.0s 等后:46.5s) | ST6 ARHUD+慢充(开:47112.0s 加:0.0s 等前:0.0s 等后:114.5s) | ST7 转毂(开:47226.5s 加:116.0s 等前:0.0s 等后:0.0s) | ST8 制动(开:47342.5s 加:108.0s 等前:0.0s 等后:2.5s) | ST9 EG漏液/底盘漏液(开:47453.0s 加:115.0s 等前:0.0s 等后:0.0s) | ST10 全景/空调检查(开:47568.0s 加:98.0s 等前:0.0s 等后:0.0s) | ST11 气囊安装+绝缘(开:47666.0s 加:0.0s 等前:0.0s 等后:0.0s) | ST12 L2++(开:47666.0s 加:0.0s 等前:0.0s 等后:75.5s) | ST13 电检1(开:47741.5s 加:0.0s 等前:0.0s 等后:97.5s) | ST14 电检2(开:47839.0s 加:0.0s 等前:0.0s 等后:50.0s) | ST15 小跑道(开:47889.0s 加:51.0s 等前:0.0s 等后:0.0s)</t>
        </is>
      </c>
    </row>
    <row r="717">
      <c r="A717" s="15" t="n">
        <v>716</v>
      </c>
      <c r="B717" s="15" t="inlineStr">
        <is>
          <t>Car#715</t>
        </is>
      </c>
      <c r="C717" s="15" t="inlineStr">
        <is>
          <t>C</t>
        </is>
      </c>
      <c r="D717" s="16" t="n">
        <v>46457</v>
      </c>
      <c r="E717" s="16" t="n">
        <v>47990</v>
      </c>
      <c r="F717" s="16" t="n">
        <v>1533</v>
      </c>
      <c r="G717" s="16" t="n">
        <v>5154.5</v>
      </c>
      <c r="H717" s="15" t="inlineStr">
        <is>
          <t>Car#716</t>
        </is>
      </c>
      <c r="I717" s="16">
        <f>E717-E716</f>
        <v/>
      </c>
      <c r="J717" s="16">
        <f>I717-58</f>
        <v/>
      </c>
      <c r="K717" s="16">
        <f>MAX(0,J717)</f>
        <v/>
      </c>
      <c r="L717" s="16">
        <f>MAX(0,-J717)</f>
        <v/>
      </c>
      <c r="M717" s="16">
        <f>M716+I717</f>
        <v/>
      </c>
      <c r="N717" s="16">
        <f>D717+F717-E717</f>
        <v/>
      </c>
      <c r="O717" s="15" t="inlineStr">
        <is>
          <t>能力超目标：四轮定位上、下、ARHUD+慢充</t>
        </is>
      </c>
      <c r="P717" s="15" t="inlineStr">
        <is>
          <t>ST1 引取(开:46457.0s 加:56.0s 等前:5045.0s 等后:0.0s) | ST2 集约(开:46513.0s 加:111.0s 等前:0.0s 等后:0.0s) | ST3 空气悬挂+快充(开:46624.0s 加:108.5s 等前:0.0s 等后:0.0s) | ST4 四轮定位上、下(开:46732.5s 加:120.5s 等前:0.0s 等后:0.0s) | ST5 ADAS(开:46853.0s 加:107.0s 等前:0.0s 等后:23.0s) | ST6 ARHUD+慢充(开:46983.0s 加:143.5s 等前:0.0s 等后:0.0s) | ST7 转毂(开:47126.5s 加:114.5s 等前:0.0s 等后:0.0s) | ST8 制动(开:47241.0s 加:114.0s 等前:0.0s 等后:0.0s) | ST9 EG漏液/底盘漏液(开:47355.0s 加:112.5s 等前:0.0s 等后:0.0s) | ST10 全景/空调检查(开:47467.5s 加:0.0s 等前:0.0s 等后:0.0s) | ST11 气囊安装+绝缘(开:47467.5s 加:116.0s 等前:0.0s 等后:0.0s) | ST12 L2++(开:47583.5s 加:88.0s 等前:0.0s 等后:0.0s) | ST13 电检1(开:47671.5s 加:84.5s 等前:0.0s 等后:0.0s) | ST14 电检2(开:47756.0s 加:97.5s 等前:0.0s 等后:86.5s) | ST15 小跑道(开:47940.0s 加:50.0s 等前:0.0s 等后:0.0s)</t>
        </is>
      </c>
    </row>
    <row r="718">
      <c r="A718" s="13" t="n">
        <v>717</v>
      </c>
      <c r="B718" s="13" t="inlineStr">
        <is>
          <t>Car#717</t>
        </is>
      </c>
      <c r="C718" s="13" t="inlineStr">
        <is>
          <t>B</t>
        </is>
      </c>
      <c r="D718" s="14" t="n">
        <v>46577.5</v>
      </c>
      <c r="E718" s="14" t="n">
        <v>48087.5</v>
      </c>
      <c r="F718" s="14" t="n">
        <v>1510</v>
      </c>
      <c r="G718" s="14" t="n">
        <v>5228</v>
      </c>
      <c r="H718" s="13" t="inlineStr">
        <is>
          <t>Car#715</t>
        </is>
      </c>
      <c r="I718" s="14">
        <f>E718-E717</f>
        <v/>
      </c>
      <c r="J718" s="14">
        <f>I718-58</f>
        <v/>
      </c>
      <c r="K718" s="14">
        <f>MAX(0,J718)</f>
        <v/>
      </c>
      <c r="L718" s="14">
        <f>MAX(0,-J718)</f>
        <v/>
      </c>
      <c r="M718" s="14">
        <f>M717+I718</f>
        <v/>
      </c>
      <c r="N718" s="14">
        <f>D718+F718-E718</f>
        <v/>
      </c>
      <c r="O718" s="13" t="inlineStr">
        <is>
          <t>能力超目标：四轮定位上、下</t>
        </is>
      </c>
      <c r="P718" s="13" t="inlineStr">
        <is>
          <t>ST1 引取(开:46577.5s 加:56.0s 等前:5049.5s 等后:0.0s) | ST2 集约(开:46633.5s 加:111.0s 等前:0.0s 等后:0.0s) | ST3 空气悬挂+快充(开:46744.5s 加:108.5s 等前:0.0s 等后:0.0s) | ST4 四轮定位上、下(开:46853.0s 加:120.5s 等前:0.0s 等后:9.5s) | ST5 ADAS(开:46983.0s 加:107.0s 等前:0.0s 等后:36.5s) | ST6 ARHUD+慢充(开:47126.5s 加:51.5s 等前:0.0s 等后:63.0s) | ST7 转毂(开:47241.0s 加:114.5s 等前:0.0s 等后:0.0s) | ST8 制动(开:47355.5s 加:114.0s 等前:0.0s 等后:0.0s) | ST9 EG漏液/底盘漏液(开:47469.5s 加:112.5s 等前:0.0s 等后:0.0s) | ST10 全景/空调检查(开:47582.0s 加:0.0s 等前:0.0s 等后:1.5s) | ST11 气囊安装+绝缘(开:47583.5s 加:116.0s 等前:0.0s 等后:0.0s) | ST12 L2++(开:47699.5s 加:88.0s 等前:0.0s 等后:0.0s) | ST13 电检1(开:47787.5s 加:84.5s 等前:0.0s 等后:68.0s) | ST14 电检2(开:47940.0s 加:97.5s 等前:0.0s 等后:0.0s) | ST15 小跑道(开:48037.5s 加:50.0s 等前:0.0s 等后:0.0s)</t>
        </is>
      </c>
    </row>
    <row r="719">
      <c r="A719" s="15" t="n">
        <v>718</v>
      </c>
      <c r="B719" s="15" t="inlineStr">
        <is>
          <t>Car#718</t>
        </is>
      </c>
      <c r="C719" s="15" t="inlineStr">
        <is>
          <t>B</t>
        </is>
      </c>
      <c r="D719" s="16" t="n">
        <v>46633.5</v>
      </c>
      <c r="E719" s="16" t="n">
        <v>48137.5</v>
      </c>
      <c r="F719" s="16" t="n">
        <v>1504</v>
      </c>
      <c r="G719" s="16" t="n">
        <v>5220</v>
      </c>
      <c r="H719" s="15" t="inlineStr">
        <is>
          <t>Car#717</t>
        </is>
      </c>
      <c r="I719" s="16">
        <f>E719-E718</f>
        <v/>
      </c>
      <c r="J719" s="16">
        <f>I719-58</f>
        <v/>
      </c>
      <c r="K719" s="16">
        <f>MAX(0,J719)</f>
        <v/>
      </c>
      <c r="L719" s="16">
        <f>MAX(0,-J719)</f>
        <v/>
      </c>
      <c r="M719" s="16">
        <f>M718+I719</f>
        <v/>
      </c>
      <c r="N719" s="16">
        <f>D719+F719-E719</f>
        <v/>
      </c>
      <c r="O719" s="15" t="inlineStr">
        <is>
          <t>能力超目标：四轮定位上、下</t>
        </is>
      </c>
      <c r="P719" s="15" t="inlineStr">
        <is>
          <t>ST1 引取(开:46633.5s 加:56.0s 等前:5047.5s 等后:21.0s) | ST2 集约(开:46710.5s 加:111.0s 等前:0.0s 等后:9.5s) | ST3 空气悬挂+快充(开:46831.0s 加:108.5s 等前:0.0s 等后:29.0s) | ST4 四轮定位上、下(开:46968.5s 加:120.5s 等前:0.0s 等后:23.0s) | ST5 ADAS(开:47112.0s 加:107.0s 等前:0.0s 等后:7.5s) | ST6 ARHUD+慢充(开:47226.5s 加:51.5s 等前:0.0s 等后:64.5s) | ST7 转毂(开:47342.5s 加:114.5s 等前:0.0s 等后:0.0s) | ST8 制动(开:47457.0s 加:114.0s 等前:0.0s 等后:0.0s) | ST9 EG漏液/底盘漏液(开:47571.0s 加:112.5s 等前:0.0s 等后:0.0s) | ST10 全景/空调检查(开:47683.5s 加:0.0s 等前:0.0s 等后:0.0s) | ST11 气囊安装+绝缘(开:47683.5s 加:116.0s 等前:0.0s 等后:0.0s) | ST12 L2++(开:47799.5s 加:88.0s 等前:0.0s 等后:0.0s) | ST13 电检1(开:47887.5s 加:84.5s 等前:0.0s 等后:0.0s) | ST14 电检2(开:47972.0s 加:97.5s 等前:0.0s 等后:18.0s) | ST15 小跑道(开:48087.5s 加:50.0s 等前:0.0s 等后:0.0s)</t>
        </is>
      </c>
    </row>
    <row r="720">
      <c r="A720" s="13" t="n">
        <v>719</v>
      </c>
      <c r="B720" s="13" t="inlineStr">
        <is>
          <t>Car#720</t>
        </is>
      </c>
      <c r="C720" s="13" t="inlineStr">
        <is>
          <t>A</t>
        </is>
      </c>
      <c r="D720" s="14" t="n">
        <v>46766.5</v>
      </c>
      <c r="E720" s="14" t="n">
        <v>48188.5</v>
      </c>
      <c r="F720" s="14" t="n">
        <v>1422</v>
      </c>
      <c r="G720" s="14" t="n">
        <v>5625.5</v>
      </c>
      <c r="H720" s="13" t="inlineStr">
        <is>
          <t>Car#718</t>
        </is>
      </c>
      <c r="I720" s="14">
        <f>E720-E719</f>
        <v/>
      </c>
      <c r="J720" s="14">
        <f>I720-58</f>
        <v/>
      </c>
      <c r="K720" s="14">
        <f>MAX(0,J720)</f>
        <v/>
      </c>
      <c r="L720" s="14">
        <f>MAX(0,-J720)</f>
        <v/>
      </c>
      <c r="M720" s="14">
        <f>M719+I720</f>
        <v/>
      </c>
      <c r="N720" s="14">
        <f>D720+F720-E720</f>
        <v/>
      </c>
      <c r="O720" s="13" t="inlineStr">
        <is>
          <t>能力满足</t>
        </is>
      </c>
      <c r="P720" s="13" t="inlineStr">
        <is>
          <t>ST1 引取(开:46766.5s 加:55.0s 等前:5064.5s 等后:9.5s) | ST2 集约(开:46831.0s 加:106.0s 等前:0.0s 等后:31.5s) | ST3 空气悬挂+快充(开:46968.5s 加:0.0s 等前:0.0s 等后:143.5s) | ST4 四轮定位上、下(开:47112.0s 加:115.0s 等前:0.0s 等后:0.0s) | ST5 ADAS(开:47227.0s 加:97.0s 等前:0.0s 等后:18.5s) | ST6 ARHUD+慢充(开:47342.5s 加:0.0s 等前:0.0s 等后:114.5s) | ST7 转毂(开:47457.0s 加:116.0s 等前:0.0s 等后:0.0s) | ST8 制动(开:47573.0s 加:108.0s 等前:0.0s 等后:2.5s) | ST9 EG漏液/底盘漏液(开:47683.5s 加:115.0s 等前:0.0s 等后:0.0s) | ST10 全景/空调检查(开:47798.5s 加:98.0s 等前:0.0s 等后:0.0s) | ST11 气囊安装+绝缘(开:47896.5s 加:0.0s 等前:0.0s 等后:0.0s) | ST12 L2++(开:47896.5s 加:0.0s 等前:0.0s 等后:75.5s) | ST13 电检1(开:47972.0s 加:0.0s 等前:0.0s 等后:115.5s) | ST14 电检2(开:48087.5s 加:0.0s 等前:0.0s 等后:50.0s) | ST15 小跑道(开:48137.5s 加:51.0s 等前:0.0s 等后:0.0s)</t>
        </is>
      </c>
    </row>
    <row r="721">
      <c r="A721" s="15" t="n">
        <v>720</v>
      </c>
      <c r="B721" s="15" t="inlineStr">
        <is>
          <t>Car#719</t>
        </is>
      </c>
      <c r="C721" s="15" t="inlineStr">
        <is>
          <t>B</t>
        </is>
      </c>
      <c r="D721" s="16" t="n">
        <v>46710.5</v>
      </c>
      <c r="E721" s="16" t="n">
        <v>48238.5</v>
      </c>
      <c r="F721" s="16" t="n">
        <v>1528</v>
      </c>
      <c r="G721" s="16" t="n">
        <v>5263</v>
      </c>
      <c r="H721" s="15" t="inlineStr">
        <is>
          <t>Car#720</t>
        </is>
      </c>
      <c r="I721" s="16">
        <f>E721-E720</f>
        <v/>
      </c>
      <c r="J721" s="16">
        <f>I721-58</f>
        <v/>
      </c>
      <c r="K721" s="16">
        <f>MAX(0,J721)</f>
        <v/>
      </c>
      <c r="L721" s="16">
        <f>MAX(0,-J721)</f>
        <v/>
      </c>
      <c r="M721" s="16">
        <f>M720+I721</f>
        <v/>
      </c>
      <c r="N721" s="16">
        <f>D721+F721-E721</f>
        <v/>
      </c>
      <c r="O721" s="15" t="inlineStr">
        <is>
          <t>能力超目标：四轮定位上、下</t>
        </is>
      </c>
      <c r="P721" s="15" t="inlineStr">
        <is>
          <t>ST1 引取(开:46710.5s 加:56.0s 等前:5066.5s 等后:0.0s) | ST2 集约(开:46766.5s 加:111.0s 等前:0.0s 等后:0.0s) | ST3 空气悬挂+快充(开:46877.5s 加:108.5s 等前:0.0s 等后:0.0s) | ST4 四轮定位上、下(开:46986.0s 加:120.5s 等前:0.0s 等后:20.0s) | ST5 ADAS(开:47126.5s 加:107.0s 等前:0.0s 等后:7.5s) | ST6 ARHUD+慢充(开:47241.0s 加:51.5s 等前:0.0s 等后:63.0s) | ST7 转毂(开:47355.5s 加:114.5s 等前:0.0s 等后:0.0s) | ST8 制动(开:47470.0s 加:114.0s 等前:0.0s 等后:0.0s) | ST9 EG漏液/底盘漏液(开:47584.0s 加:112.5s 等前:0.0s 等后:0.0s) | ST10 全景/空调检查(开:47696.5s 加:0.0s 等前:0.0s 等后:3.0s) | ST11 气囊安装+绝缘(开:47699.5s 加:116.0s 等前:0.0s 等后:0.0s) | ST12 L2++(开:47815.5s 加:88.0s 等前:0.0s 等后:36.5s) | ST13 电检1(开:47940.0s 加:84.5s 等前:0.0s 等后:13.0s) | ST14 电检2(开:48037.5s 加:97.5s 等前:0.0s 等后:53.5s) | ST15 小跑道(开:48188.5s 加:50.0s 等前:0.0s 等后:0.0s)</t>
        </is>
      </c>
    </row>
    <row r="722">
      <c r="A722" s="13" t="n">
        <v>721</v>
      </c>
      <c r="B722" s="13" t="inlineStr">
        <is>
          <t>Car#721</t>
        </is>
      </c>
      <c r="C722" s="13" t="inlineStr">
        <is>
          <t>C</t>
        </is>
      </c>
      <c r="D722" s="14" t="n">
        <v>46831</v>
      </c>
      <c r="E722" s="14" t="n">
        <v>48336</v>
      </c>
      <c r="F722" s="14" t="n">
        <v>1505</v>
      </c>
      <c r="G722" s="14" t="n">
        <v>5152.5</v>
      </c>
      <c r="H722" s="13" t="inlineStr">
        <is>
          <t>Car#719</t>
        </is>
      </c>
      <c r="I722" s="14">
        <f>E722-E721</f>
        <v/>
      </c>
      <c r="J722" s="14">
        <f>I722-58</f>
        <v/>
      </c>
      <c r="K722" s="14">
        <f>MAX(0,J722)</f>
        <v/>
      </c>
      <c r="L722" s="14">
        <f>MAX(0,-J722)</f>
        <v/>
      </c>
      <c r="M722" s="14">
        <f>M721+I722</f>
        <v/>
      </c>
      <c r="N722" s="14">
        <f>D722+F722-E722</f>
        <v/>
      </c>
      <c r="O722" s="13" t="inlineStr">
        <is>
          <t>能力超目标：四轮定位上、下、ARHUD+慢充</t>
        </is>
      </c>
      <c r="P722" s="13" t="inlineStr">
        <is>
          <t>ST1 引取(开:46831.0s 加:56.0s 等前:5071.0s 等后:0.0s) | ST2 集约(开:46887.0s 加:111.0s 等前:0.0s 等后:0.0s) | ST3 空气悬挂+快充(开:46998.0s 加:108.5s 等前:0.0s 等后:20.0s) | ST4 四轮定位上、下(开:47126.5s 加:120.5s 等前:0.0s 等后:0.0s) | ST5 ADAS(开:47247.0s 加:107.0s 等前:0.0s 等后:1.5s) | ST6 ARHUD+慢充(开:47355.5s 加:143.5s 等前:0.0s 等后:0.0s) | ST7 转毂(开:47499.0s 加:114.5s 等前:0.0s 等后:0.0s) | ST8 制动(开:47613.5s 加:114.0s 等前:0.0s 等后:0.0s) | ST9 EG漏液/底盘漏液(开:47727.5s 加:112.5s 等前:0.0s 等后:0.0s) | ST10 全景/空调检查(开:47840.0s 加:0.0s 等前:0.0s 等后:0.0s) | ST11 气囊安装+绝缘(开:47840.0s 加:116.0s 等前:0.0s 等后:0.0s) | ST12 L2++(开:47956.0s 加:88.0s 等前:0.0s 等后:0.0s) | ST13 电检1(开:48044.0s 加:84.5s 等前:0.0s 等后:60.0s) | ST14 电检2(开:48188.5s 加:97.5s 等前:0.0s 等后:0.0s) | ST15 小跑道(开:48286.0s 加:50.0s 等前:0.0s 等后:0.0s)</t>
        </is>
      </c>
    </row>
    <row r="723">
      <c r="A723" s="15" t="n">
        <v>722</v>
      </c>
      <c r="B723" s="15" t="inlineStr">
        <is>
          <t>Car#722</t>
        </is>
      </c>
      <c r="C723" s="15" t="inlineStr">
        <is>
          <t>C</t>
        </is>
      </c>
      <c r="D723" s="16" t="n">
        <v>46887</v>
      </c>
      <c r="E723" s="16" t="n">
        <v>48386</v>
      </c>
      <c r="F723" s="16" t="n">
        <v>1499</v>
      </c>
      <c r="G723" s="16" t="n">
        <v>5144.5</v>
      </c>
      <c r="H723" s="15" t="inlineStr">
        <is>
          <t>Car#721</t>
        </is>
      </c>
      <c r="I723" s="16">
        <f>E723-E722</f>
        <v/>
      </c>
      <c r="J723" s="16">
        <f>I723-58</f>
        <v/>
      </c>
      <c r="K723" s="16">
        <f>MAX(0,J723)</f>
        <v/>
      </c>
      <c r="L723" s="16">
        <f>MAX(0,-J723)</f>
        <v/>
      </c>
      <c r="M723" s="16">
        <f>M722+I723</f>
        <v/>
      </c>
      <c r="N723" s="16">
        <f>D723+F723-E723</f>
        <v/>
      </c>
      <c r="O723" s="15" t="inlineStr">
        <is>
          <t>能力超目标：四轮定位上、下、ARHUD+慢充</t>
        </is>
      </c>
      <c r="P723" s="15" t="inlineStr">
        <is>
          <t>ST1 引取(开:46887.0s 加:56.0s 等前:5069.0s 等后:25.5s) | ST2 集约(开:46968.5s 加:111.0s 等前:0.0s 等后:32.5s) | ST3 空气悬挂+快充(开:47112.0s 加:108.5s 等前:0.0s 等后:6.5s) | ST4 四轮定位上、下(开:47227.0s 加:120.5s 等前:0.0s 等后:0.0s) | ST5 ADAS(开:47347.5s 加:107.0s 等前:0.0s 等后:2.5s) | ST6 ARHUD+慢充(开:47457.0s 加:143.5s 等前:0.0s 等后:0.0s) | ST7 转毂(开:47600.5s 加:114.5s 等前:0.0s 等后:0.0s) | ST8 制动(开:47715.0s 加:114.0s 等前:0.0s 等后:0.0s) | ST9 EG漏液/底盘漏液(开:47829.0s 加:112.5s 等前:0.0s 等后:0.0s) | ST10 全景/空调检查(开:47941.5s 加:0.0s 等前:0.0s 等后:0.0s) | ST11 气囊安装+绝缘(开:47941.5s 加:116.0s 等前:0.0s 等后:0.0s) | ST12 L2++(开:48057.5s 加:88.0s 等前:0.0s 等后:0.0s) | ST13 电检1(开:48145.5s 加:84.5s 等前:0.0s 等后:0.0s) | ST14 电检2(开:48230.0s 加:97.5s 等前:0.0s 等后:8.5s) | ST15 小跑道(开:48336.0s 加:50.0s 等前:0.0s 等后:0.0s)</t>
        </is>
      </c>
    </row>
    <row r="724">
      <c r="A724" s="13" t="n">
        <v>723</v>
      </c>
      <c r="B724" s="13" t="inlineStr">
        <is>
          <t>Car#724</t>
        </is>
      </c>
      <c r="C724" s="13" t="inlineStr">
        <is>
          <t>A</t>
        </is>
      </c>
      <c r="D724" s="14" t="n">
        <v>47024.5</v>
      </c>
      <c r="E724" s="14" t="n">
        <v>48437</v>
      </c>
      <c r="F724" s="14" t="n">
        <v>1412.5</v>
      </c>
      <c r="G724" s="14" t="n">
        <v>5642</v>
      </c>
      <c r="H724" s="13" t="inlineStr">
        <is>
          <t>Car#722</t>
        </is>
      </c>
      <c r="I724" s="14">
        <f>E724-E723</f>
        <v/>
      </c>
      <c r="J724" s="14">
        <f>I724-58</f>
        <v/>
      </c>
      <c r="K724" s="14">
        <f>MAX(0,J724)</f>
        <v/>
      </c>
      <c r="L724" s="14">
        <f>MAX(0,-J724)</f>
        <v/>
      </c>
      <c r="M724" s="14">
        <f>M723+I724</f>
        <v/>
      </c>
      <c r="N724" s="14">
        <f>D724+F724-E724</f>
        <v/>
      </c>
      <c r="O724" s="13" t="inlineStr">
        <is>
          <t>能力满足</t>
        </is>
      </c>
      <c r="P724" s="13" t="inlineStr">
        <is>
          <t>ST1 引取(开:47024.5s 加:55.0s 等前:5090.5s 等后:32.5s) | ST2 集约(开:47112.0s 加:106.0s 等前:0.0s 等后:9.0s) | ST3 空气悬挂+快充(开:47227.0s 加:0.0s 等前:0.0s 等后:120.5s) | ST4 四轮定位上、下(开:47347.5s 加:115.0s 等前:0.0s 等后:0.0s) | ST5 ADAS(开:47462.5s 加:97.0s 等前:0.0s 等后:41.0s) | ST6 ARHUD+慢充(开:47600.5s 加:0.0s 等前:0.0s 等后:114.5s) | ST7 转毂(开:47715.0s 加:116.0s 等前:0.0s 等后:0.0s) | ST8 制动(开:47831.0s 加:108.0s 等前:0.0s 等后:2.5s) | ST9 EG漏液/底盘漏液(开:47941.5s 加:115.0s 等前:0.0s 等后:0.0s) | ST10 全景/空调检查(开:48056.5s 加:98.0s 等前:0.0s 等后:0.0s) | ST11 气囊安装+绝缘(开:48154.5s 加:0.0s 等前:0.0s 等后:0.0s) | ST12 L2++(开:48154.5s 加:0.0s 等前:0.0s 等后:75.5s) | ST13 电检1(开:48230.0s 加:0.0s 等前:0.0s 等后:106.0s) | ST14 电检2(开:48336.0s 加:0.0s 等前:0.0s 等后:50.0s) | ST15 小跑道(开:48386.0s 加:51.0s 等前:0.0s 等后:0.0s)</t>
        </is>
      </c>
    </row>
    <row r="725">
      <c r="A725" s="15" t="n">
        <v>724</v>
      </c>
      <c r="B725" s="15" t="inlineStr">
        <is>
          <t>Car#723</t>
        </is>
      </c>
      <c r="C725" s="15" t="inlineStr">
        <is>
          <t>C</t>
        </is>
      </c>
      <c r="D725" s="16" t="n">
        <v>46968.5</v>
      </c>
      <c r="E725" s="16" t="n">
        <v>48487</v>
      </c>
      <c r="F725" s="16" t="n">
        <v>1518.5</v>
      </c>
      <c r="G725" s="16" t="n">
        <v>5187.5</v>
      </c>
      <c r="H725" s="15" t="inlineStr">
        <is>
          <t>Car#724</t>
        </is>
      </c>
      <c r="I725" s="16">
        <f>E725-E724</f>
        <v/>
      </c>
      <c r="J725" s="16">
        <f>I725-58</f>
        <v/>
      </c>
      <c r="K725" s="16">
        <f>MAX(0,J725)</f>
        <v/>
      </c>
      <c r="L725" s="16">
        <f>MAX(0,-J725)</f>
        <v/>
      </c>
      <c r="M725" s="16">
        <f>M724+I725</f>
        <v/>
      </c>
      <c r="N725" s="16">
        <f>D725+F725-E725</f>
        <v/>
      </c>
      <c r="O725" s="15" t="inlineStr">
        <is>
          <t>能力超目标：四轮定位上、下、ARHUD+慢充</t>
        </is>
      </c>
      <c r="P725" s="15" t="inlineStr">
        <is>
          <t>ST1 引取(开:46968.5s 加:56.0s 等前:5092.5s 等后:0.0s) | ST2 集约(开:47024.5s 加:111.0s 等前:0.0s 等后:0.0s) | ST3 空气悬挂+快充(开:47135.5s 加:108.5s 等前:0.0s 等后:3.0s) | ST4 四轮定位上、下(开:47247.0s 加:120.5s 等前:0.0s 等后:0.0s) | ST5 ADAS(开:47367.5s 加:107.0s 等前:0.0s 等后:24.5s) | ST6 ARHUD+慢充(开:47499.0s 加:143.5s 等前:0.0s 等后:0.0s) | ST7 转毂(开:47642.5s 加:114.5s 等前:0.0s 等后:0.0s) | ST8 制动(开:47757.0s 加:114.0s 等前:0.0s 等后:0.0s) | ST9 EG漏液/底盘漏液(开:47871.0s 加:112.5s 等前:0.0s 等后:0.0s) | ST10 全景/空调检查(开:47983.5s 加:0.0s 等前:0.0s 等后:0.0s) | ST11 气囊安装+绝缘(开:47983.5s 加:116.0s 等前:0.0s 等后:0.0s) | ST12 L2++(开:48099.5s 加:88.0s 等前:0.0s 等后:1.0s) | ST13 电检1(开:48188.5s 加:84.5s 等前:0.0s 等后:13.0s) | ST14 电检2(开:48286.0s 加:97.5s 等前:0.0s 等后:53.5s) | ST15 小跑道(开:48437.0s 加:50.0s 等前:0.0s 等后:0.0s)</t>
        </is>
      </c>
    </row>
    <row r="726">
      <c r="A726" s="13" t="n">
        <v>725</v>
      </c>
      <c r="B726" s="13" t="inlineStr">
        <is>
          <t>Car#726</t>
        </is>
      </c>
      <c r="C726" s="13" t="inlineStr">
        <is>
          <t>A</t>
        </is>
      </c>
      <c r="D726" s="14" t="n">
        <v>47167</v>
      </c>
      <c r="E726" s="14" t="n">
        <v>48538</v>
      </c>
      <c r="F726" s="14" t="n">
        <v>1371</v>
      </c>
      <c r="G726" s="14" t="n">
        <v>5627</v>
      </c>
      <c r="H726" s="13" t="inlineStr">
        <is>
          <t>Car#723</t>
        </is>
      </c>
      <c r="I726" s="14">
        <f>E726-E725</f>
        <v/>
      </c>
      <c r="J726" s="14">
        <f>I726-58</f>
        <v/>
      </c>
      <c r="K726" s="14">
        <f>MAX(0,J726)</f>
        <v/>
      </c>
      <c r="L726" s="14">
        <f>MAX(0,-J726)</f>
        <v/>
      </c>
      <c r="M726" s="14">
        <f>M725+I726</f>
        <v/>
      </c>
      <c r="N726" s="14">
        <f>D726+F726-E726</f>
        <v/>
      </c>
      <c r="O726" s="13" t="inlineStr">
        <is>
          <t>能力满足</t>
        </is>
      </c>
      <c r="P726" s="13" t="inlineStr">
        <is>
          <t>ST1 引取(开:47167.0s 加:55.0s 等前:5117.0s 等后:5.0s) | ST2 集约(开:47227.0s 加:106.0s 等前:0.0s 等后:14.5s) | ST3 空气悬挂+快充(开:47347.5s 加:0.0s 等前:0.0s 等后:115.0s) | ST4 四轮定位上、下(开:47462.5s 加:115.0s 等前:0.0s 等后:23.0s) | ST5 ADAS(开:47600.5s 加:97.0s 等前:0.0s 等后:17.5s) | ST6 ARHUD+慢充(开:47715.0s 加:0.0s 等前:0.0s 等后:116.0s) | ST7 转毂(开:47831.0s 加:116.0s 等前:0.0s 等后:0.0s) | ST8 制动(开:47947.0s 加:108.0s 等前:0.0s 等后:1.5s) | ST9 EG漏液/底盘漏液(开:48056.5s 加:115.0s 等前:0.0s 等后:0.0s) | ST10 全景/空调检查(开:48171.5s 加:98.0s 等前:0.0s 等后:0.0s) | ST11 气囊安装+绝缘(开:48269.5s 加:0.0s 等前:0.0s 等后:0.0s) | ST12 L2++(开:48269.5s 加:0.0s 等前:0.0s 等后:66.5s) | ST13 电检1(开:48336.0s 加:0.0s 等前:0.0s 等后:50.0s) | ST14 电检2(开:48386.0s 加:0.0s 等前:0.0s 等后:101.0s) | ST15 小跑道(开:48487.0s 加:51.0s 等前:0.0s 等后:0.0s)</t>
        </is>
      </c>
    </row>
    <row r="727">
      <c r="A727" s="15" t="n">
        <v>726</v>
      </c>
      <c r="B727" s="15" t="inlineStr">
        <is>
          <t>Car#725</t>
        </is>
      </c>
      <c r="C727" s="15" t="inlineStr">
        <is>
          <t>A</t>
        </is>
      </c>
      <c r="D727" s="16" t="n">
        <v>47112</v>
      </c>
      <c r="E727" s="16" t="n">
        <v>48589</v>
      </c>
      <c r="F727" s="16" t="n">
        <v>1477</v>
      </c>
      <c r="G727" s="16" t="n">
        <v>5736</v>
      </c>
      <c r="H727" s="15" t="inlineStr">
        <is>
          <t>Car#726</t>
        </is>
      </c>
      <c r="I727" s="16">
        <f>E727-E726</f>
        <v/>
      </c>
      <c r="J727" s="16">
        <f>I727-58</f>
        <v/>
      </c>
      <c r="K727" s="16">
        <f>MAX(0,J727)</f>
        <v/>
      </c>
      <c r="L727" s="16">
        <f>MAX(0,-J727)</f>
        <v/>
      </c>
      <c r="M727" s="16">
        <f>M726+I727</f>
        <v/>
      </c>
      <c r="N727" s="16">
        <f>D727+F727-E727</f>
        <v/>
      </c>
      <c r="O727" s="15" t="inlineStr">
        <is>
          <t>能力满足</t>
        </is>
      </c>
      <c r="P727" s="15" t="inlineStr">
        <is>
          <t>ST1 引取(开:47112.0s 加:55.0s 等前:5120.0s 等后:0.0s) | ST2 集约(开:47167.0s 加:106.0s 等前:0.0s 等后:0.0s) | ST3 空气悬挂+快充(开:47273.0s 加:0.0s 等前:0.0s 等后:94.5s) | ST4 四轮定位上、下(开:47367.5s 加:115.0s 等前:0.0s 等后:16.5s) | ST5 ADAS(开:47499.0s 加:97.0s 等前:0.0s 等后:46.5s) | ST6 ARHUD+慢充(开:47642.5s 加:0.0s 等前:0.0s 等后:114.5s) | ST7 转毂(开:47757.0s 加:116.0s 等前:0.0s 等后:0.0s) | ST8 制动(开:47873.0s 加:108.0s 等前:0.0s 等后:2.5s) | ST9 EG漏液/底盘漏液(开:47983.5s 加:115.0s 等前:0.0s 等后:0.0s) | ST10 全景/空调检查(开:48098.5s 加:98.0s 等前:0.0s 等后:0.0s) | ST11 气囊安装+绝缘(开:48196.5s 加:0.0s 等前:0.0s 等后:0.0s) | ST12 L2++(开:48196.5s 加:0.0s 等前:0.0s 等后:89.5s) | ST13 电检1(开:48286.0s 加:0.0s 等前:0.0s 等后:151.0s) | ST14 电检2(开:48437.0s 加:0.0s 等前:0.0s 等后:101.0s) | ST15 小跑道(开:48538.0s 加:51.0s 等前:0.0s 等后:0.0s)</t>
        </is>
      </c>
    </row>
    <row r="728">
      <c r="A728" s="13" t="n">
        <v>727</v>
      </c>
      <c r="B728" s="13" t="inlineStr">
        <is>
          <t>Car#727</t>
        </is>
      </c>
      <c r="C728" s="13" t="inlineStr">
        <is>
          <t>C</t>
        </is>
      </c>
      <c r="D728" s="14" t="n">
        <v>47227</v>
      </c>
      <c r="E728" s="14" t="n">
        <v>48685.5</v>
      </c>
      <c r="F728" s="14" t="n">
        <v>1458.5</v>
      </c>
      <c r="G728" s="14" t="n">
        <v>5154</v>
      </c>
      <c r="H728" s="13" t="inlineStr">
        <is>
          <t>Car#725</t>
        </is>
      </c>
      <c r="I728" s="14">
        <f>E728-E727</f>
        <v/>
      </c>
      <c r="J728" s="14">
        <f>I728-58</f>
        <v/>
      </c>
      <c r="K728" s="14">
        <f>MAX(0,J728)</f>
        <v/>
      </c>
      <c r="L728" s="14">
        <f>MAX(0,-J728)</f>
        <v/>
      </c>
      <c r="M728" s="14">
        <f>M727+I728</f>
        <v/>
      </c>
      <c r="N728" s="14">
        <f>D728+F728-E728</f>
        <v/>
      </c>
      <c r="O728" s="13" t="inlineStr">
        <is>
          <t>能力超目标：四轮定位上、下、ARHUD+慢充</t>
        </is>
      </c>
      <c r="P728" s="13" t="inlineStr">
        <is>
          <t>ST1 引取(开:47227.0s 加:56.0s 等前:5119.0s 等后:0.0s) | ST2 集约(开:47283.0s 加:111.0s 等前:0.0s 等后:0.0s) | ST3 空气悬挂+快充(开:47394.0s 加:108.5s 等前:0.0s 等后:0.0s) | ST4 四轮定位上、下(开:47502.5s 加:120.5s 等前:0.0s 等后:19.5s) | ST5 ADAS(开:47642.5s 加:107.0s 等前:0.0s 等后:7.5s) | ST6 ARHUD+慢充(开:47757.0s 加:143.5s 等前:0.0s 等后:0.0s) | ST7 转毂(开:47900.5s 加:114.5s 等前:0.0s 等后:0.0s) | ST8 制动(开:48015.0s 加:114.0s 等前:0.0s 等后:0.0s) | ST9 EG漏液/底盘漏液(开:48129.0s 加:112.5s 等前:0.0s 等后:0.0s) | ST10 全景/空调检查(开:48241.5s 加:0.0s 等前:0.0s 等后:0.0s) | ST11 气囊安装+绝缘(开:48241.5s 加:116.0s 等前:0.0s 等后:0.0s) | ST12 L2++(开:48357.5s 加:88.0s 等前:0.0s 等后:0.0s) | ST13 电检1(开:48445.5s 加:84.5s 等前:0.0s 等后:8.0s) | ST14 电检2(开:48538.0s 加:97.5s 等前:0.0s 等后:0.0s) | ST15 小跑道(开:48635.5s 加:50.0s 等前:0.0s 等后:0.0s)</t>
        </is>
      </c>
    </row>
    <row r="729">
      <c r="A729" s="15" t="n">
        <v>728</v>
      </c>
      <c r="B729" s="15" t="inlineStr">
        <is>
          <t>Car#728</t>
        </is>
      </c>
      <c r="C729" s="15" t="inlineStr">
        <is>
          <t>B</t>
        </is>
      </c>
      <c r="D729" s="16" t="n">
        <v>47283</v>
      </c>
      <c r="E729" s="16" t="n">
        <v>48735.5</v>
      </c>
      <c r="F729" s="16" t="n">
        <v>1452.5</v>
      </c>
      <c r="G729" s="16" t="n">
        <v>5238</v>
      </c>
      <c r="H729" s="15" t="inlineStr">
        <is>
          <t>Car#727</t>
        </is>
      </c>
      <c r="I729" s="16">
        <f>E729-E728</f>
        <v/>
      </c>
      <c r="J729" s="16">
        <f>I729-58</f>
        <v/>
      </c>
      <c r="K729" s="16">
        <f>MAX(0,J729)</f>
        <v/>
      </c>
      <c r="L729" s="16">
        <f>MAX(0,-J729)</f>
        <v/>
      </c>
      <c r="M729" s="16">
        <f>M728+I729</f>
        <v/>
      </c>
      <c r="N729" s="16">
        <f>D729+F729-E729</f>
        <v/>
      </c>
      <c r="O729" s="15" t="inlineStr">
        <is>
          <t>能力超目标：四轮定位上、下</t>
        </is>
      </c>
      <c r="P729" s="15" t="inlineStr">
        <is>
          <t>ST1 引取(开:47283.0s 加:56.0s 等前:5117.0s 等后:8.5s) | ST2 集约(开:47347.5s 加:111.0s 等前:0.0s 等后:4.0s) | ST3 空气悬挂+快充(开:47462.5s 加:108.5s 等前:0.0s 等后:29.5s) | ST4 四轮定位上、下(开:47600.5s 加:120.5s 等前:0.0s 等后:0.0s) | ST5 ADAS(开:47721.0s 加:107.0s 等前:0.0s 等后:3.0s) | ST6 ARHUD+慢充(开:47831.0s 加:51.5s 等前:0.0s 等后:64.5s) | ST7 转毂(开:47947.0s 加:114.5s 等前:0.0s 等后:0.0s) | ST8 制动(开:48061.5s 加:114.0s 等前:0.0s 等后:0.0s) | ST9 EG漏液/底盘漏液(开:48175.5s 加:112.5s 等前:0.0s 等后:0.0s) | ST10 全景/空调检查(开:48288.0s 加:0.0s 等前:0.0s 等后:0.0s) | ST11 气囊安装+绝缘(开:48288.0s 加:116.0s 等前:0.0s 等后:0.0s) | ST12 L2++(开:48404.0s 加:88.0s 等前:0.0s 等后:0.0s) | ST13 电检1(开:48492.0s 加:84.5s 等前:0.0s 等后:0.0s) | ST14 电检2(开:48576.5s 加:97.5s 等前:0.0s 等后:11.5s) | ST15 小跑道(开:48685.5s 加:50.0s 等前:0.0s 等后:0.0s)</t>
        </is>
      </c>
    </row>
    <row r="730">
      <c r="A730" s="13" t="n">
        <v>729</v>
      </c>
      <c r="B730" s="13" t="inlineStr">
        <is>
          <t>Car#729</t>
        </is>
      </c>
      <c r="C730" s="13" t="inlineStr">
        <is>
          <t>C</t>
        </is>
      </c>
      <c r="D730" s="14" t="n">
        <v>47347.5</v>
      </c>
      <c r="E730" s="14" t="n">
        <v>48821</v>
      </c>
      <c r="F730" s="14" t="n">
        <v>1473.5</v>
      </c>
      <c r="G730" s="14" t="n">
        <v>5173.5</v>
      </c>
      <c r="H730" s="13" t="inlineStr">
        <is>
          <t>Car#728</t>
        </is>
      </c>
      <c r="I730" s="14">
        <f>E730-E729</f>
        <v/>
      </c>
      <c r="J730" s="14">
        <f>I730-58</f>
        <v/>
      </c>
      <c r="K730" s="14">
        <f>MAX(0,J730)</f>
        <v/>
      </c>
      <c r="L730" s="14">
        <f>MAX(0,-J730)</f>
        <v/>
      </c>
      <c r="M730" s="14">
        <f>M729+I730</f>
        <v/>
      </c>
      <c r="N730" s="14">
        <f>D730+F730-E730</f>
        <v/>
      </c>
      <c r="O730" s="13" t="inlineStr">
        <is>
          <t>能力超目标：四轮定位上、下、ARHUD+慢充</t>
        </is>
      </c>
      <c r="P730" s="13" t="inlineStr">
        <is>
          <t>ST1 引取(开:47347.5s 加:56.0s 等前:5123.5s 等后:0.0s) | ST2 集约(开:47403.5s 加:111.0s 等前:0.0s 等后:0.0s) | ST3 空气悬挂+快充(开:47514.5s 加:108.5s 等前:0.0s 等后:19.5s) | ST4 四轮定位上、下(开:47642.5s 加:120.5s 等前:0.0s 等后:0.0s) | ST5 ADAS(开:47763.0s 加:107.0s 等前:0.0s 等后:30.5s) | ST6 ARHUD+慢充(开:47900.5s 加:143.5s 等前:0.0s 等后:0.0s) | ST7 转毂(开:48044.0s 加:114.5s 等前:0.0s 等后:0.0s) | ST8 制动(开:48158.5s 加:114.0s 等前:0.0s 等后:0.0s) | ST9 EG漏液/底盘漏液(开:48272.5s 加:112.5s 等前:0.0s 等后:0.0s) | ST10 全景/空调检查(开:48385.0s 加:0.0s 等前:0.0s 等后:0.0s) | ST11 气囊安装+绝缘(开:48385.0s 加:116.0s 等前:0.0s 等后:0.0s) | ST12 L2++(开:48501.0s 加:88.0s 等前:0.0s 等后:0.0s) | ST13 电检1(开:48589.0s 加:84.5s 等前:0.0s 等后:0.0s) | ST14 电检2(开:48673.5s 加:97.5s 等前:0.0s 等后:0.0s) | ST15 小跑道(开:48771.0s 加:50.0s 等前:0.0s 等后:0.0s)</t>
        </is>
      </c>
    </row>
    <row r="731">
      <c r="A731" s="15" t="n">
        <v>730</v>
      </c>
      <c r="B731" s="15" t="inlineStr">
        <is>
          <t>Car#730</t>
        </is>
      </c>
      <c r="C731" s="15" t="inlineStr">
        <is>
          <t>C</t>
        </is>
      </c>
      <c r="D731" s="16" t="n">
        <v>47403.5</v>
      </c>
      <c r="E731" s="16" t="n">
        <v>48871</v>
      </c>
      <c r="F731" s="16" t="n">
        <v>1467.5</v>
      </c>
      <c r="G731" s="16" t="n">
        <v>5165.5</v>
      </c>
      <c r="H731" s="15" t="inlineStr">
        <is>
          <t>Car#729</t>
        </is>
      </c>
      <c r="I731" s="16">
        <f>E731-E730</f>
        <v/>
      </c>
      <c r="J731" s="16">
        <f>I731-58</f>
        <v/>
      </c>
      <c r="K731" s="16">
        <f>MAX(0,J731)</f>
        <v/>
      </c>
      <c r="L731" s="16">
        <f>MAX(0,-J731)</f>
        <v/>
      </c>
      <c r="M731" s="16">
        <f>M730+I731</f>
        <v/>
      </c>
      <c r="N731" s="16">
        <f>D731+F731-E731</f>
        <v/>
      </c>
      <c r="O731" s="15" t="inlineStr">
        <is>
          <t>能力超目标：四轮定位上、下、ARHUD+慢充</t>
        </is>
      </c>
      <c r="P731" s="15" t="inlineStr">
        <is>
          <t>ST1 引取(开:47403.5s 加:56.0s 等前:5121.5s 等后:3.0s) | ST2 集约(开:47462.5s 加:111.0s 等前:0.0s 等后:27.0s) | ST3 空气悬挂+快充(开:47600.5s 加:108.5s 等前:0.0s 等后:12.0s) | ST4 四轮定位上、下(开:47721.0s 加:120.5s 等前:0.0s 等后:0.0s) | ST5 ADAS(开:47841.5s 加:107.0s 等前:0.0s 等后:0.0s) | ST6 ARHUD+慢充(开:47948.5s 加:143.5s 等前:0.0s 等后:0.0s) | ST7 转毂(开:48092.0s 加:114.5s 等前:0.0s 等后:0.0s) | ST8 制动(开:48206.5s 加:114.0s 等前:0.0s 等后:0.0s) | ST9 EG漏液/底盘漏液(开:48320.5s 加:112.5s 等前:0.0s 等后:0.0s) | ST10 全景/空调检查(开:48433.0s 加:0.0s 等前:0.0s 等后:0.0s) | ST11 气囊安装+绝缘(开:48433.0s 加:116.0s 等前:0.0s 等后:0.0s) | ST12 L2++(开:48549.0s 加:88.0s 等前:0.0s 等后:0.0s) | ST13 电检1(开:48637.0s 加:84.5s 等前:0.0s 等后:0.0s) | ST14 电检2(开:48721.5s 加:97.5s 等前:0.0s 等后:2.0s) | ST15 小跑道(开:48821.0s 加:50.0s 等前:0.0s 等后:0.0s)</t>
        </is>
      </c>
    </row>
    <row r="732">
      <c r="A732" s="13" t="n">
        <v>731</v>
      </c>
      <c r="B732" s="13" t="inlineStr">
        <is>
          <t>Car#731</t>
        </is>
      </c>
      <c r="C732" s="13" t="inlineStr">
        <is>
          <t>C</t>
        </is>
      </c>
      <c r="D732" s="14" t="n">
        <v>47462.5</v>
      </c>
      <c r="E732" s="14" t="n">
        <v>48964.5</v>
      </c>
      <c r="F732" s="14" t="n">
        <v>1502</v>
      </c>
      <c r="G732" s="14" t="n">
        <v>5201</v>
      </c>
      <c r="H732" s="13" t="inlineStr">
        <is>
          <t>Car#730</t>
        </is>
      </c>
      <c r="I732" s="14">
        <f>E732-E731</f>
        <v/>
      </c>
      <c r="J732" s="14">
        <f>I732-58</f>
        <v/>
      </c>
      <c r="K732" s="14">
        <f>MAX(0,J732)</f>
        <v/>
      </c>
      <c r="L732" s="14">
        <f>MAX(0,-J732)</f>
        <v/>
      </c>
      <c r="M732" s="14">
        <f>M731+I732</f>
        <v/>
      </c>
      <c r="N732" s="14">
        <f>D732+F732-E732</f>
        <v/>
      </c>
      <c r="O732" s="13" t="inlineStr">
        <is>
          <t>能力超目标：四轮定位上、下、ARHUD+慢充</t>
        </is>
      </c>
      <c r="P732" s="13" t="inlineStr">
        <is>
          <t>ST1 引取(开:47462.5s 加:56.0s 等前:5122.5s 等后:0.0s) | ST2 集约(开:47518.5s 加:111.0s 等前:0.0s 等后:13.0s) | ST3 空气悬挂+快充(开:47642.5s 加:108.5s 等前:0.0s 等后:12.0s) | ST4 四轮定位上、下(开:47763.0s 加:120.5s 等前:0.0s 等后:17.0s) | ST5 ADAS(开:47900.5s 加:107.0s 等前:0.0s 等后:36.5s) | ST6 ARHUD+慢充(开:48044.0s 加:143.5s 等前:0.0s 等后:0.0s) | ST7 转毂(开:48187.5s 加:114.5s 等前:0.0s 等后:0.0s) | ST8 制动(开:48302.0s 加:114.0s 等前:0.0s 等后:0.0s) | ST9 EG漏液/底盘漏液(开:48416.0s 加:112.5s 等前:0.0s 等后:0.0s) | ST10 全景/空调检查(开:48528.5s 加:0.0s 等前:0.0s 等后:0.0s) | ST11 气囊安装+绝缘(开:48528.5s 加:116.0s 等前:0.0s 等后:0.0s) | ST12 L2++(开:48644.5s 加:88.0s 等前:0.0s 等后:0.0s) | ST13 电检1(开:48732.5s 加:84.5s 等前:0.0s 等后:0.0s) | ST14 电检2(开:48817.0s 加:97.5s 等前:0.0s 等后:0.0s) | ST15 小跑道(开:48914.5s 加:50.0s 等前:0.0s 等后:0.0s)</t>
        </is>
      </c>
    </row>
    <row r="733">
      <c r="A733" s="15" t="n">
        <v>732</v>
      </c>
      <c r="B733" s="15" t="inlineStr">
        <is>
          <t>Car#732</t>
        </is>
      </c>
      <c r="C733" s="15" t="inlineStr">
        <is>
          <t>B</t>
        </is>
      </c>
      <c r="D733" s="16" t="n">
        <v>47518.5</v>
      </c>
      <c r="E733" s="16" t="n">
        <v>49014.5</v>
      </c>
      <c r="F733" s="16" t="n">
        <v>1496</v>
      </c>
      <c r="G733" s="16" t="n">
        <v>5285</v>
      </c>
      <c r="H733" s="15" t="inlineStr">
        <is>
          <t>Car#731</t>
        </is>
      </c>
      <c r="I733" s="16">
        <f>E733-E732</f>
        <v/>
      </c>
      <c r="J733" s="16">
        <f>I733-58</f>
        <v/>
      </c>
      <c r="K733" s="16">
        <f>MAX(0,J733)</f>
        <v/>
      </c>
      <c r="L733" s="16">
        <f>MAX(0,-J733)</f>
        <v/>
      </c>
      <c r="M733" s="16">
        <f>M732+I733</f>
        <v/>
      </c>
      <c r="N733" s="16">
        <f>D733+F733-E733</f>
        <v/>
      </c>
      <c r="O733" s="15" t="inlineStr">
        <is>
          <t>能力超目标：四轮定位上、下</t>
        </is>
      </c>
      <c r="P733" s="15" t="inlineStr">
        <is>
          <t>ST1 引取(开:47518.5s 加:56.0s 等前:5120.5s 等后:26.0s) | ST2 集约(开:47600.5s 加:111.0s 等前:0.0s 等后:9.5s) | ST3 空气悬挂+快充(开:47721.0s 加:108.5s 等前:0.0s 等后:12.0s) | ST4 四轮定位上、下(开:47841.5s 加:120.5s 等前:0.0s 等后:0.0s) | ST5 ADAS(开:47962.0s 加:107.0s 等前:0.0s 等后:23.0s) | ST6 ARHUD+慢充(开:48092.0s 加:51.5s 等前:0.0s 等后:63.0s) | ST7 转毂(开:48206.5s 加:114.5s 等前:0.0s 等后:0.0s) | ST8 制动(开:48321.0s 加:114.0s 等前:0.0s 等后:0.0s) | ST9 EG漏液/底盘漏液(开:48435.0s 加:112.5s 等前:0.0s 等后:0.0s) | ST10 全景/空调检查(开:48547.5s 加:0.0s 等前:0.0s 等后:1.5s) | ST11 气囊安装+绝缘(开:48549.0s 加:116.0s 等前:0.0s 等后:0.0s) | ST12 L2++(开:48665.0s 加:88.0s 等前:0.0s 等后:0.0s) | ST13 电检1(开:48753.0s 加:84.5s 等前:0.0s 等后:0.0s) | ST14 电检2(开:48837.5s 加:97.5s 等前:0.0s 等后:29.5s) | ST15 小跑道(开:48964.5s 加:50.0s 等前:0.0s 等后:0.0s)</t>
        </is>
      </c>
    </row>
    <row r="734">
      <c r="A734" s="13" t="n">
        <v>733</v>
      </c>
      <c r="B734" s="13" t="inlineStr">
        <is>
          <t>Car#733</t>
        </is>
      </c>
      <c r="C734" s="13" t="inlineStr">
        <is>
          <t>B</t>
        </is>
      </c>
      <c r="D734" s="14" t="n">
        <v>47600.5</v>
      </c>
      <c r="E734" s="14" t="n">
        <v>49080.5</v>
      </c>
      <c r="F734" s="14" t="n">
        <v>1480</v>
      </c>
      <c r="G734" s="14" t="n">
        <v>5293</v>
      </c>
      <c r="H734" s="13" t="inlineStr">
        <is>
          <t>Car#732</t>
        </is>
      </c>
      <c r="I734" s="14">
        <f>E734-E733</f>
        <v/>
      </c>
      <c r="J734" s="14">
        <f>I734-58</f>
        <v/>
      </c>
      <c r="K734" s="14">
        <f>MAX(0,J734)</f>
        <v/>
      </c>
      <c r="L734" s="14">
        <f>MAX(0,-J734)</f>
        <v/>
      </c>
      <c r="M734" s="14">
        <f>M733+I734</f>
        <v/>
      </c>
      <c r="N734" s="14">
        <f>D734+F734-E734</f>
        <v/>
      </c>
      <c r="O734" s="13" t="inlineStr">
        <is>
          <t>能力超目标：四轮定位上、下</t>
        </is>
      </c>
      <c r="P734" s="13" t="inlineStr">
        <is>
          <t>ST1 引取(开:47600.5s 加:56.0s 等前:5144.5s 等后:0.0s) | ST2 集约(开:47656.5s 加:111.0s 等前:0.0s 等后:0.0s) | ST3 空气悬挂+快充(开:47767.5s 加:108.5s 等前:0.0s 等后:24.5s) | ST4 四轮定位上、下(开:47900.5s 加:120.5s 等前:0.0s 等后:23.0s) | ST5 ADAS(开:48044.0s 加:107.0s 等前:0.0s 等后:36.5s) | ST6 ARHUD+慢充(开:48187.5s 加:51.5s 等前:0.0s 等后:63.0s) | ST7 转毂(开:48302.0s 加:114.5s 等前:0.0s 等后:0.0s) | ST8 制动(开:48416.5s 加:114.0s 等前:0.0s 等后:0.0s) | ST9 EG漏液/底盘漏液(开:48530.5s 加:112.5s 等前:0.0s 等后:0.0s) | ST10 全景/空调检查(开:48643.0s 加:0.0s 等前:0.0s 等后:1.5s) | ST11 气囊安装+绝缘(开:48644.5s 加:116.0s 等前:0.0s 等后:0.0s) | ST12 L2++(开:48760.5s 加:88.0s 等前:0.0s 等后:0.0s) | ST13 电检1(开:48848.5s 加:84.5s 等前:0.0s 等后:0.0s) | ST14 电检2(开:48933.0s 加:97.5s 等前:0.0s 等后:0.0s) | ST15 小跑道(开:49030.5s 加:50.0s 等前:0.0s 等后:0.0s)</t>
        </is>
      </c>
    </row>
    <row r="735">
      <c r="A735" s="15" t="n">
        <v>734</v>
      </c>
      <c r="B735" s="15" t="inlineStr">
        <is>
          <t>Car#734</t>
        </is>
      </c>
      <c r="C735" s="15" t="inlineStr">
        <is>
          <t>B</t>
        </is>
      </c>
      <c r="D735" s="16" t="n">
        <v>47656.5</v>
      </c>
      <c r="E735" s="16" t="n">
        <v>49130.5</v>
      </c>
      <c r="F735" s="16" t="n">
        <v>1474</v>
      </c>
      <c r="G735" s="16" t="n">
        <v>5285</v>
      </c>
      <c r="H735" s="15" t="inlineStr">
        <is>
          <t>Car#733</t>
        </is>
      </c>
      <c r="I735" s="16">
        <f>E735-E734</f>
        <v/>
      </c>
      <c r="J735" s="16">
        <f>I735-58</f>
        <v/>
      </c>
      <c r="K735" s="16">
        <f>MAX(0,J735)</f>
        <v/>
      </c>
      <c r="L735" s="16">
        <f>MAX(0,-J735)</f>
        <v/>
      </c>
      <c r="M735" s="16">
        <f>M734+I735</f>
        <v/>
      </c>
      <c r="N735" s="16">
        <f>D735+F735-E735</f>
        <v/>
      </c>
      <c r="O735" s="15" t="inlineStr">
        <is>
          <t>能力超目标：四轮定位上、下</t>
        </is>
      </c>
      <c r="P735" s="15" t="inlineStr">
        <is>
          <t>ST1 引取(开:47656.5s 加:56.0s 等前:5142.5s 等后:8.5s) | ST2 集约(开:47721.0s 加:111.0s 等前:0.0s 等后:9.5s) | ST3 空气悬挂+快充(开:47841.5s 加:108.5s 等前:0.0s 等后:12.0s) | ST4 四轮定位上、下(开:47962.0s 加:120.5s 等前:0.0s 等后:9.5s) | ST5 ADAS(开:48092.0s 加:107.0s 等前:0.0s 等后:7.5s) | ST6 ARHUD+慢充(开:48206.5s 加:51.5s 等前:0.0s 等后:63.0s) | ST7 转毂(开:48321.0s 加:114.5s 等前:0.0s 等后:0.0s) | ST8 制动(开:48435.5s 加:114.0s 等前:0.0s 等后:0.0s) | ST9 EG漏液/底盘漏液(开:48549.5s 加:112.5s 等前:0.0s 等后:0.0s) | ST10 全景/空调检查(开:48662.0s 加:0.0s 等前:0.0s 等后:3.0s) | ST11 气囊安装+绝缘(开:48665.0s 加:116.0s 等前:0.0s 等后:0.0s) | ST12 L2++(开:48781.0s 加:88.0s 等前:0.0s 等后:0.0s) | ST13 电检1(开:48869.0s 加:84.5s 等前:0.0s 等后:11.0s) | ST14 电检2(开:48964.5s 加:97.5s 等前:0.0s 等后:18.5s) | ST15 小跑道(开:49080.5s 加:50.0s 等前:0.0s 等后:0.0s)</t>
        </is>
      </c>
    </row>
    <row r="736">
      <c r="A736" s="13" t="n">
        <v>735</v>
      </c>
      <c r="B736" s="13" t="inlineStr">
        <is>
          <t>Car#735</t>
        </is>
      </c>
      <c r="C736" s="13" t="inlineStr">
        <is>
          <t>C</t>
        </is>
      </c>
      <c r="D736" s="14" t="n">
        <v>47721</v>
      </c>
      <c r="E736" s="14" t="n">
        <v>49222.5</v>
      </c>
      <c r="F736" s="14" t="n">
        <v>1501.5</v>
      </c>
      <c r="G736" s="14" t="n">
        <v>5227</v>
      </c>
      <c r="H736" s="13" t="inlineStr">
        <is>
          <t>Car#734</t>
        </is>
      </c>
      <c r="I736" s="14">
        <f>E736-E735</f>
        <v/>
      </c>
      <c r="J736" s="14">
        <f>I736-58</f>
        <v/>
      </c>
      <c r="K736" s="14">
        <f>MAX(0,J736)</f>
        <v/>
      </c>
      <c r="L736" s="14">
        <f>MAX(0,-J736)</f>
        <v/>
      </c>
      <c r="M736" s="14">
        <f>M735+I736</f>
        <v/>
      </c>
      <c r="N736" s="14">
        <f>D736+F736-E736</f>
        <v/>
      </c>
      <c r="O736" s="13" t="inlineStr">
        <is>
          <t>能力超目标：四轮定位上、下、ARHUD+慢充</t>
        </is>
      </c>
      <c r="P736" s="13" t="inlineStr">
        <is>
          <t>ST1 引取(开:47721.0s 加:56.0s 等前:5149.0s 等后:0.0s) | ST2 集约(开:47777.0s 加:111.0s 等前:0.0s 等后:12.5s) | ST3 空气悬挂+快充(开:47900.5s 加:108.5s 等前:0.0s 等后:35.0s) | ST4 四轮定位上、下(开:48044.0s 加:120.5s 等前:0.0s 等后:23.0s) | ST5 ADAS(开:48187.5s 加:107.0s 等前:0.0s 等后:7.5s) | ST6 ARHUD+慢充(开:48302.0s 加:143.5s 等前:0.0s 等后:0.0s) | ST7 转毂(开:48445.5s 加:114.5s 等前:0.0s 等后:0.0s) | ST8 制动(开:48560.0s 加:114.0s 等前:0.0s 等后:0.0s) | ST9 EG漏液/底盘漏液(开:48674.0s 加:112.5s 等前:0.0s 等后:0.0s) | ST10 全景/空调检查(开:48786.5s 加:0.0s 等前:0.0s 等后:0.0s) | ST11 气囊安装+绝缘(开:48786.5s 加:116.0s 等前:0.0s 等后:0.0s) | ST12 L2++(开:48902.5s 加:88.0s 等前:0.0s 等后:0.0s) | ST13 电检1(开:48990.5s 加:84.5s 等前:0.0s 等后:0.0s) | ST14 电检2(开:49075.0s 加:97.5s 等前:0.0s 等后:0.0s) | ST15 小跑道(开:49172.5s 加:50.0s 等前:0.0s 等后:0.0s)</t>
        </is>
      </c>
    </row>
    <row r="737">
      <c r="A737" s="15" t="n">
        <v>736</v>
      </c>
      <c r="B737" s="15" t="inlineStr">
        <is>
          <t>Car#737</t>
        </is>
      </c>
      <c r="C737" s="15" t="inlineStr">
        <is>
          <t>A</t>
        </is>
      </c>
      <c r="D737" s="16" t="n">
        <v>47841.5</v>
      </c>
      <c r="E737" s="16" t="n">
        <v>49273.5</v>
      </c>
      <c r="F737" s="16" t="n">
        <v>1432</v>
      </c>
      <c r="G737" s="16" t="n">
        <v>5724.5</v>
      </c>
      <c r="H737" s="15" t="inlineStr">
        <is>
          <t>Car#735</t>
        </is>
      </c>
      <c r="I737" s="16">
        <f>E737-E736</f>
        <v/>
      </c>
      <c r="J737" s="16">
        <f>I737-58</f>
        <v/>
      </c>
      <c r="K737" s="16">
        <f>MAX(0,J737)</f>
        <v/>
      </c>
      <c r="L737" s="16">
        <f>MAX(0,-J737)</f>
        <v/>
      </c>
      <c r="M737" s="16">
        <f>M736+I737</f>
        <v/>
      </c>
      <c r="N737" s="16">
        <f>D737+F737-E737</f>
        <v/>
      </c>
      <c r="O737" s="15" t="inlineStr">
        <is>
          <t>能力满足</t>
        </is>
      </c>
      <c r="P737" s="15" t="inlineStr">
        <is>
          <t>ST1 引取(开:47841.5s 加:55.0s 等前:5153.5s 等后:4.0s) | ST2 集约(开:47900.5s 加:106.0s 等前:0.0s 等后:37.5s) | ST3 空气悬挂+快充(开:48044.0s 加:0.0s 等前:0.0s 等后:143.5s) | ST4 四轮定位上、下(开:48187.5s 加:115.0s 等前:0.0s 等后:0.0s) | ST5 ADAS(开:48302.5s 加:97.0s 等前:0.0s 等后:46.0s) | ST6 ARHUD+慢充(开:48445.5s 加:0.0s 等前:0.0s 等后:114.5s) | ST7 转毂(开:48560.0s 加:116.0s 等前:0.0s 等后:0.0s) | ST8 制动(开:48676.0s 加:108.0s 等前:0.0s 等后:2.5s) | ST9 EG漏液/底盘漏液(开:48786.5s 加:115.0s 等前:0.0s 等后:0.0s) | ST10 全景/空调检查(开:48901.5s 加:98.0s 等前:0.0s 等后:0.0s) | ST11 气囊安装+绝缘(开:48999.5s 加:0.0s 等前:0.0s 等后:0.0s) | ST12 L2++(开:48999.5s 加:0.0s 等前:0.0s 等后:75.5s) | ST13 电检1(开:49075.0s 加:0.0s 等前:0.0s 等后:97.5s) | ST14 电检2(开:49172.5s 加:0.0s 等前:0.0s 等后:50.0s) | ST15 小跑道(开:49222.5s 加:51.0s 等前:0.0s 等后:0.0s)</t>
        </is>
      </c>
    </row>
    <row r="738">
      <c r="A738" s="13" t="n">
        <v>737</v>
      </c>
      <c r="B738" s="13" t="inlineStr">
        <is>
          <t>Car#736</t>
        </is>
      </c>
      <c r="C738" s="13" t="inlineStr">
        <is>
          <t>C</t>
        </is>
      </c>
      <c r="D738" s="14" t="n">
        <v>47777</v>
      </c>
      <c r="E738" s="14" t="n">
        <v>49323.5</v>
      </c>
      <c r="F738" s="14" t="n">
        <v>1546.5</v>
      </c>
      <c r="G738" s="14" t="n">
        <v>5270</v>
      </c>
      <c r="H738" s="13" t="inlineStr">
        <is>
          <t>Car#737</t>
        </is>
      </c>
      <c r="I738" s="14">
        <f>E738-E737</f>
        <v/>
      </c>
      <c r="J738" s="14">
        <f>I738-58</f>
        <v/>
      </c>
      <c r="K738" s="14">
        <f>MAX(0,J738)</f>
        <v/>
      </c>
      <c r="L738" s="14">
        <f>MAX(0,-J738)</f>
        <v/>
      </c>
      <c r="M738" s="14">
        <f>M737+I738</f>
        <v/>
      </c>
      <c r="N738" s="14">
        <f>D738+F738-E738</f>
        <v/>
      </c>
      <c r="O738" s="13" t="inlineStr">
        <is>
          <t>能力超目标：四轮定位上、下、ARHUD+慢充</t>
        </is>
      </c>
      <c r="P738" s="13" t="inlineStr">
        <is>
          <t>ST1 引取(开:47777.0s 加:56.0s 等前:5147.0s 等后:8.5s) | ST2 集约(开:47841.5s 加:111.0s 等前:0.0s 等后:9.5s) | ST3 空气悬挂+快充(开:47962.0s 加:108.5s 等前:0.0s 等后:21.5s) | ST4 四轮定位上、下(开:48092.0s 加:120.5s 等前:0.0s 等后:0.0s) | ST5 ADAS(开:48212.5s 加:107.0s 等前:0.0s 等后:1.5s) | ST6 ARHUD+慢充(开:48321.0s 加:143.5s 等前:0.0s 等后:0.0s) | ST7 转毂(开:48464.5s 加:114.5s 等前:0.0s 等后:0.0s) | ST8 制动(开:48579.0s 加:114.0s 等前:0.0s 等后:0.0s) | ST9 EG漏液/底盘漏液(开:48693.0s 加:112.5s 等前:0.0s 等后:0.0s) | ST10 全景/空调检查(开:48805.5s 加:0.0s 等前:0.0s 等后:0.0s) | ST11 气囊安装+绝缘(开:48805.5s 加:116.0s 等前:0.0s 等后:0.0s) | ST12 L2++(开:48921.5s 加:88.0s 等前:0.0s 等后:0.0s) | ST13 电检1(开:49009.5s 加:84.5s 等前:0.0s 等后:0.0s) | ST14 电检2(开:49094.0s 加:97.5s 等前:0.0s 等后:82.0s) | ST15 小跑道(开:49273.5s 加:50.0s 等前:0.0s 等后:0.0s)</t>
        </is>
      </c>
    </row>
    <row r="739">
      <c r="A739" s="15" t="n">
        <v>738</v>
      </c>
      <c r="B739" s="15" t="inlineStr">
        <is>
          <t>Car#738</t>
        </is>
      </c>
      <c r="C739" s="15" t="inlineStr">
        <is>
          <t>A</t>
        </is>
      </c>
      <c r="D739" s="16" t="n">
        <v>47900.5</v>
      </c>
      <c r="E739" s="16" t="n">
        <v>49374.5</v>
      </c>
      <c r="F739" s="16" t="n">
        <v>1474</v>
      </c>
      <c r="G739" s="16" t="n">
        <v>5767.5</v>
      </c>
      <c r="H739" s="15" t="inlineStr">
        <is>
          <t>Car#736</t>
        </is>
      </c>
      <c r="I739" s="16">
        <f>E739-E738</f>
        <v/>
      </c>
      <c r="J739" s="16">
        <f>I739-58</f>
        <v/>
      </c>
      <c r="K739" s="16">
        <f>MAX(0,J739)</f>
        <v/>
      </c>
      <c r="L739" s="16">
        <f>MAX(0,-J739)</f>
        <v/>
      </c>
      <c r="M739" s="16">
        <f>M738+I739</f>
        <v/>
      </c>
      <c r="N739" s="16">
        <f>D739+F739-E739</f>
        <v/>
      </c>
      <c r="O739" s="15" t="inlineStr">
        <is>
          <t>能力满足</t>
        </is>
      </c>
      <c r="P739" s="15" t="inlineStr">
        <is>
          <t>ST1 引取(开:47900.5s 加:55.0s 等前:5154.5s 等后:6.5s) | ST2 集约(开:47962.0s 加:106.0s 等前:0.0s 等后:24.0s) | ST3 空气悬挂+快充(开:48092.0s 加:0.0s 等前:0.0s 等后:120.5s) | ST4 四轮定位上、下(开:48212.5s 加:115.0s 等前:0.0s 等后:0.0s) | ST5 ADAS(开:48327.5s 加:97.0s 等前:0.0s 等后:40.0s) | ST6 ARHUD+慢充(开:48464.5s 加:0.0s 等前:0.0s 等后:114.5s) | ST7 转毂(开:48579.0s 加:116.0s 等前:0.0s 等后:0.0s) | ST8 制动(开:48695.0s 加:108.0s 等前:0.0s 等后:2.5s) | ST9 EG漏液/底盘漏液(开:48805.5s 加:115.0s 等前:0.0s 等后:0.0s) | ST10 全景/空调检查(开:48920.5s 加:98.0s 等前:0.0s 等后:0.0s) | ST11 气囊安装+绝缘(开:49018.5s 加:0.0s 等前:0.0s 等后:0.0s) | ST12 L2++(开:49018.5s 加:0.0s 等前:0.0s 等后:75.5s) | ST13 电检1(开:49094.0s 加:0.0s 等前:0.0s 等后:179.5s) | ST14 电检2(开:49273.5s 加:0.0s 等前:0.0s 等后:50.0s) | ST15 小跑道(开:49323.5s 加:51.0s 等前:0.0s 等后:0.0s)</t>
        </is>
      </c>
    </row>
    <row r="740">
      <c r="A740" s="13" t="n">
        <v>739</v>
      </c>
      <c r="B740" s="13" t="inlineStr">
        <is>
          <t>Car#739</t>
        </is>
      </c>
      <c r="C740" s="13" t="inlineStr">
        <is>
          <t>C</t>
        </is>
      </c>
      <c r="D740" s="14" t="n">
        <v>47962</v>
      </c>
      <c r="E740" s="14" t="n">
        <v>49480.5</v>
      </c>
      <c r="F740" s="14" t="n">
        <v>1518.5</v>
      </c>
      <c r="G740" s="14" t="n">
        <v>5253</v>
      </c>
      <c r="H740" s="13" t="inlineStr">
        <is>
          <t>Car#738</t>
        </is>
      </c>
      <c r="I740" s="14">
        <f>E740-E739</f>
        <v/>
      </c>
      <c r="J740" s="14">
        <f>I740-58</f>
        <v/>
      </c>
      <c r="K740" s="14">
        <f>MAX(0,J740)</f>
        <v/>
      </c>
      <c r="L740" s="14">
        <f>MAX(0,-J740)</f>
        <v/>
      </c>
      <c r="M740" s="14">
        <f>M739+I740</f>
        <v/>
      </c>
      <c r="N740" s="14">
        <f>D740+F740-E740</f>
        <v/>
      </c>
      <c r="O740" s="13" t="inlineStr">
        <is>
          <t>能力超目标：四轮定位上、下、ARHUD+慢充</t>
        </is>
      </c>
      <c r="P740" s="13" t="inlineStr">
        <is>
          <t>ST1 引取(开:47962.0s 加:56.0s 等前:5158.0s 等后:26.0s) | ST2 集约(开:48044.0s 加:111.0s 等前:0.0s 等后:32.5s) | ST3 空气悬挂+快充(开:48187.5s 加:108.5s 等前:0.0s 等后:6.5s) | ST4 四轮定位上、下(开:48302.5s 加:120.5s 等前:0.0s 等后:22.5s) | ST5 ADAS(开:48445.5s 加:107.0s 等前:0.0s 等后:7.5s) | ST6 ARHUD+慢充(开:48560.0s 加:143.5s 等前:0.0s 等后:0.0s) | ST7 转毂(开:48703.5s 加:114.5s 等前:0.0s 等后:0.0s) | ST8 制动(开:48818.0s 加:114.0s 等前:0.0s 等后:0.0s) | ST9 EG漏液/底盘漏液(开:48932.0s 加:112.5s 等前:0.0s 等后:0.0s) | ST10 全景/空调检查(开:49044.5s 加:0.0s 等前:0.0s 等后:0.0s) | ST11 气囊安装+绝缘(开:49044.5s 加:116.0s 等前:0.0s 等后:0.0s) | ST12 L2++(开:49160.5s 加:88.0s 等前:0.0s 等后:0.0s) | ST13 电检1(开:49248.5s 加:84.5s 等前:0.0s 等后:0.0s) | ST14 电检2(开:49333.0s 加:97.5s 等前:0.0s 等后:0.0s) | ST15 小跑道(开:49430.5s 加:50.0s 等前:0.0s 等后:0.0s)</t>
        </is>
      </c>
    </row>
    <row r="741">
      <c r="A741" s="15" t="n">
        <v>740</v>
      </c>
      <c r="B741" s="15" t="inlineStr">
        <is>
          <t>Car#740</t>
        </is>
      </c>
      <c r="C741" s="15" t="inlineStr">
        <is>
          <t>C</t>
        </is>
      </c>
      <c r="D741" s="16" t="n">
        <v>48044</v>
      </c>
      <c r="E741" s="16" t="n">
        <v>49530.5</v>
      </c>
      <c r="F741" s="16" t="n">
        <v>1486.5</v>
      </c>
      <c r="G741" s="16" t="n">
        <v>5245</v>
      </c>
      <c r="H741" s="15" t="inlineStr">
        <is>
          <t>Car#739</t>
        </is>
      </c>
      <c r="I741" s="16">
        <f>E741-E740</f>
        <v/>
      </c>
      <c r="J741" s="16">
        <f>I741-58</f>
        <v/>
      </c>
      <c r="K741" s="16">
        <f>MAX(0,J741)</f>
        <v/>
      </c>
      <c r="L741" s="16">
        <f>MAX(0,-J741)</f>
        <v/>
      </c>
      <c r="M741" s="16">
        <f>M740+I741</f>
        <v/>
      </c>
      <c r="N741" s="16">
        <f>D741+F741-E741</f>
        <v/>
      </c>
      <c r="O741" s="15" t="inlineStr">
        <is>
          <t>能力超目标：四轮定位上、下、ARHUD+慢充</t>
        </is>
      </c>
      <c r="P741" s="15" t="inlineStr">
        <is>
          <t>ST1 引取(开:48044.0s 加:56.0s 等前:5182.0s 等后:0.0s) | ST2 集约(开:48100.0s 加:111.0s 等前:0.0s 等后:1.5s) | ST3 空气悬挂+快充(开:48212.5s 加:108.5s 等前:0.0s 等后:6.5s) | ST4 四轮定位上、下(开:48327.5s 加:120.5s 等前:0.0s 等后:16.5s) | ST5 ADAS(开:48464.5s 加:107.0s 等前:0.0s 等后:7.5s) | ST6 ARHUD+慢充(开:48579.0s 加:143.5s 等前:0.0s 等后:0.0s) | ST7 转毂(开:48722.5s 加:114.5s 等前:0.0s 等后:0.0s) | ST8 制动(开:48837.0s 加:114.0s 等前:0.0s 等后:0.0s) | ST9 EG漏液/底盘漏液(开:48951.0s 加:112.5s 等前:0.0s 等后:0.0s) | ST10 全景/空调检查(开:49063.5s 加:0.0s 等前:0.0s 等后:0.0s) | ST11 气囊安装+绝缘(开:49063.5s 加:116.0s 等前:0.0s 等后:0.0s) | ST12 L2++(开:49179.5s 加:88.0s 等前:0.0s 等后:6.0s) | ST13 电检1(开:49273.5s 加:84.5s 等前:0.0s 等后:0.0s) | ST14 电检2(开:49358.0s 加:97.5s 等前:0.0s 等后:25.0s) | ST15 小跑道(开:49480.5s 加:50.0s 等前:0.0s 等后:0.0s)</t>
        </is>
      </c>
    </row>
    <row r="742">
      <c r="A742" s="13" t="n">
        <v>741</v>
      </c>
      <c r="B742" s="13" t="inlineStr">
        <is>
          <t>Car#741</t>
        </is>
      </c>
      <c r="C742" s="13" t="inlineStr">
        <is>
          <t>C</t>
        </is>
      </c>
      <c r="D742" s="14" t="n">
        <v>48100</v>
      </c>
      <c r="E742" s="14" t="n">
        <v>49624</v>
      </c>
      <c r="F742" s="14" t="n">
        <v>1524</v>
      </c>
      <c r="G742" s="14" t="n">
        <v>5280.5</v>
      </c>
      <c r="H742" s="13" t="inlineStr">
        <is>
          <t>Car#740</t>
        </is>
      </c>
      <c r="I742" s="14">
        <f>E742-E741</f>
        <v/>
      </c>
      <c r="J742" s="14">
        <f>I742-58</f>
        <v/>
      </c>
      <c r="K742" s="14">
        <f>MAX(0,J742)</f>
        <v/>
      </c>
      <c r="L742" s="14">
        <f>MAX(0,-J742)</f>
        <v/>
      </c>
      <c r="M742" s="14">
        <f>M741+I742</f>
        <v/>
      </c>
      <c r="N742" s="14">
        <f>D742+F742-E742</f>
        <v/>
      </c>
      <c r="O742" s="13" t="inlineStr">
        <is>
          <t>能力超目标：四轮定位上、下、ARHUD+慢充</t>
        </is>
      </c>
      <c r="P742" s="13" t="inlineStr">
        <is>
          <t>ST1 引取(开:48100.0s 加:56.0s 等前:5180.0s 等后:31.5s) | ST2 集约(开:48187.5s 加:111.0s 等前:0.0s 等后:4.0s) | ST3 空气悬挂+快充(开:48302.5s 加:108.5s 等前:0.0s 等后:34.5s) | ST4 四轮定位上、下(开:48445.5s 加:120.5s 等前:0.0s 等后:0.0s) | ST5 ADAS(开:48566.0s 加:107.0s 等前:0.0s 等后:30.5s) | ST6 ARHUD+慢充(开:48703.5s 加:143.5s 等前:0.0s 等后:0.0s) | ST7 转毂(开:48847.0s 加:114.5s 等前:0.0s 等后:0.0s) | ST8 制动(开:48961.5s 加:114.0s 等前:0.0s 等后:0.0s) | ST9 EG漏液/底盘漏液(开:49075.5s 加:112.5s 等前:0.0s 等后:0.0s) | ST10 全景/空调检查(开:49188.0s 加:0.0s 等前:0.0s 等后:0.0s) | ST11 气囊安装+绝缘(开:49188.0s 加:116.0s 等前:0.0s 等后:0.0s) | ST12 L2++(开:49304.0s 加:88.0s 等前:0.0s 等后:0.0s) | ST13 电检1(开:49392.0s 加:84.5s 等前:0.0s 等后:0.0s) | ST14 电检2(开:49476.5s 加:97.5s 等前:0.0s 等后:0.0s) | ST15 小跑道(开:49574.0s 加:50.0s 等前:0.0s 等后:0.0s)</t>
        </is>
      </c>
    </row>
    <row r="743">
      <c r="A743" s="15" t="n">
        <v>742</v>
      </c>
      <c r="B743" s="15" t="inlineStr">
        <is>
          <t>Car#742</t>
        </is>
      </c>
      <c r="C743" s="15" t="inlineStr">
        <is>
          <t>C</t>
        </is>
      </c>
      <c r="D743" s="16" t="n">
        <v>48187.5</v>
      </c>
      <c r="E743" s="16" t="n">
        <v>49674</v>
      </c>
      <c r="F743" s="16" t="n">
        <v>1486.5</v>
      </c>
      <c r="G743" s="16" t="n">
        <v>5272.5</v>
      </c>
      <c r="H743" s="15" t="inlineStr">
        <is>
          <t>Car#741</t>
        </is>
      </c>
      <c r="I743" s="16">
        <f>E743-E742</f>
        <v/>
      </c>
      <c r="J743" s="16">
        <f>I743-58</f>
        <v/>
      </c>
      <c r="K743" s="16">
        <f>MAX(0,J743)</f>
        <v/>
      </c>
      <c r="L743" s="16">
        <f>MAX(0,-J743)</f>
        <v/>
      </c>
      <c r="M743" s="16">
        <f>M742+I743</f>
        <v/>
      </c>
      <c r="N743" s="16">
        <f>D743+F743-E743</f>
        <v/>
      </c>
      <c r="O743" s="15" t="inlineStr">
        <is>
          <t>能力超目标：四轮定位上、下、ARHUD+慢充</t>
        </is>
      </c>
      <c r="P743" s="15" t="inlineStr">
        <is>
          <t>ST1 引取(开:48187.5s 加:56.0s 等前:5209.5s 等后:0.0s) | ST2 集约(开:48243.5s 加:111.0s 等前:0.0s 等后:0.0s) | ST3 空气悬挂+快充(开:48354.5s 加:108.5s 等前:0.0s 等后:1.5s) | ST4 四轮定位上、下(开:48464.5s 加:120.5s 等前:0.0s 等后:0.0s) | ST5 ADAS(开:48585.0s 加:107.0s 等前:0.0s 等后:30.5s) | ST6 ARHUD+慢充(开:48722.5s 加:143.5s 等前:0.0s 等后:0.0s) | ST7 转毂(开:48866.0s 加:114.5s 等前:0.0s 等后:0.0s) | ST8 制动(开:48980.5s 加:114.0s 等前:0.0s 等后:0.0s) | ST9 EG漏液/底盘漏液(开:49094.5s 加:112.5s 等前:0.0s 等后:0.0s) | ST10 全景/空调检查(开:49207.0s 加:0.0s 等前:0.0s 等后:0.0s) | ST11 气囊安装+绝缘(开:49207.0s 加:116.0s 等前:0.0s 等后:0.0s) | ST12 L2++(开:49323.0s 加:88.0s 等前:0.0s 等后:0.0s) | ST13 电检1(开:49411.0s 加:84.5s 等前:0.0s 等后:0.0s) | ST14 电检2(开:49495.5s 加:97.5s 等前:0.0s 等后:31.0s) | ST15 小跑道(开:49624.0s 加:50.0s 等前:0.0s 等后:0.0s)</t>
        </is>
      </c>
    </row>
    <row r="744">
      <c r="A744" s="13" t="n">
        <v>743</v>
      </c>
      <c r="B744" s="13" t="inlineStr">
        <is>
          <t>Car#743</t>
        </is>
      </c>
      <c r="C744" s="13" t="inlineStr">
        <is>
          <t>B</t>
        </is>
      </c>
      <c r="D744" s="14" t="n">
        <v>48243.5</v>
      </c>
      <c r="E744" s="14" t="n">
        <v>49740</v>
      </c>
      <c r="F744" s="14" t="n">
        <v>1496.5</v>
      </c>
      <c r="G744" s="14" t="n">
        <v>5372.5</v>
      </c>
      <c r="H744" s="13" t="inlineStr">
        <is>
          <t>Car#742</t>
        </is>
      </c>
      <c r="I744" s="14">
        <f>E744-E743</f>
        <v/>
      </c>
      <c r="J744" s="14">
        <f>I744-58</f>
        <v/>
      </c>
      <c r="K744" s="14">
        <f>MAX(0,J744)</f>
        <v/>
      </c>
      <c r="L744" s="14">
        <f>MAX(0,-J744)</f>
        <v/>
      </c>
      <c r="M744" s="14">
        <f>M743+I744</f>
        <v/>
      </c>
      <c r="N744" s="14">
        <f>D744+F744-E744</f>
        <v/>
      </c>
      <c r="O744" s="13" t="inlineStr">
        <is>
          <t>能力超目标：四轮定位上、下</t>
        </is>
      </c>
      <c r="P744" s="13" t="inlineStr">
        <is>
          <t>ST1 引取(开:48243.5s 加:56.0s 等前:5207.5s 等后:3.0s) | ST2 集约(开:48302.5s 加:111.0s 等前:0.0s 等后:32.0s) | ST3 空气悬挂+快充(开:48445.5s 加:108.5s 等前:0.0s 等后:12.0s) | ST4 四轮定位上、下(开:48566.0s 加:120.5s 等前:0.0s 等后:17.0s) | ST5 ADAS(开:48703.5s 加:107.0s 等前:0.0s 等后:36.5s) | ST6 ARHUD+慢充(开:48847.0s 加:51.5s 等前:0.0s 等后:63.0s) | ST7 转毂(开:48961.5s 加:114.5s 等前:0.0s 等后:0.0s) | ST8 制动(开:49076.0s 加:114.0s 等前:0.0s 等后:0.0s) | ST9 EG漏液/底盘漏液(开:49190.0s 加:112.5s 等前:0.0s 等后:0.0s) | ST10 全景/空调检查(开:49302.5s 加:0.0s 等前:0.0s 等后:1.5s) | ST11 气囊安装+绝缘(开:49304.0s 加:116.0s 等前:0.0s 等后:0.0s) | ST12 L2++(开:49420.0s 加:88.0s 等前:0.0s 等后:0.0s) | ST13 电检1(开:49508.0s 加:84.5s 等前:0.0s 等后:0.0s) | ST14 电检2(开:49592.5s 加:97.5s 等前:0.0s 等后:0.0s) | ST15 小跑道(开:49690.0s 加:50.0s 等前:0.0s 等后:0.0s)</t>
        </is>
      </c>
    </row>
    <row r="745">
      <c r="A745" s="15" t="n">
        <v>744</v>
      </c>
      <c r="B745" s="15" t="inlineStr">
        <is>
          <t>Car#745</t>
        </is>
      </c>
      <c r="C745" s="15" t="inlineStr">
        <is>
          <t>A</t>
        </is>
      </c>
      <c r="D745" s="16" t="n">
        <v>48358.5</v>
      </c>
      <c r="E745" s="16" t="n">
        <v>49791</v>
      </c>
      <c r="F745" s="16" t="n">
        <v>1432.5</v>
      </c>
      <c r="G745" s="16" t="n">
        <v>5778</v>
      </c>
      <c r="H745" s="15" t="inlineStr">
        <is>
          <t>Car#743</t>
        </is>
      </c>
      <c r="I745" s="16">
        <f>E745-E744</f>
        <v/>
      </c>
      <c r="J745" s="16">
        <f>I745-58</f>
        <v/>
      </c>
      <c r="K745" s="16">
        <f>MAX(0,J745)</f>
        <v/>
      </c>
      <c r="L745" s="16">
        <f>MAX(0,-J745)</f>
        <v/>
      </c>
      <c r="M745" s="16">
        <f>M744+I745</f>
        <v/>
      </c>
      <c r="N745" s="16">
        <f>D745+F745-E745</f>
        <v/>
      </c>
      <c r="O745" s="15" t="inlineStr">
        <is>
          <t>能力满足</t>
        </is>
      </c>
      <c r="P745" s="15" t="inlineStr">
        <is>
          <t>ST1 引取(开:48358.5s 加:55.0s 等前:5206.5s 等后:32.0s) | ST2 集约(开:48445.5s 加:106.0s 等前:0.0s 等后:14.5s) | ST3 空气悬挂+快充(开:48566.0s 加:0.0s 等前:0.0s 等后:137.5s) | ST4 四轮定位上、下(开:48703.5s 加:115.0s 等前:0.0s 等后:28.5s) | ST5 ADAS(开:48847.0s 加:97.0s 等前:0.0s 等后:17.5s) | ST6 ARHUD+慢充(开:48961.5s 加:0.0s 等前:0.0s 等后:114.5s) | ST7 转毂(开:49076.0s 加:116.0s 等前:0.0s 等后:0.0s) | ST8 制动(开:49192.0s 加:108.0s 等前:0.0s 等后:2.5s) | ST9 EG漏液/底盘漏液(开:49302.5s 加:115.0s 等前:0.0s 等后:0.0s) | ST10 全景/空调检查(开:49417.5s 加:98.0s 等前:0.0s 等后:0.0s) | ST11 气囊安装+绝缘(开:49515.5s 加:0.0s 等前:0.0s 等后:0.0s) | ST12 L2++(开:49515.5s 加:0.0s 等前:0.0s 等后:77.0s) | ST13 电检1(开:49592.5s 加:0.0s 等前:0.0s 等后:97.5s) | ST14 电检2(开:49690.0s 加:0.0s 等前:0.0s 等后:50.0s) | ST15 小跑道(开:49740.0s 加:51.0s 等前:0.0s 等后:0.0s)</t>
        </is>
      </c>
    </row>
    <row r="746">
      <c r="A746" s="13" t="n">
        <v>745</v>
      </c>
      <c r="B746" s="13" t="inlineStr">
        <is>
          <t>Car#744</t>
        </is>
      </c>
      <c r="C746" s="13" t="inlineStr">
        <is>
          <t>B</t>
        </is>
      </c>
      <c r="D746" s="14" t="n">
        <v>48302.5</v>
      </c>
      <c r="E746" s="14" t="n">
        <v>49841</v>
      </c>
      <c r="F746" s="14" t="n">
        <v>1538.5</v>
      </c>
      <c r="G746" s="14" t="n">
        <v>5415.5</v>
      </c>
      <c r="H746" s="13" t="inlineStr">
        <is>
          <t>Car#745</t>
        </is>
      </c>
      <c r="I746" s="14">
        <f>E746-E745</f>
        <v/>
      </c>
      <c r="J746" s="14">
        <f>I746-58</f>
        <v/>
      </c>
      <c r="K746" s="14">
        <f>MAX(0,J746)</f>
        <v/>
      </c>
      <c r="L746" s="14">
        <f>MAX(0,-J746)</f>
        <v/>
      </c>
      <c r="M746" s="14">
        <f>M745+I746</f>
        <v/>
      </c>
      <c r="N746" s="14">
        <f>D746+F746-E746</f>
        <v/>
      </c>
      <c r="O746" s="13" t="inlineStr">
        <is>
          <t>能力超目标：四轮定位上、下</t>
        </is>
      </c>
      <c r="P746" s="13" t="inlineStr">
        <is>
          <t>ST1 引取(开:48302.5s 加:56.0s 等前:5208.5s 等后:0.0s) | ST2 集约(开:48358.5s 加:111.0s 等前:0.0s 等后:0.0s) | ST3 空气悬挂+快充(开:48469.5s 加:108.5s 等前:0.0s 等后:7.0s) | ST4 四轮定位上、下(开:48585.0s 加:120.5s 等前:0.0s 等后:17.0s) | ST5 ADAS(开:48722.5s 加:107.0s 等前:0.0s 等后:36.5s) | ST6 ARHUD+慢充(开:48866.0s 加:51.5s 等前:0.0s 等后:63.0s) | ST7 转毂(开:48980.5s 加:114.5s 等前:0.0s 等后:0.0s) | ST8 制动(开:49095.0s 加:114.0s 等前:0.0s 等后:0.0s) | ST9 EG漏液/底盘漏液(开:49209.0s 加:112.5s 等前:0.0s 等后:0.0s) | ST10 全景/空调检查(开:49321.5s 加:0.0s 等前:0.0s 等后:1.5s) | ST11 气囊安装+绝缘(开:49323.0s 加:116.0s 等前:0.0s 等后:0.0s) | ST12 L2++(开:49439.0s 加:88.0s 等前:0.0s 等后:0.0s) | ST13 电检1(开:49527.0s 加:84.5s 等前:0.0s 等后:12.5s) | ST14 电检2(开:49624.0s 加:97.5s 等前:0.0s 等后:69.5s) | ST15 小跑道(开:49791.0s 加:50.0s 等前:0.0s 等后:0.0s)</t>
        </is>
      </c>
    </row>
    <row r="747">
      <c r="A747" s="15" t="n">
        <v>746</v>
      </c>
      <c r="B747" s="15" t="inlineStr">
        <is>
          <t>Car#746</t>
        </is>
      </c>
      <c r="C747" s="15" t="inlineStr">
        <is>
          <t>A</t>
        </is>
      </c>
      <c r="D747" s="16" t="n">
        <v>48445.5</v>
      </c>
      <c r="E747" s="16" t="n">
        <v>49892</v>
      </c>
      <c r="F747" s="16" t="n">
        <v>1446.5</v>
      </c>
      <c r="G747" s="16" t="n">
        <v>5821</v>
      </c>
      <c r="H747" s="15" t="inlineStr">
        <is>
          <t>Car#744</t>
        </is>
      </c>
      <c r="I747" s="16">
        <f>E747-E746</f>
        <v/>
      </c>
      <c r="J747" s="16">
        <f>I747-58</f>
        <v/>
      </c>
      <c r="K747" s="16">
        <f>MAX(0,J747)</f>
        <v/>
      </c>
      <c r="L747" s="16">
        <f>MAX(0,-J747)</f>
        <v/>
      </c>
      <c r="M747" s="16">
        <f>M746+I747</f>
        <v/>
      </c>
      <c r="N747" s="16">
        <f>D747+F747-E747</f>
        <v/>
      </c>
      <c r="O747" s="15" t="inlineStr">
        <is>
          <t>能力满足</t>
        </is>
      </c>
      <c r="P747" s="15" t="inlineStr">
        <is>
          <t>ST1 引取(开:48445.5s 加:55.0s 等前:5235.5s 等后:0.0s) | ST2 集约(开:48500.5s 加:106.0s 等前:0.0s 等后:0.0s) | ST3 空气悬挂+快充(开:48606.5s 加:0.0s 等前:0.0s 等后:116.0s) | ST4 四轮定位上、下(开:48722.5s 加:115.0s 等前:0.0s 等后:28.5s) | ST5 ADAS(开:48866.0s 加:97.0s 等前:0.0s 等后:17.5s) | ST6 ARHUD+慢充(开:48980.5s 加:0.0s 等前:0.0s 等后:114.5s) | ST7 转毂(开:49095.0s 加:116.0s 等前:0.0s 等后:0.0s) | ST8 制动(开:49211.0s 加:108.0s 等前:0.0s 等后:2.5s) | ST9 EG漏液/底盘漏液(开:49321.5s 加:115.0s 等前:0.0s 等后:0.0s) | ST10 全景/空调检查(开:49436.5s 加:98.0s 等前:0.0s 等后:0.0s) | ST11 气囊安装+绝缘(开:49534.5s 加:0.0s 等前:0.0s 等后:0.0s) | ST12 L2++(开:49534.5s 加:0.0s 等前:0.0s 等后:89.5s) | ST13 电检1(开:49624.0s 加:0.0s 等前:0.0s 等后:167.0s) | ST14 电检2(开:49791.0s 加:0.0s 等前:0.0s 等后:50.0s) | ST15 小跑道(开:49841.0s 加:51.0s 等前:0.0s 等后:0.0s)</t>
        </is>
      </c>
    </row>
    <row r="748">
      <c r="A748" s="13" t="n">
        <v>747</v>
      </c>
      <c r="B748" s="13" t="inlineStr">
        <is>
          <t>Car#747</t>
        </is>
      </c>
      <c r="C748" s="13" t="inlineStr">
        <is>
          <t>C</t>
        </is>
      </c>
      <c r="D748" s="14" t="n">
        <v>48500.5</v>
      </c>
      <c r="E748" s="14" t="n">
        <v>49996.5</v>
      </c>
      <c r="F748" s="14" t="n">
        <v>1496</v>
      </c>
      <c r="G748" s="14" t="n">
        <v>5305</v>
      </c>
      <c r="H748" s="13" t="inlineStr">
        <is>
          <t>Car#746</t>
        </is>
      </c>
      <c r="I748" s="14">
        <f>E748-E747</f>
        <v/>
      </c>
      <c r="J748" s="14">
        <f>I748-58</f>
        <v/>
      </c>
      <c r="K748" s="14">
        <f>MAX(0,J748)</f>
        <v/>
      </c>
      <c r="L748" s="14">
        <f>MAX(0,-J748)</f>
        <v/>
      </c>
      <c r="M748" s="14">
        <f>M747+I748</f>
        <v/>
      </c>
      <c r="N748" s="14">
        <f>D748+F748-E748</f>
        <v/>
      </c>
      <c r="O748" s="13" t="inlineStr">
        <is>
          <t>能力超目标：四轮定位上、下、ARHUD+慢充</t>
        </is>
      </c>
      <c r="P748" s="13" t="inlineStr">
        <is>
          <t>ST1 引取(开:48500.5s 加:56.0s 等前:5232.5s 等后:9.5s) | ST2 集约(开:48566.0s 加:111.0s 等前:0.0s 等后:26.5s) | ST3 空气悬挂+快充(开:48703.5s 加:108.5s 等前:0.0s 等后:35.0s) | ST4 四轮定位上、下(开:48847.0s 加:120.5s 等前:0.0s 等后:0.0s) | ST5 ADAS(开:48967.5s 加:107.0s 等前:0.0s 等后:1.5s) | ST6 ARHUD+慢充(开:49076.0s 加:143.5s 等前:0.0s 等后:0.0s) | ST7 转毂(开:49219.5s 加:114.5s 等前:0.0s 等后:0.0s) | ST8 制动(开:49334.0s 加:114.0s 等前:0.0s 等后:0.0s) | ST9 EG漏液/底盘漏液(开:49448.0s 加:112.5s 等前:0.0s 等后:0.0s) | ST10 全景/空调检查(开:49560.5s 加:0.0s 等前:0.0s 等后:0.0s) | ST11 气囊安装+绝缘(开:49560.5s 加:116.0s 等前:0.0s 等后:0.0s) | ST12 L2++(开:49676.5s 加:88.0s 等前:0.0s 等后:0.0s) | ST13 电检1(开:49764.5s 加:84.5s 等前:0.0s 等后:0.0s) | ST14 电检2(开:49849.0s 加:97.5s 等前:0.0s 等后:0.0s) | ST15 小跑道(开:49946.5s 加:50.0s 等前:0.0s 等后:0.0s)</t>
        </is>
      </c>
    </row>
    <row r="749">
      <c r="A749" s="15" t="n">
        <v>748</v>
      </c>
      <c r="B749" s="15" t="inlineStr">
        <is>
          <t>Car#748</t>
        </is>
      </c>
      <c r="C749" s="15" t="inlineStr">
        <is>
          <t>C</t>
        </is>
      </c>
      <c r="D749" s="16" t="n">
        <v>48566</v>
      </c>
      <c r="E749" s="16" t="n">
        <v>50046.5</v>
      </c>
      <c r="F749" s="16" t="n">
        <v>1480.5</v>
      </c>
      <c r="G749" s="16" t="n">
        <v>5297</v>
      </c>
      <c r="H749" s="15" t="inlineStr">
        <is>
          <t>Car#747</t>
        </is>
      </c>
      <c r="I749" s="16">
        <f>E749-E748</f>
        <v/>
      </c>
      <c r="J749" s="16">
        <f>I749-58</f>
        <v/>
      </c>
      <c r="K749" s="16">
        <f>MAX(0,J749)</f>
        <v/>
      </c>
      <c r="L749" s="16">
        <f>MAX(0,-J749)</f>
        <v/>
      </c>
      <c r="M749" s="16">
        <f>M748+I749</f>
        <v/>
      </c>
      <c r="N749" s="16">
        <f>D749+F749-E749</f>
        <v/>
      </c>
      <c r="O749" s="15" t="inlineStr">
        <is>
          <t>能力超目标：四轮定位上、下、ARHUD+慢充</t>
        </is>
      </c>
      <c r="P749" s="15" t="inlineStr">
        <is>
          <t>ST1 引取(开:48566.0s 加:56.0s 等前:5240.0s 等后:0.0s) | ST2 集约(开:48622.0s 加:111.0s 等前:0.0s 等后:0.0s) | ST3 空气悬挂+快充(开:48733.0s 加:108.5s 等前:0.0s 等后:24.5s) | ST4 四轮定位上、下(开:48866.0s 加:120.5s 等前:0.0s 等后:0.0s) | ST5 ADAS(开:48986.5s 加:107.0s 等前:0.0s 等后:1.5s) | ST6 ARHUD+慢充(开:49095.0s 加:143.5s 等前:0.0s 等后:0.0s) | ST7 转毂(开:49238.5s 加:114.5s 等前:0.0s 等后:0.0s) | ST8 制动(开:49353.0s 加:114.0s 等前:0.0s 等后:0.0s) | ST9 EG漏液/底盘漏液(开:49467.0s 加:112.5s 等前:0.0s 等后:0.0s) | ST10 全景/空调检查(开:49579.5s 加:0.0s 等前:0.0s 等后:0.0s) | ST11 气囊安装+绝缘(开:49579.5s 加:116.0s 等前:0.0s 等后:0.0s) | ST12 L2++(开:49695.5s 加:88.0s 等前:0.0s 等后:7.5s) | ST13 电检1(开:49791.0s 加:84.5s 等前:0.0s 等后:0.0s) | ST14 电检2(开:49875.5s 加:97.5s 等前:0.0s 等后:23.5s) | ST15 小跑道(开:49996.5s 加:50.0s 等前:0.0s 等后:0.0s)</t>
        </is>
      </c>
    </row>
    <row r="750">
      <c r="A750" s="13" t="n">
        <v>749</v>
      </c>
      <c r="B750" s="13" t="inlineStr">
        <is>
          <t>Car#749</t>
        </is>
      </c>
      <c r="C750" s="13" t="inlineStr">
        <is>
          <t>C</t>
        </is>
      </c>
      <c r="D750" s="14" t="n">
        <v>48622</v>
      </c>
      <c r="E750" s="14" t="n">
        <v>50140</v>
      </c>
      <c r="F750" s="14" t="n">
        <v>1518</v>
      </c>
      <c r="G750" s="14" t="n">
        <v>5332.5</v>
      </c>
      <c r="H750" s="13" t="inlineStr">
        <is>
          <t>Car#748</t>
        </is>
      </c>
      <c r="I750" s="14">
        <f>E750-E749</f>
        <v/>
      </c>
      <c r="J750" s="14">
        <f>I750-58</f>
        <v/>
      </c>
      <c r="K750" s="14">
        <f>MAX(0,J750)</f>
        <v/>
      </c>
      <c r="L750" s="14">
        <f>MAX(0,-J750)</f>
        <v/>
      </c>
      <c r="M750" s="14">
        <f>M749+I750</f>
        <v/>
      </c>
      <c r="N750" s="14">
        <f>D750+F750-E750</f>
        <v/>
      </c>
      <c r="O750" s="13" t="inlineStr">
        <is>
          <t>能力超目标：四轮定位上、下、ARHUD+慢充</t>
        </is>
      </c>
      <c r="P750" s="13" t="inlineStr">
        <is>
          <t>ST1 引取(开:48622.0s 加:56.0s 等前:5238.0s 等后:25.5s) | ST2 集约(开:48703.5s 加:111.0s 等前:0.0s 等后:32.5s) | ST3 空气悬挂+快充(开:48847.0s 加:108.5s 等前:0.0s 等后:12.0s) | ST4 四轮定位上、下(开:48967.5s 加:120.5s 等前:0.0s 等后:0.0s) | ST5 ADAS(开:49088.0s 加:107.0s 等前:0.0s 等后:24.5s) | ST6 ARHUD+慢充(开:49219.5s 加:143.5s 等前:0.0s 等后:0.0s) | ST7 转毂(开:49363.0s 加:114.5s 等前:0.0s 等后:0.0s) | ST8 制动(开:49477.5s 加:114.0s 等前:0.0s 等后:0.0s) | ST9 EG漏液/底盘漏液(开:49591.5s 加:112.5s 等前:0.0s 等后:0.0s) | ST10 全景/空调检查(开:49704.0s 加:0.0s 等前:0.0s 等后:0.0s) | ST11 气囊安装+绝缘(开:49704.0s 加:116.0s 等前:0.0s 等后:0.0s) | ST12 L2++(开:49820.0s 加:88.0s 等前:0.0s 等后:0.0s) | ST13 电检1(开:49908.0s 加:84.5s 等前:0.0s 等后:0.0s) | ST14 电检2(开:49992.5s 加:97.5s 等前:0.0s 等后:0.0s) | ST15 小跑道(开:50090.0s 加:50.0s 等前:0.0s 等后:0.0s)</t>
        </is>
      </c>
    </row>
    <row r="751">
      <c r="A751" s="15" t="n">
        <v>750</v>
      </c>
      <c r="B751" s="15" t="inlineStr">
        <is>
          <t>Car#750</t>
        </is>
      </c>
      <c r="C751" s="15" t="inlineStr">
        <is>
          <t>C</t>
        </is>
      </c>
      <c r="D751" s="16" t="n">
        <v>48703.5</v>
      </c>
      <c r="E751" s="16" t="n">
        <v>50190</v>
      </c>
      <c r="F751" s="16" t="n">
        <v>1486.5</v>
      </c>
      <c r="G751" s="16" t="n">
        <v>5324.5</v>
      </c>
      <c r="H751" s="15" t="inlineStr">
        <is>
          <t>Car#749</t>
        </is>
      </c>
      <c r="I751" s="16">
        <f>E751-E750</f>
        <v/>
      </c>
      <c r="J751" s="16">
        <f>I751-58</f>
        <v/>
      </c>
      <c r="K751" s="16">
        <f>MAX(0,J751)</f>
        <v/>
      </c>
      <c r="L751" s="16">
        <f>MAX(0,-J751)</f>
        <v/>
      </c>
      <c r="M751" s="16">
        <f>M750+I751</f>
        <v/>
      </c>
      <c r="N751" s="16">
        <f>D751+F751-E751</f>
        <v/>
      </c>
      <c r="O751" s="15" t="inlineStr">
        <is>
          <t>能力超目标：四轮定位上、下、ARHUD+慢充</t>
        </is>
      </c>
      <c r="P751" s="15" t="inlineStr">
        <is>
          <t>ST1 引取(开:48703.5s 加:56.0s 等前:5261.5s 等后:0.0s) | ST2 集约(开:48759.5s 加:111.0s 等前:0.0s 等后:0.0s) | ST3 空气悬挂+快充(开:48870.5s 加:108.5s 等前:0.0s 等后:7.5s) | ST4 四轮定位上、下(开:48986.5s 加:120.5s 等前:0.0s 等后:0.0s) | ST5 ADAS(开:49107.0s 加:107.0s 等前:0.0s 等后:24.5s) | ST6 ARHUD+慢充(开:49238.5s 加:143.5s 等前:0.0s 等后:0.0s) | ST7 转毂(开:49382.0s 加:114.5s 等前:0.0s 等后:0.0s) | ST8 制动(开:49496.5s 加:114.0s 等前:0.0s 等后:0.0s) | ST9 EG漏液/底盘漏液(开:49610.5s 加:112.5s 等前:0.0s 等后:0.0s) | ST10 全景/空调检查(开:49723.0s 加:0.0s 等前:0.0s 等后:0.0s) | ST11 气囊安装+绝缘(开:49723.0s 加:116.0s 等前:0.0s 等后:0.0s) | ST12 L2++(开:49839.0s 加:88.0s 等前:0.0s 等后:0.0s) | ST13 电检1(开:49927.0s 加:84.5s 等前:0.0s 等后:0.0s) | ST14 电检2(开:50011.5s 加:97.5s 等前:0.0s 等后:31.0s) | ST15 小跑道(开:50140.0s 加:50.0s 等前:0.0s 等后:0.0s)</t>
        </is>
      </c>
    </row>
    <row r="752">
      <c r="A752" s="13" t="n">
        <v>751</v>
      </c>
      <c r="B752" s="13" t="inlineStr">
        <is>
          <t>Car#751</t>
        </is>
      </c>
      <c r="C752" s="13" t="inlineStr">
        <is>
          <t>B</t>
        </is>
      </c>
      <c r="D752" s="14" t="n">
        <v>48759.5</v>
      </c>
      <c r="E752" s="14" t="n">
        <v>50256</v>
      </c>
      <c r="F752" s="14" t="n">
        <v>1496.5</v>
      </c>
      <c r="G752" s="14" t="n">
        <v>5424.5</v>
      </c>
      <c r="H752" s="13" t="inlineStr">
        <is>
          <t>Car#750</t>
        </is>
      </c>
      <c r="I752" s="14">
        <f>E752-E751</f>
        <v/>
      </c>
      <c r="J752" s="14">
        <f>I752-58</f>
        <v/>
      </c>
      <c r="K752" s="14">
        <f>MAX(0,J752)</f>
        <v/>
      </c>
      <c r="L752" s="14">
        <f>MAX(0,-J752)</f>
        <v/>
      </c>
      <c r="M752" s="14">
        <f>M751+I752</f>
        <v/>
      </c>
      <c r="N752" s="14">
        <f>D752+F752-E752</f>
        <v/>
      </c>
      <c r="O752" s="13" t="inlineStr">
        <is>
          <t>能力超目标：四轮定位上、下</t>
        </is>
      </c>
      <c r="P752" s="13" t="inlineStr">
        <is>
          <t>ST1 引取(开:48759.5s 加:56.0s 等前:5259.5s 等后:31.5s) | ST2 集约(开:48847.0s 加:111.0s 等前:0.0s 等后:9.5s) | ST3 空气悬挂+快充(开:48967.5s 加:108.5s 等前:0.0s 等后:12.0s) | ST4 四轮定位上、下(开:49088.0s 加:120.5s 等前:0.0s 等后:11.0s) | ST5 ADAS(开:49219.5s 加:107.0s 等前:0.0s 等后:36.5s) | ST6 ARHUD+慢充(开:49363.0s 加:51.5s 等前:0.0s 等后:63.0s) | ST7 转毂(开:49477.5s 加:114.5s 等前:0.0s 等后:0.0s) | ST8 制动(开:49592.0s 加:114.0s 等前:0.0s 等后:0.0s) | ST9 EG漏液/底盘漏液(开:49706.0s 加:112.5s 等前:0.0s 等后:0.0s) | ST10 全景/空调检查(开:49818.5s 加:0.0s 等前:0.0s 等后:1.5s) | ST11 气囊安装+绝缘(开:49820.0s 加:116.0s 等前:0.0s 等后:0.0s) | ST12 L2++(开:49936.0s 加:88.0s 等前:0.0s 等后:0.0s) | ST13 电检1(开:50024.0s 加:84.5s 等前:0.0s 等后:0.0s) | ST14 电检2(开:50108.5s 加:97.5s 等前:0.0s 等后:0.0s) | ST15 小跑道(开:50206.0s 加:50.0s 等前:0.0s 等后:0.0s)</t>
        </is>
      </c>
    </row>
    <row r="753">
      <c r="A753" s="15" t="n">
        <v>752</v>
      </c>
      <c r="B753" s="15" t="inlineStr">
        <is>
          <t>Car#753</t>
        </is>
      </c>
      <c r="C753" s="15" t="inlineStr">
        <is>
          <t>A</t>
        </is>
      </c>
      <c r="D753" s="16" t="n">
        <v>48903</v>
      </c>
      <c r="E753" s="16" t="n">
        <v>50307</v>
      </c>
      <c r="F753" s="16" t="n">
        <v>1404</v>
      </c>
      <c r="G753" s="16" t="n">
        <v>5830</v>
      </c>
      <c r="H753" s="15" t="inlineStr">
        <is>
          <t>Car#751</t>
        </is>
      </c>
      <c r="I753" s="16">
        <f>E753-E752</f>
        <v/>
      </c>
      <c r="J753" s="16">
        <f>I753-58</f>
        <v/>
      </c>
      <c r="K753" s="16">
        <f>MAX(0,J753)</f>
        <v/>
      </c>
      <c r="L753" s="16">
        <f>MAX(0,-J753)</f>
        <v/>
      </c>
      <c r="M753" s="16">
        <f>M752+I753</f>
        <v/>
      </c>
      <c r="N753" s="16">
        <f>D753+F753-E753</f>
        <v/>
      </c>
      <c r="O753" s="15" t="inlineStr">
        <is>
          <t>能力满足</t>
        </is>
      </c>
      <c r="P753" s="15" t="inlineStr">
        <is>
          <t>ST1 引取(开:48903.0s 加:55.0s 等前:5287.0s 等后:9.5s) | ST2 集约(开:48967.5s 加:106.0s 等前:0.0s 等后:14.5s) | ST3 空气悬挂+快充(开:49088.0s 加:0.0s 等前:0.0s 等后:131.5s) | ST4 四轮定位上、下(开:49219.5s 加:115.0s 等前:0.0s 等后:28.5s) | ST5 ADAS(开:49363.0s 加:97.0s 等前:0.0s 等后:17.5s) | ST6 ARHUD+慢充(开:49477.5s 加:0.0s 等前:0.0s 等后:114.5s) | ST7 转毂(开:49592.0s 加:116.0s 等前:0.0s 等后:0.0s) | ST8 制动(开:49708.0s 加:108.0s 等前:0.0s 等后:2.5s) | ST9 EG漏液/底盘漏液(开:49818.5s 加:115.0s 等前:0.0s 等后:0.0s) | ST10 全景/空调检查(开:49933.5s 加:98.0s 等前:0.0s 等后:0.0s) | ST11 气囊安装+绝缘(开:50031.5s 加:0.0s 等前:0.0s 等后:0.0s) | ST12 L2++(开:50031.5s 加:0.0s 等前:0.0s 等后:77.0s) | ST13 电检1(开:50108.5s 加:0.0s 等前:0.0s 等后:97.5s) | ST14 电检2(开:50206.0s 加:0.0s 等前:0.0s 等后:50.0s) | ST15 小跑道(开:50256.0s 加:51.0s 等前:0.0s 等后:0.0s)</t>
        </is>
      </c>
    </row>
    <row r="754">
      <c r="A754" s="13" t="n">
        <v>753</v>
      </c>
      <c r="B754" s="13" t="inlineStr">
        <is>
          <t>Car#752</t>
        </is>
      </c>
      <c r="C754" s="13" t="inlineStr">
        <is>
          <t>B</t>
        </is>
      </c>
      <c r="D754" s="14" t="n">
        <v>48847</v>
      </c>
      <c r="E754" s="14" t="n">
        <v>50357</v>
      </c>
      <c r="F754" s="14" t="n">
        <v>1510</v>
      </c>
      <c r="G754" s="14" t="n">
        <v>5467.5</v>
      </c>
      <c r="H754" s="13" t="inlineStr">
        <is>
          <t>Car#753</t>
        </is>
      </c>
      <c r="I754" s="14">
        <f>E754-E753</f>
        <v/>
      </c>
      <c r="J754" s="14">
        <f>I754-58</f>
        <v/>
      </c>
      <c r="K754" s="14">
        <f>MAX(0,J754)</f>
        <v/>
      </c>
      <c r="L754" s="14">
        <f>MAX(0,-J754)</f>
        <v/>
      </c>
      <c r="M754" s="14">
        <f>M753+I754</f>
        <v/>
      </c>
      <c r="N754" s="14">
        <f>D754+F754-E754</f>
        <v/>
      </c>
      <c r="O754" s="13" t="inlineStr">
        <is>
          <t>能力超目标：四轮定位上、下</t>
        </is>
      </c>
      <c r="P754" s="13" t="inlineStr">
        <is>
          <t>ST1 引取(开:48847.0s 加:56.0s 等前:5289.0s 等后:0.0s) | ST2 集约(开:48903.0s 加:111.0s 等前:0.0s 等后:0.0s) | ST3 空气悬挂+快充(开:49014.0s 加:108.5s 等前:0.0s 等后:0.0s) | ST4 四轮定位上、下(开:49122.5s 加:120.5s 等前:0.0s 等后:0.0s) | ST5 ADAS(开:49243.0s 加:107.0s 等前:0.0s 等后:32.0s) | ST6 ARHUD+慢充(开:49382.0s 加:51.5s 等前:0.0s 等后:63.0s) | ST7 转毂(开:49496.5s 加:114.5s 等前:0.0s 等后:0.0s) | ST8 制动(开:49611.0s 加:114.0s 等前:0.0s 等后:0.0s) | ST9 EG漏液/底盘漏液(开:49725.0s 加:112.5s 等前:0.0s 等后:0.0s) | ST10 全景/空调检查(开:49837.5s 加:0.0s 等前:0.0s 等后:1.5s) | ST11 气囊安装+绝缘(开:49839.0s 加:116.0s 等前:0.0s 等后:0.0s) | ST12 L2++(开:49955.0s 加:88.0s 等前:0.0s 等后:0.0s) | ST13 电检1(开:50043.0s 加:84.5s 等前:0.0s 等后:12.5s) | ST14 电检2(开:50140.0s 加:97.5s 等前:0.0s 等后:69.5s) | ST15 小跑道(开:50307.0s 加:50.0s 等前:0.0s 等后:0.0s)</t>
        </is>
      </c>
    </row>
    <row r="755">
      <c r="A755" s="15" t="n">
        <v>754</v>
      </c>
      <c r="B755" s="15" t="inlineStr">
        <is>
          <t>Car#754</t>
        </is>
      </c>
      <c r="C755" s="15" t="inlineStr">
        <is>
          <t>A</t>
        </is>
      </c>
      <c r="D755" s="16" t="n">
        <v>48967.5</v>
      </c>
      <c r="E755" s="16" t="n">
        <v>50408</v>
      </c>
      <c r="F755" s="16" t="n">
        <v>1440.5</v>
      </c>
      <c r="G755" s="16" t="n">
        <v>5873</v>
      </c>
      <c r="H755" s="15" t="inlineStr">
        <is>
          <t>Car#752</t>
        </is>
      </c>
      <c r="I755" s="16">
        <f>E755-E754</f>
        <v/>
      </c>
      <c r="J755" s="16">
        <f>I755-58</f>
        <v/>
      </c>
      <c r="K755" s="16">
        <f>MAX(0,J755)</f>
        <v/>
      </c>
      <c r="L755" s="16">
        <f>MAX(0,-J755)</f>
        <v/>
      </c>
      <c r="M755" s="16">
        <f>M754+I755</f>
        <v/>
      </c>
      <c r="N755" s="16">
        <f>D755+F755-E755</f>
        <v/>
      </c>
      <c r="O755" s="15" t="inlineStr">
        <is>
          <t>能力满足</t>
        </is>
      </c>
      <c r="P755" s="15" t="inlineStr">
        <is>
          <t>ST1 引取(开:48967.5s 加:55.0s 等前:5293.5s 等后:0.0s) | ST2 集约(开:49022.5s 加:106.0s 等前:0.0s 等后:0.0s) | ST3 空气悬挂+快充(开:49128.5s 加:0.0s 等前:0.0s 等后:114.5s) | ST4 四轮定位上、下(开:49243.0s 加:115.0s 等前:0.0s 等后:24.0s) | ST5 ADAS(开:49382.0s 加:97.0s 等前:0.0s 等后:17.5s) | ST6 ARHUD+慢充(开:49496.5s 加:0.0s 等前:0.0s 等后:114.5s) | ST7 转毂(开:49611.0s 加:116.0s 等前:0.0s 等后:0.0s) | ST8 制动(开:49727.0s 加:108.0s 等前:0.0s 等后:2.5s) | ST9 EG漏液/底盘漏液(开:49837.5s 加:115.0s 等前:0.0s 等后:0.0s) | ST10 全景/空调检查(开:49952.5s 加:98.0s 等前:0.0s 等后:0.0s) | ST11 气囊安装+绝缘(开:50050.5s 加:0.0s 等前:0.0s 等后:0.0s) | ST12 L2++(开:50050.5s 加:0.0s 等前:0.0s 等后:89.5s) | ST13 电检1(开:50140.0s 加:0.0s 等前:0.0s 等后:167.0s) | ST14 电检2(开:50307.0s 加:0.0s 等前:0.0s 等后:50.0s) | ST15 小跑道(开:50357.0s 加:51.0s 等前:0.0s 等后:0.0s)</t>
        </is>
      </c>
    </row>
    <row r="756">
      <c r="A756" s="13" t="n">
        <v>755</v>
      </c>
      <c r="B756" s="13" t="inlineStr">
        <is>
          <t>Car#755</t>
        </is>
      </c>
      <c r="C756" s="13" t="inlineStr">
        <is>
          <t>C</t>
        </is>
      </c>
      <c r="D756" s="14" t="n">
        <v>49022.5</v>
      </c>
      <c r="E756" s="14" t="n">
        <v>50512.5</v>
      </c>
      <c r="F756" s="14" t="n">
        <v>1490</v>
      </c>
      <c r="G756" s="14" t="n">
        <v>5357</v>
      </c>
      <c r="H756" s="13" t="inlineStr">
        <is>
          <t>Car#754</t>
        </is>
      </c>
      <c r="I756" s="14">
        <f>E756-E755</f>
        <v/>
      </c>
      <c r="J756" s="14">
        <f>I756-58</f>
        <v/>
      </c>
      <c r="K756" s="14">
        <f>MAX(0,J756)</f>
        <v/>
      </c>
      <c r="L756" s="14">
        <f>MAX(0,-J756)</f>
        <v/>
      </c>
      <c r="M756" s="14">
        <f>M755+I756</f>
        <v/>
      </c>
      <c r="N756" s="14">
        <f>D756+F756-E756</f>
        <v/>
      </c>
      <c r="O756" s="13" t="inlineStr">
        <is>
          <t>能力超目标：四轮定位上、下、ARHUD+慢充</t>
        </is>
      </c>
      <c r="P756" s="13" t="inlineStr">
        <is>
          <t>ST1 引取(开:49022.5s 加:56.0s 等前:5290.5s 等后:9.5s) | ST2 集约(开:49088.0s 加:111.0s 等前:0.0s 等后:20.5s) | ST3 空气悬挂+快充(开:49219.5s 加:108.5s 等前:0.0s 等后:35.0s) | ST4 四轮定位上、下(开:49363.0s 加:120.5s 等前:0.0s 等后:0.0s) | ST5 ADAS(开:49483.5s 加:107.0s 等前:0.0s 等后:1.5s) | ST6 ARHUD+慢充(开:49592.0s 加:143.5s 等前:0.0s 等后:0.0s) | ST7 转毂(开:49735.5s 加:114.5s 等前:0.0s 等后:0.0s) | ST8 制动(开:49850.0s 加:114.0s 等前:0.0s 等后:0.0s) | ST9 EG漏液/底盘漏液(开:49964.0s 加:112.5s 等前:0.0s 等后:0.0s) | ST10 全景/空调检查(开:50076.5s 加:0.0s 等前:0.0s 等后:0.0s) | ST11 气囊安装+绝缘(开:50076.5s 加:116.0s 等前:0.0s 等后:0.0s) | ST12 L2++(开:50192.5s 加:88.0s 等前:0.0s 等后:0.0s) | ST13 电检1(开:50280.5s 加:84.5s 等前:0.0s 等后:0.0s) | ST14 电检2(开:50365.0s 加:97.5s 等前:0.0s 等后:0.0s) | ST15 小跑道(开:50462.5s 加:50.0s 等前:0.0s 等后:0.0s)</t>
        </is>
      </c>
    </row>
    <row r="757">
      <c r="A757" s="15" t="n">
        <v>756</v>
      </c>
      <c r="B757" s="15" t="inlineStr">
        <is>
          <t>Car#756</t>
        </is>
      </c>
      <c r="C757" s="15" t="inlineStr">
        <is>
          <t>C</t>
        </is>
      </c>
      <c r="D757" s="16" t="n">
        <v>49088</v>
      </c>
      <c r="E757" s="16" t="n">
        <v>50562.5</v>
      </c>
      <c r="F757" s="16" t="n">
        <v>1474.5</v>
      </c>
      <c r="G757" s="16" t="n">
        <v>5349</v>
      </c>
      <c r="H757" s="15" t="inlineStr">
        <is>
          <t>Car#755</t>
        </is>
      </c>
      <c r="I757" s="16">
        <f>E757-E756</f>
        <v/>
      </c>
      <c r="J757" s="16">
        <f>I757-58</f>
        <v/>
      </c>
      <c r="K757" s="16">
        <f>MAX(0,J757)</f>
        <v/>
      </c>
      <c r="L757" s="16">
        <f>MAX(0,-J757)</f>
        <v/>
      </c>
      <c r="M757" s="16">
        <f>M756+I757</f>
        <v/>
      </c>
      <c r="N757" s="16">
        <f>D757+F757-E757</f>
        <v/>
      </c>
      <c r="O757" s="15" t="inlineStr">
        <is>
          <t>能力超目标：四轮定位上、下、ARHUD+慢充</t>
        </is>
      </c>
      <c r="P757" s="15" t="inlineStr">
        <is>
          <t>ST1 引取(开:49088.0s 加:56.0s 等前:5298.0s 等后:0.0s) | ST2 集约(开:49144.0s 加:111.0s 等前:0.0s 等后:0.0s) | ST3 空气悬挂+快充(开:49255.0s 加:108.5s 等前:0.0s 等后:18.5s) | ST4 四轮定位上、下(开:49382.0s 加:120.5s 等前:0.0s 等后:0.0s) | ST5 ADAS(开:49502.5s 加:107.0s 等前:0.0s 等后:1.5s) | ST6 ARHUD+慢充(开:49611.0s 加:143.5s 等前:0.0s 等后:0.0s) | ST7 转毂(开:49754.5s 加:114.5s 等前:0.0s 等后:0.0s) | ST8 制动(开:49869.0s 加:114.0s 等前:0.0s 等后:0.0s) | ST9 EG漏液/底盘漏液(开:49983.0s 加:112.5s 等前:0.0s 等后:0.0s) | ST10 全景/空调检查(开:50095.5s 加:0.0s 等前:0.0s 等后:0.0s) | ST11 气囊安装+绝缘(开:50095.5s 加:116.0s 等前:0.0s 等后:0.0s) | ST12 L2++(开:50211.5s 加:88.0s 等前:0.0s 等后:7.5s) | ST13 电检1(开:50307.0s 加:84.5s 等前:0.0s 等后:0.0s) | ST14 电检2(开:50391.5s 加:97.5s 等前:0.0s 等后:23.5s) | ST15 小跑道(开:50512.5s 加:50.0s 等前:0.0s 等后:0.0s)</t>
        </is>
      </c>
    </row>
    <row r="758">
      <c r="A758" s="13" t="n">
        <v>757</v>
      </c>
      <c r="B758" s="13" t="inlineStr">
        <is>
          <t>Car#757</t>
        </is>
      </c>
      <c r="C758" s="13" t="inlineStr">
        <is>
          <t>C</t>
        </is>
      </c>
      <c r="D758" s="14" t="n">
        <v>49144</v>
      </c>
      <c r="E758" s="14" t="n">
        <v>50656</v>
      </c>
      <c r="F758" s="14" t="n">
        <v>1512</v>
      </c>
      <c r="G758" s="14" t="n">
        <v>5384.5</v>
      </c>
      <c r="H758" s="13" t="inlineStr">
        <is>
          <t>Car#756</t>
        </is>
      </c>
      <c r="I758" s="14">
        <f>E758-E757</f>
        <v/>
      </c>
      <c r="J758" s="14">
        <f>I758-58</f>
        <v/>
      </c>
      <c r="K758" s="14">
        <f>MAX(0,J758)</f>
        <v/>
      </c>
      <c r="L758" s="14">
        <f>MAX(0,-J758)</f>
        <v/>
      </c>
      <c r="M758" s="14">
        <f>M757+I758</f>
        <v/>
      </c>
      <c r="N758" s="14">
        <f>D758+F758-E758</f>
        <v/>
      </c>
      <c r="O758" s="13" t="inlineStr">
        <is>
          <t>能力超目标：四轮定位上、下、ARHUD+慢充</t>
        </is>
      </c>
      <c r="P758" s="13" t="inlineStr">
        <is>
          <t>ST1 引取(开:49144.0s 加:56.0s 等前:5296.0s 等后:19.5s) | ST2 集约(开:49219.5s 加:111.0s 等前:0.0s 等后:32.5s) | ST3 空气悬挂+快充(开:49363.0s 加:108.5s 等前:0.0s 等后:12.0s) | ST4 四轮定位上、下(开:49483.5s 加:120.5s 等前:0.0s 等后:0.0s) | ST5 ADAS(开:49604.0s 加:107.0s 等前:0.0s 等后:24.5s) | ST6 ARHUD+慢充(开:49735.5s 加:143.5s 等前:0.0s 等后:0.0s) | ST7 转毂(开:49879.0s 加:114.5s 等前:0.0s 等后:0.0s) | ST8 制动(开:49993.5s 加:114.0s 等前:0.0s 等后:0.0s) | ST9 EG漏液/底盘漏液(开:50107.5s 加:112.5s 等前:0.0s 等后:0.0s) | ST10 全景/空调检查(开:50220.0s 加:0.0s 等前:0.0s 等后:0.0s) | ST11 气囊安装+绝缘(开:50220.0s 加:116.0s 等前:0.0s 等后:0.0s) | ST12 L2++(开:50336.0s 加:88.0s 等前:0.0s 等后:0.0s) | ST13 电检1(开:50424.0s 加:84.5s 等前:0.0s 等后:0.0s) | ST14 电检2(开:50508.5s 加:97.5s 等前:0.0s 等后:0.0s) | ST15 小跑道(开:50606.0s 加:50.0s 等前:0.0s 等后:0.0s)</t>
        </is>
      </c>
    </row>
    <row r="759">
      <c r="A759" s="15" t="n">
        <v>758</v>
      </c>
      <c r="B759" s="15" t="inlineStr">
        <is>
          <t>Car#758</t>
        </is>
      </c>
      <c r="C759" s="15" t="inlineStr">
        <is>
          <t>B</t>
        </is>
      </c>
      <c r="D759" s="16" t="n">
        <v>49219.5</v>
      </c>
      <c r="E759" s="16" t="n">
        <v>50706</v>
      </c>
      <c r="F759" s="16" t="n">
        <v>1486.5</v>
      </c>
      <c r="G759" s="16" t="n">
        <v>5468.5</v>
      </c>
      <c r="H759" s="15" t="inlineStr">
        <is>
          <t>Car#757</t>
        </is>
      </c>
      <c r="I759" s="16">
        <f>E759-E758</f>
        <v/>
      </c>
      <c r="J759" s="16">
        <f>I759-58</f>
        <v/>
      </c>
      <c r="K759" s="16">
        <f>MAX(0,J759)</f>
        <v/>
      </c>
      <c r="L759" s="16">
        <f>MAX(0,-J759)</f>
        <v/>
      </c>
      <c r="M759" s="16">
        <f>M758+I759</f>
        <v/>
      </c>
      <c r="N759" s="16">
        <f>D759+F759-E759</f>
        <v/>
      </c>
      <c r="O759" s="15" t="inlineStr">
        <is>
          <t>能力超目标：四轮定位上、下</t>
        </is>
      </c>
      <c r="P759" s="15" t="inlineStr">
        <is>
          <t>ST1 引取(开:49219.5s 加:56.0s 等前:5313.5s 等后:0.0s) | ST2 集约(开:49275.5s 加:111.0s 等前:0.0s 等后:0.0s) | ST3 空气悬挂+快充(开:49386.5s 加:108.5s 等前:0.0s 等后:7.5s) | ST4 四轮定位上、下(开:49502.5s 加:120.5s 等前:0.0s 等后:0.0s) | ST5 ADAS(开:49623.0s 加:107.0s 等前:0.0s 等后:24.5s) | ST6 ARHUD+慢充(开:49754.5s 加:51.5s 等前:0.0s 等后:63.0s) | ST7 转毂(开:49869.0s 加:114.5s 等前:0.0s 等后:0.0s) | ST8 制动(开:49983.5s 加:114.0s 等前:0.0s 等后:0.0s) | ST9 EG漏液/底盘漏液(开:50097.5s 加:112.5s 等前:0.0s 等后:0.0s) | ST10 全景/空调检查(开:50210.0s 加:0.0s 等前:0.0s 等后:1.5s) | ST11 气囊安装+绝缘(开:50211.5s 加:116.0s 等前:0.0s 等后:0.0s) | ST12 L2++(开:50327.5s 加:88.0s 等前:0.0s 等后:0.0s) | ST13 电检1(开:50415.5s 加:84.5s 等前:0.0s 等后:12.5s) | ST14 电检2(开:50512.5s 加:97.5s 等前:0.0s 等后:46.0s) | ST15 小跑道(开:50656.0s 加:50.0s 等前:0.0s 等后:0.0s)</t>
        </is>
      </c>
    </row>
    <row r="760">
      <c r="A760" s="13" t="n">
        <v>759</v>
      </c>
      <c r="B760" s="13" t="inlineStr">
        <is>
          <t>Car#759</t>
        </is>
      </c>
      <c r="C760" s="13" t="inlineStr">
        <is>
          <t>B</t>
        </is>
      </c>
      <c r="D760" s="14" t="n">
        <v>49275.5</v>
      </c>
      <c r="E760" s="14" t="n">
        <v>50772</v>
      </c>
      <c r="F760" s="14" t="n">
        <v>1496.5</v>
      </c>
      <c r="G760" s="14" t="n">
        <v>5476.5</v>
      </c>
      <c r="H760" s="13" t="inlineStr">
        <is>
          <t>Car#758</t>
        </is>
      </c>
      <c r="I760" s="14">
        <f>E760-E759</f>
        <v/>
      </c>
      <c r="J760" s="14">
        <f>I760-58</f>
        <v/>
      </c>
      <c r="K760" s="14">
        <f>MAX(0,J760)</f>
        <v/>
      </c>
      <c r="L760" s="14">
        <f>MAX(0,-J760)</f>
        <v/>
      </c>
      <c r="M760" s="14">
        <f>M759+I760</f>
        <v/>
      </c>
      <c r="N760" s="14">
        <f>D760+F760-E760</f>
        <v/>
      </c>
      <c r="O760" s="13" t="inlineStr">
        <is>
          <t>能力超目标：四轮定位上、下</t>
        </is>
      </c>
      <c r="P760" s="13" t="inlineStr">
        <is>
          <t>ST1 引取(开:49275.5s 加:56.0s 等前:5311.5s 等后:31.5s) | ST2 集约(开:49363.0s 加:111.0s 等前:0.0s 等后:9.5s) | ST3 空气悬挂+快充(开:49483.5s 加:108.5s 等前:0.0s 等后:12.0s) | ST4 四轮定位上、下(开:49604.0s 加:120.5s 等前:0.0s 等后:11.0s) | ST5 ADAS(开:49735.5s 加:107.0s 等前:0.0s 等后:36.5s) | ST6 ARHUD+慢充(开:49879.0s 加:51.5s 等前:0.0s 等后:63.0s) | ST7 转毂(开:49993.5s 加:114.5s 等前:0.0s 等后:0.0s) | ST8 制动(开:50108.0s 加:114.0s 等前:0.0s 等后:0.0s) | ST9 EG漏液/底盘漏液(开:50222.0s 加:112.5s 等前:0.0s 等后:0.0s) | ST10 全景/空调检查(开:50334.5s 加:0.0s 等前:0.0s 等后:1.5s) | ST11 气囊安装+绝缘(开:50336.0s 加:116.0s 等前:0.0s 等后:0.0s) | ST12 L2++(开:50452.0s 加:88.0s 等前:0.0s 等后:0.0s) | ST13 电检1(开:50540.0s 加:84.5s 等前:0.0s 等后:0.0s) | ST14 电检2(开:50624.5s 加:97.5s 等前:0.0s 等后:0.0s) | ST15 小跑道(开:50722.0s 加:50.0s 等前:0.0s 等后:0.0s)</t>
        </is>
      </c>
    </row>
    <row r="761">
      <c r="A761" s="15" t="n">
        <v>760</v>
      </c>
      <c r="B761" s="15" t="inlineStr">
        <is>
          <t>Car#760</t>
        </is>
      </c>
      <c r="C761" s="15" t="inlineStr">
        <is>
          <t>B</t>
        </is>
      </c>
      <c r="D761" s="16" t="n">
        <v>49363</v>
      </c>
      <c r="E761" s="16" t="n">
        <v>50822</v>
      </c>
      <c r="F761" s="16" t="n">
        <v>1459</v>
      </c>
      <c r="G761" s="16" t="n">
        <v>5468.5</v>
      </c>
      <c r="H761" s="15" t="inlineStr">
        <is>
          <t>Car#759</t>
        </is>
      </c>
      <c r="I761" s="16">
        <f>E761-E760</f>
        <v/>
      </c>
      <c r="J761" s="16">
        <f>I761-58</f>
        <v/>
      </c>
      <c r="K761" s="16">
        <f>MAX(0,J761)</f>
        <v/>
      </c>
      <c r="L761" s="16">
        <f>MAX(0,-J761)</f>
        <v/>
      </c>
      <c r="M761" s="16">
        <f>M760+I761</f>
        <v/>
      </c>
      <c r="N761" s="16">
        <f>D761+F761-E761</f>
        <v/>
      </c>
      <c r="O761" s="15" t="inlineStr">
        <is>
          <t>能力超目标：四轮定位上、下</t>
        </is>
      </c>
      <c r="P761" s="15" t="inlineStr">
        <is>
          <t>ST1 引取(开:49363.0s 加:56.0s 等前:5341.0s 等后:0.0s) | ST2 集约(开:49419.0s 加:111.0s 等前:0.0s 等后:0.0s) | ST3 空气悬挂+快充(开:49530.0s 加:108.5s 等前:0.0s 等后:0.0s) | ST4 四轮定位上、下(开:49638.5s 加:120.5s 等前:0.0s 等后:0.0s) | ST5 ADAS(开:49759.0s 加:107.0s 等前:0.0s 等后:3.0s) | ST6 ARHUD+慢充(开:49869.0s 加:51.5s 等前:0.0s 等后:63.0s) | ST7 转毂(开:49983.5s 加:114.5s 等前:0.0s 等后:0.0s) | ST8 制动(开:50098.0s 加:114.0s 等前:0.0s 等后:0.0s) | ST9 EG漏液/底盘漏液(开:50212.0s 加:112.5s 等前:0.0s 等后:0.0s) | ST10 全景/空调检查(开:50324.5s 加:0.0s 等前:0.0s 等后:3.0s) | ST11 气囊安装+绝缘(开:50327.5s 加:116.0s 等前:0.0s 等后:0.0s) | ST12 L2++(开:50443.5s 加:88.0s 等前:0.0s 等后:0.0s) | ST13 电检1(开:50531.5s 加:84.5s 等前:0.0s 等后:40.0s) | ST14 电检2(开:50656.0s 加:97.5s 等前:0.0s 等后:18.5s) | ST15 小跑道(开:50772.0s 加:50.0s 等前:0.0s 等后:0.0s)</t>
        </is>
      </c>
    </row>
    <row r="762">
      <c r="A762" s="13" t="n">
        <v>761</v>
      </c>
      <c r="B762" s="13" t="inlineStr">
        <is>
          <t>Car#762</t>
        </is>
      </c>
      <c r="C762" s="13" t="inlineStr">
        <is>
          <t>A</t>
        </is>
      </c>
      <c r="D762" s="14" t="n">
        <v>49483.5</v>
      </c>
      <c r="E762" s="14" t="n">
        <v>50873</v>
      </c>
      <c r="F762" s="14" t="n">
        <v>1389.5</v>
      </c>
      <c r="G762" s="14" t="n">
        <v>5874</v>
      </c>
      <c r="H762" s="13" t="inlineStr">
        <is>
          <t>Car#760</t>
        </is>
      </c>
      <c r="I762" s="14">
        <f>E762-E761</f>
        <v/>
      </c>
      <c r="J762" s="14">
        <f>I762-58</f>
        <v/>
      </c>
      <c r="K762" s="14">
        <f>MAX(0,J762)</f>
        <v/>
      </c>
      <c r="L762" s="14">
        <f>MAX(0,-J762)</f>
        <v/>
      </c>
      <c r="M762" s="14">
        <f>M761+I762</f>
        <v/>
      </c>
      <c r="N762" s="14">
        <f>D762+F762-E762</f>
        <v/>
      </c>
      <c r="O762" s="13" t="inlineStr">
        <is>
          <t>能力满足</t>
        </is>
      </c>
      <c r="P762" s="13" t="inlineStr">
        <is>
          <t>ST1 引取(开:49483.5s 加:55.0s 等前:5345.5s 等后:0.0s) | ST2 集约(开:49538.5s 加:106.0s 等前:0.0s 等后:0.0s) | ST3 空气悬挂+快充(开:49644.5s 加:0.0s 等前:0.0s 等后:114.5s) | ST4 四轮定位上、下(开:49759.0s 加:115.0s 等前:0.0s 等后:0.0s) | ST5 ADAS(开:49874.0s 加:97.0s 等前:0.0s 等后:12.5s) | ST6 ARHUD+慢充(开:49983.5s 加:0.0s 等前:0.0s 等后:114.5s) | ST7 转毂(开:50098.0s 加:116.0s 等前:0.0s 等后:0.0s) | ST8 制动(开:50214.0s 加:108.0s 等前:0.0s 等后:2.5s) | ST9 EG漏液/底盘漏液(开:50324.5s 加:115.0s 等前:0.0s 等后:0.0s) | ST10 全景/空调检查(开:50439.5s 加:98.0s 等前:0.0s 等后:0.0s) | ST11 气囊安装+绝缘(开:50537.5s 加:0.0s 等前:0.0s 等后:0.0s) | ST12 L2++(开:50537.5s 加:0.0s 等前:0.0s 等后:118.5s) | ST13 电检1(开:50656.0s 加:0.0s 等前:0.0s 等后:116.0s) | ST14 电检2(开:50772.0s 加:0.0s 等前:0.0s 等后:50.0s) | ST15 小跑道(开:50822.0s 加:51.0s 等前:0.0s 等后:0.0s)</t>
        </is>
      </c>
    </row>
    <row r="763">
      <c r="A763" s="15" t="n">
        <v>762</v>
      </c>
      <c r="B763" s="15" t="inlineStr">
        <is>
          <t>Car#761</t>
        </is>
      </c>
      <c r="C763" s="15" t="inlineStr">
        <is>
          <t>C</t>
        </is>
      </c>
      <c r="D763" s="16" t="n">
        <v>49419</v>
      </c>
      <c r="E763" s="16" t="n">
        <v>50923</v>
      </c>
      <c r="F763" s="16" t="n">
        <v>1504</v>
      </c>
      <c r="G763" s="16" t="n">
        <v>5419.5</v>
      </c>
      <c r="H763" s="15" t="inlineStr">
        <is>
          <t>Car#762</t>
        </is>
      </c>
      <c r="I763" s="16">
        <f>E763-E762</f>
        <v/>
      </c>
      <c r="J763" s="16">
        <f>I763-58</f>
        <v/>
      </c>
      <c r="K763" s="16">
        <f>MAX(0,J763)</f>
        <v/>
      </c>
      <c r="L763" s="16">
        <f>MAX(0,-J763)</f>
        <v/>
      </c>
      <c r="M763" s="16">
        <f>M762+I763</f>
        <v/>
      </c>
      <c r="N763" s="16">
        <f>D763+F763-E763</f>
        <v/>
      </c>
      <c r="O763" s="15" t="inlineStr">
        <is>
          <t>能力超目标：四轮定位上、下、ARHUD+慢充</t>
        </is>
      </c>
      <c r="P763" s="15" t="inlineStr">
        <is>
          <t>ST1 引取(开:49419.0s 加:56.0s 等前:5339.0s 等后:8.5s) | ST2 集约(开:49483.5s 加:111.0s 等前:0.0s 等后:9.5s) | ST3 空气悬挂+快充(开:49604.0s 加:108.5s 等前:0.0s 等后:23.0s) | ST4 四轮定位上、下(开:49735.5s 加:120.5s 等前:0.0s 等后:23.0s) | ST5 ADAS(开:49879.0s 加:107.0s 等前:0.0s 等后:7.5s) | ST6 ARHUD+慢充(开:49993.5s 加:143.5s 等前:0.0s 等后:0.0s) | ST7 转毂(开:50137.0s 加:114.5s 等前:0.0s 等后:0.0s) | ST8 制动(开:50251.5s 加:114.0s 等前:0.0s 等后:0.0s) | ST9 EG漏液/底盘漏液(开:50365.5s 加:112.5s 等前:0.0s 等后:0.0s) | ST10 全景/空调检查(开:50478.0s 加:0.0s 等前:0.0s 等后:0.0s) | ST11 气囊安装+绝缘(开:50478.0s 加:116.0s 等前:0.0s 等后:0.0s) | ST12 L2++(开:50594.0s 加:88.0s 等前:0.0s 等后:0.0s) | ST13 电检1(开:50682.0s 加:84.5s 等前:0.0s 等后:0.0s) | ST14 电检2(开:50766.5s 加:97.5s 等前:0.0s 等后:9.0s) | ST15 小跑道(开:50873.0s 加:50.0s 等前:0.0s 等后:0.0s)</t>
        </is>
      </c>
    </row>
    <row r="764">
      <c r="A764" s="13" t="n">
        <v>763</v>
      </c>
      <c r="B764" s="13" t="inlineStr">
        <is>
          <t>Car#764</t>
        </is>
      </c>
      <c r="C764" s="13" t="inlineStr">
        <is>
          <t>C</t>
        </is>
      </c>
      <c r="D764" s="14" t="n">
        <v>49604</v>
      </c>
      <c r="E764" s="14" t="n">
        <v>51027.5</v>
      </c>
      <c r="F764" s="14" t="n">
        <v>1423.5</v>
      </c>
      <c r="G764" s="14" t="n">
        <v>5350</v>
      </c>
      <c r="H764" s="13" t="inlineStr">
        <is>
          <t>Car#761</t>
        </is>
      </c>
      <c r="I764" s="14">
        <f>E764-E763</f>
        <v/>
      </c>
      <c r="J764" s="14">
        <f>I764-58</f>
        <v/>
      </c>
      <c r="K764" s="14">
        <f>MAX(0,J764)</f>
        <v/>
      </c>
      <c r="L764" s="14">
        <f>MAX(0,-J764)</f>
        <v/>
      </c>
      <c r="M764" s="14">
        <f>M763+I764</f>
        <v/>
      </c>
      <c r="N764" s="14">
        <f>D764+F764-E764</f>
        <v/>
      </c>
      <c r="O764" s="13" t="inlineStr">
        <is>
          <t>能力超目标：四轮定位上、下、ARHUD+慢充</t>
        </is>
      </c>
      <c r="P764" s="13" t="inlineStr">
        <is>
          <t>ST1 引取(开:49604.0s 加:56.0s 等前:5350.0s 等后:0.0s) | ST2 集约(开:49660.0s 加:111.0s 等前:0.0s 等后:0.0s) | ST3 空气悬挂+快充(开:49771.0s 加:108.5s 等前:0.0s 等后:0.0s) | ST4 四轮定位上、下(开:49879.5s 加:120.5s 等前:0.0s 等后:0.0s) | ST5 ADAS(开:50000.0s 加:107.0s 等前:0.0s 等后:0.0s) | ST6 ARHUD+慢充(开:50107.0s 加:143.5s 等前:0.0s 等后:0.0s) | ST7 转毂(开:50250.5s 加:114.5s 等前:0.0s 等后:0.0s) | ST8 制动(开:50365.0s 加:114.0s 等前:0.0s 等后:0.0s) | ST9 EG漏液/底盘漏液(开:50479.0s 加:112.5s 等前:0.0s 等后:0.0s) | ST10 全景/空调检查(开:50591.5s 加:0.0s 等前:0.0s 等后:0.0s) | ST11 气囊安装+绝缘(开:50591.5s 加:116.0s 等前:0.0s 等后:0.0s) | ST12 L2++(开:50707.5s 加:88.0s 等前:0.0s 等后:0.0s) | ST13 电检1(开:50795.5s 加:84.5s 等前:0.0s 等后:0.0s) | ST14 电检2(开:50880.0s 加:97.5s 等前:0.0s 等后:0.0s) | ST15 小跑道(开:50977.5s 加:50.0s 等前:0.0s 等后:0.0s)</t>
        </is>
      </c>
    </row>
    <row r="765">
      <c r="A765" s="15" t="n">
        <v>764</v>
      </c>
      <c r="B765" s="15" t="inlineStr">
        <is>
          <t>Car#766</t>
        </is>
      </c>
      <c r="C765" s="15" t="inlineStr">
        <is>
          <t>A</t>
        </is>
      </c>
      <c r="D765" s="16" t="n">
        <v>49735.5</v>
      </c>
      <c r="E765" s="16" t="n">
        <v>51078.5</v>
      </c>
      <c r="F765" s="16" t="n">
        <v>1343</v>
      </c>
      <c r="G765" s="16" t="n">
        <v>5847.5</v>
      </c>
      <c r="H765" s="15" t="inlineStr">
        <is>
          <t>Car#764</t>
        </is>
      </c>
      <c r="I765" s="16">
        <f>E765-E764</f>
        <v/>
      </c>
      <c r="J765" s="16">
        <f>I765-58</f>
        <v/>
      </c>
      <c r="K765" s="16">
        <f>MAX(0,J765)</f>
        <v/>
      </c>
      <c r="L765" s="16">
        <f>MAX(0,-J765)</f>
        <v/>
      </c>
      <c r="M765" s="16">
        <f>M764+I765</f>
        <v/>
      </c>
      <c r="N765" s="16">
        <f>D765+F765-E765</f>
        <v/>
      </c>
      <c r="O765" s="15" t="inlineStr">
        <is>
          <t>能力满足</t>
        </is>
      </c>
      <c r="P765" s="15" t="inlineStr">
        <is>
          <t>ST1 引取(开:49735.5s 加:55.0s 等前:5365.5s 等后:0.0s) | ST2 集约(开:49790.5s 加:106.0s 等前:0.0s 等后:0.0s) | ST3 空气悬挂+快充(开:49896.5s 加:0.0s 等前:0.0s 等后:103.5s) | ST4 四轮定位上、下(开:50000.0s 加:115.0s 等前:0.0s 等后:0.0s) | ST5 ADAS(开:50115.0s 加:97.0s 等前:0.0s 等后:38.5s) | ST6 ARHUD+慢充(开:50250.5s 加:0.0s 等前:0.0s 等后:114.5s) | ST7 转毂(开:50365.0s 加:116.0s 等前:0.0s 等后:0.0s) | ST8 制动(开:50481.0s 加:108.0s 等前:0.0s 等后:2.5s) | ST9 EG漏液/底盘漏液(开:50591.5s 加:115.0s 等前:0.0s 等后:0.0s) | ST10 全景/空调检查(开:50706.5s 加:98.0s 等前:0.0s 等后:0.0s) | ST11 气囊安装+绝缘(开:50804.5s 加:0.0s 等前:0.0s 等后:0.0s) | ST12 L2++(开:50804.5s 加:0.0s 等前:0.0s 等后:75.5s) | ST13 电检1(开:50880.0s 加:0.0s 等前:0.0s 等后:97.5s) | ST14 电检2(开:50977.5s 加:0.0s 等前:0.0s 等后:50.0s) | ST15 小跑道(开:51027.5s 加:51.0s 等前:0.0s 等后:0.0s)</t>
        </is>
      </c>
    </row>
    <row r="766">
      <c r="A766" s="13" t="n">
        <v>765</v>
      </c>
      <c r="B766" s="13" t="inlineStr">
        <is>
          <t>Car#763</t>
        </is>
      </c>
      <c r="C766" s="13" t="inlineStr">
        <is>
          <t>C</t>
        </is>
      </c>
      <c r="D766" s="14" t="n">
        <v>49538.5</v>
      </c>
      <c r="E766" s="14" t="n">
        <v>51128.5</v>
      </c>
      <c r="F766" s="14" t="n">
        <v>1590</v>
      </c>
      <c r="G766" s="14" t="n">
        <v>5509</v>
      </c>
      <c r="H766" s="13" t="inlineStr">
        <is>
          <t>Car#766</t>
        </is>
      </c>
      <c r="I766" s="14">
        <f>E766-E765</f>
        <v/>
      </c>
      <c r="J766" s="14">
        <f>I766-58</f>
        <v/>
      </c>
      <c r="K766" s="14">
        <f>MAX(0,J766)</f>
        <v/>
      </c>
      <c r="L766" s="14">
        <f>MAX(0,-J766)</f>
        <v/>
      </c>
      <c r="M766" s="14">
        <f>M765+I766</f>
        <v/>
      </c>
      <c r="N766" s="14">
        <f>D766+F766-E766</f>
        <v/>
      </c>
      <c r="O766" s="13" t="inlineStr">
        <is>
          <t>能力超目标：四轮定位上、下、ARHUD+慢充</t>
        </is>
      </c>
      <c r="P766" s="13" t="inlineStr">
        <is>
          <t>ST1 引取(开:49538.5s 加:56.0s 等前:5342.5s 等后:9.5s) | ST2 集约(开:49604.0s 加:111.0s 等前:0.0s 等后:20.5s) | ST3 空气悬挂+快充(开:49735.5s 加:108.5s 等前:0.0s 等后:35.0s) | ST4 四轮定位上、下(开:49879.0s 加:120.5s 等前:0.0s 等后:0.0s) | ST5 ADAS(开:49999.5s 加:107.0s 等前:0.0s 等后:30.5s) | ST6 ARHUD+慢充(开:50137.0s 加:143.5s 等前:0.0s 等后:0.0s) | ST7 转毂(开:50280.5s 加:114.5s 等前:0.0s 等后:0.0s) | ST8 制动(开:50395.0s 加:114.0s 等前:0.0s 等后:0.0s) | ST9 EG漏液/底盘漏液(开:50509.0s 加:112.5s 等前:0.0s 等后:0.0s) | ST10 全景/空调检查(开:50621.5s 加:0.0s 等前:0.0s 等后:0.0s) | ST11 气囊安装+绝缘(开:50621.5s 加:116.0s 等前:0.0s 等后:0.0s) | ST12 L2++(开:50737.5s 加:88.0s 等前:0.0s 等后:0.0s) | ST13 电检1(开:50825.5s 加:84.5s 等前:0.0s 等后:0.0s) | ST14 电检2(开:50910.0s 加:97.5s 等前:0.0s 等后:71.0s) | ST15 小跑道(开:51078.5s 加:50.0s 等前:0.0s 等后:0.0s)</t>
        </is>
      </c>
    </row>
    <row r="767">
      <c r="A767" s="15" t="n">
        <v>766</v>
      </c>
      <c r="B767" s="15" t="inlineStr">
        <is>
          <t>Car#768</t>
        </is>
      </c>
      <c r="C767" s="15" t="inlineStr">
        <is>
          <t>A</t>
        </is>
      </c>
      <c r="D767" s="16" t="n">
        <v>49879</v>
      </c>
      <c r="E767" s="16" t="n">
        <v>51179.5</v>
      </c>
      <c r="F767" s="16" t="n">
        <v>1300.5</v>
      </c>
      <c r="G767" s="16" t="n">
        <v>5832.5</v>
      </c>
      <c r="H767" s="15" t="inlineStr">
        <is>
          <t>Car#763</t>
        </is>
      </c>
      <c r="I767" s="16">
        <f>E767-E766</f>
        <v/>
      </c>
      <c r="J767" s="16">
        <f>I767-58</f>
        <v/>
      </c>
      <c r="K767" s="16">
        <f>MAX(0,J767)</f>
        <v/>
      </c>
      <c r="L767" s="16">
        <f>MAX(0,-J767)</f>
        <v/>
      </c>
      <c r="M767" s="16">
        <f>M766+I767</f>
        <v/>
      </c>
      <c r="N767" s="16">
        <f>D767+F767-E767</f>
        <v/>
      </c>
      <c r="O767" s="15" t="inlineStr">
        <is>
          <t>能力满足</t>
        </is>
      </c>
      <c r="P767" s="15" t="inlineStr">
        <is>
          <t>ST1 引取(开:49879.0s 加:55.0s 等前:5393.0s 等后:0.0s) | ST2 集约(开:49934.0s 加:106.0s 等前:0.0s 等后:0.0s) | ST3 空气悬挂+快充(开:50040.0s 加:0.0s 等前:0.0s 等后:75.0s) | ST4 四轮定位上、下(开:50115.0s 加:115.0s 等前:0.0s 等后:20.5s) | ST5 ADAS(开:50250.5s 加:97.0s 等前:0.0s 等后:17.5s) | ST6 ARHUD+慢充(开:50365.0s 加:0.0s 等前:0.0s 等后:116.0s) | ST7 转毂(开:50481.0s 加:116.0s 等前:0.0s 等后:0.0s) | ST8 制动(开:50597.0s 加:108.0s 等前:0.0s 等后:1.5s) | ST9 EG漏液/底盘漏液(开:50706.5s 加:115.0s 等前:0.0s 等后:0.0s) | ST10 全景/空调检查(开:50821.5s 加:98.0s 等前:0.0s 等后:0.0s) | ST11 气囊安装+绝缘(开:50919.5s 加:0.0s 等前:0.0s 等后:0.0s) | ST12 L2++(开:50919.5s 加:0.0s 等前:0.0s 等后:58.0s) | ST13 电检1(开:50977.5s 加:0.0s 等前:0.0s 等后:50.0s) | ST14 电检2(开:51027.5s 加:0.0s 等前:0.0s 等后:101.0s) | ST15 小跑道(开:51128.5s 加:51.0s 等前:0.0s 等后:0.0s)</t>
        </is>
      </c>
    </row>
    <row r="768">
      <c r="A768" s="13" t="n">
        <v>767</v>
      </c>
      <c r="B768" s="13" t="inlineStr">
        <is>
          <t>Car#765</t>
        </is>
      </c>
      <c r="C768" s="13" t="inlineStr">
        <is>
          <t>C</t>
        </is>
      </c>
      <c r="D768" s="14" t="n">
        <v>49660</v>
      </c>
      <c r="E768" s="14" t="n">
        <v>51229.5</v>
      </c>
      <c r="F768" s="14" t="n">
        <v>1569.5</v>
      </c>
      <c r="G768" s="14" t="n">
        <v>5494</v>
      </c>
      <c r="H768" s="13" t="inlineStr">
        <is>
          <t>Car#768</t>
        </is>
      </c>
      <c r="I768" s="14">
        <f>E768-E767</f>
        <v/>
      </c>
      <c r="J768" s="14">
        <f>I768-58</f>
        <v/>
      </c>
      <c r="K768" s="14">
        <f>MAX(0,J768)</f>
        <v/>
      </c>
      <c r="L768" s="14">
        <f>MAX(0,-J768)</f>
        <v/>
      </c>
      <c r="M768" s="14">
        <f>M767+I768</f>
        <v/>
      </c>
      <c r="N768" s="14">
        <f>D768+F768-E768</f>
        <v/>
      </c>
      <c r="O768" s="13" t="inlineStr">
        <is>
          <t>能力超目标：四轮定位上、下、ARHUD+慢充</t>
        </is>
      </c>
      <c r="P768" s="13" t="inlineStr">
        <is>
          <t>ST1 引取(开:49660.0s 加:56.0s 等前:5348.0s 等后:19.5s) | ST2 集约(开:49735.5s 加:111.0s 等前:0.0s 等后:32.5s) | ST3 空气悬挂+快充(开:49879.0s 加:108.5s 等前:0.0s 等后:12.0s) | ST4 四轮定位上、下(开:49999.5s 加:120.5s 等前:0.0s 等后:17.0s) | ST5 ADAS(开:50137.0s 加:107.0s 等前:0.0s 等后:36.5s) | ST6 ARHUD+慢充(开:50280.5s 加:143.5s 等前:0.0s 等后:0.0s) | ST7 转毂(开:50424.0s 加:114.5s 等前:0.0s 等后:0.0s) | ST8 制动(开:50538.5s 加:114.0s 等前:0.0s 等后:0.0s) | ST9 EG漏液/底盘漏液(开:50652.5s 加:112.5s 等前:0.0s 等后:0.0s) | ST10 全景/空调检查(开:50765.0s 加:0.0s 等前:0.0s 等后:0.0s) | ST11 气囊安装+绝缘(开:50765.0s 加:116.0s 等前:0.0s 等后:0.0s) | ST12 L2++(开:50881.0s 加:88.0s 等前:0.0s 等后:0.0s) | ST13 电检1(开:50969.0s 加:84.5s 等前:0.0s 等后:25.0s) | ST14 电检2(开:51078.5s 加:97.5s 等前:0.0s 等后:3.5s) | ST15 小跑道(开:51179.5s 加:50.0s 等前:0.0s 等后:0.0s)</t>
        </is>
      </c>
    </row>
    <row r="769">
      <c r="A769" s="15" t="n">
        <v>768</v>
      </c>
      <c r="B769" s="15" t="inlineStr">
        <is>
          <t>Car#767</t>
        </is>
      </c>
      <c r="C769" s="15" t="inlineStr">
        <is>
          <t>A</t>
        </is>
      </c>
      <c r="D769" s="16" t="n">
        <v>49790.5</v>
      </c>
      <c r="E769" s="16" t="n">
        <v>51280.5</v>
      </c>
      <c r="F769" s="16" t="n">
        <v>1490</v>
      </c>
      <c r="G769" s="16" t="n">
        <v>5991.5</v>
      </c>
      <c r="H769" s="15" t="inlineStr">
        <is>
          <t>Car#765</t>
        </is>
      </c>
      <c r="I769" s="16">
        <f>E769-E768</f>
        <v/>
      </c>
      <c r="J769" s="16">
        <f>I769-58</f>
        <v/>
      </c>
      <c r="K769" s="16">
        <f>MAX(0,J769)</f>
        <v/>
      </c>
      <c r="L769" s="16">
        <f>MAX(0,-J769)</f>
        <v/>
      </c>
      <c r="M769" s="16">
        <f>M768+I769</f>
        <v/>
      </c>
      <c r="N769" s="16">
        <f>D769+F769-E769</f>
        <v/>
      </c>
      <c r="O769" s="15" t="inlineStr">
        <is>
          <t>能力满足</t>
        </is>
      </c>
      <c r="P769" s="15" t="inlineStr">
        <is>
          <t>ST1 引取(开:49790.5s 加:55.0s 等前:5362.5s 等后:33.5s) | ST2 集约(开:49879.0s 加:106.0s 等前:0.0s 等后:14.5s) | ST3 空气悬挂+快充(开:49999.5s 加:0.0s 等前:0.0s 等后:137.5s) | ST4 四轮定位上、下(开:50137.0s 加:115.0s 等前:0.0s 等后:28.5s) | ST5 ADAS(开:50280.5s 加:97.0s 等前:0.0s 等后:46.5s) | ST6 ARHUD+慢充(开:50424.0s 加:0.0s 等前:0.0s 等后:114.5s) | ST7 转毂(开:50538.5s 加:116.0s 等前:0.0s 等后:0.0s) | ST8 制动(开:50654.5s 加:108.0s 等前:0.0s 等后:2.5s) | ST9 EG漏液/底盘漏液(开:50765.0s 加:115.0s 等前:0.0s 等后:0.0s) | ST10 全景/空调检查(开:50880.0s 加:98.0s 等前:0.0s 等后:0.0s) | ST11 气囊安装+绝缘(开:50978.0s 加:0.0s 等前:0.0s 等后:0.0s) | ST12 L2++(开:50978.0s 加:0.0s 等前:0.0s 等后:100.5s) | ST13 电检1(开:51078.5s 加:0.0s 等前:0.0s 等后:101.0s) | ST14 电检2(开:51179.5s 加:0.0s 等前:0.0s 等后:50.0s) | ST15 小跑道(开:51229.5s 加:51.0s 等前:0.0s 等后:0.0s)</t>
        </is>
      </c>
    </row>
    <row r="770">
      <c r="A770" s="13" t="n">
        <v>769</v>
      </c>
      <c r="B770" s="13" t="inlineStr">
        <is>
          <t>Car#770</t>
        </is>
      </c>
      <c r="C770" s="13" t="inlineStr">
        <is>
          <t>B</t>
        </is>
      </c>
      <c r="D770" s="14" t="n">
        <v>49999.5</v>
      </c>
      <c r="E770" s="14" t="n">
        <v>51374</v>
      </c>
      <c r="F770" s="14" t="n">
        <v>1374.5</v>
      </c>
      <c r="G770" s="14" t="n">
        <v>5440.5</v>
      </c>
      <c r="H770" s="13" t="inlineStr">
        <is>
          <t>Car#767</t>
        </is>
      </c>
      <c r="I770" s="14">
        <f>E770-E769</f>
        <v/>
      </c>
      <c r="J770" s="14">
        <f>I770-58</f>
        <v/>
      </c>
      <c r="K770" s="14">
        <f>MAX(0,J770)</f>
        <v/>
      </c>
      <c r="L770" s="14">
        <f>MAX(0,-J770)</f>
        <v/>
      </c>
      <c r="M770" s="14">
        <f>M769+I770</f>
        <v/>
      </c>
      <c r="N770" s="14">
        <f>D770+F770-E770</f>
        <v/>
      </c>
      <c r="O770" s="13" t="inlineStr">
        <is>
          <t>能力超目标：四轮定位上、下</t>
        </is>
      </c>
      <c r="P770" s="13" t="inlineStr">
        <is>
          <t>ST1 引取(开:49999.5s 加:56.0s 等前:5397.5s 等后:0.0s) | ST2 集约(开:50055.5s 加:111.0s 等前:0.0s 等后:0.0s) | ST3 空气悬挂+快充(开:50166.5s 加:108.5s 等前:0.0s 等后:0.0s) | ST4 四轮定位上、下(开:50275.0s 加:120.5s 等前:0.0s 等后:0.0s) | ST5 ADAS(开:50395.5s 加:107.0s 等前:0.0s 等后:0.0s) | ST6 ARHUD+慢充(开:50502.5s 加:51.5s 等前:0.0s 等后:43.0s) | ST7 转毂(开:50597.0s 加:114.5s 等前:0.0s 等后:0.0s) | ST8 制动(开:50711.5s 加:114.0s 等前:0.0s 等后:0.0s) | ST9 EG漏液/底盘漏液(开:50825.5s 加:112.5s 等前:0.0s 等后:0.0s) | ST10 全景/空调检查(开:50938.0s 加:0.0s 等前:0.0s 等后:0.0s) | ST11 气囊安装+绝缘(开:50938.0s 加:116.0s 等前:0.0s 等后:0.0s) | ST12 L2++(开:51054.0s 加:88.0s 等前:0.0s 等后:0.0s) | ST13 电检1(开:51142.0s 加:84.5s 等前:0.0s 等后:0.0s) | ST14 电检2(开:51226.5s 加:97.5s 等前:0.0s 等后:0.0s) | ST15 小跑道(开:51324.0s 加:50.0s 等前:0.0s 等后:0.0s)</t>
        </is>
      </c>
    </row>
    <row r="771">
      <c r="A771" s="15" t="n">
        <v>770</v>
      </c>
      <c r="B771" s="15" t="inlineStr">
        <is>
          <t>Car#769</t>
        </is>
      </c>
      <c r="C771" s="15" t="inlineStr">
        <is>
          <t>C</t>
        </is>
      </c>
      <c r="D771" s="16" t="n">
        <v>49934</v>
      </c>
      <c r="E771" s="16" t="n">
        <v>51459</v>
      </c>
      <c r="F771" s="16" t="n">
        <v>1525</v>
      </c>
      <c r="G771" s="16" t="n">
        <v>5491.5</v>
      </c>
      <c r="H771" s="15" t="inlineStr">
        <is>
          <t>Car#770</t>
        </is>
      </c>
      <c r="I771" s="16">
        <f>E771-E770</f>
        <v/>
      </c>
      <c r="J771" s="16">
        <f>I771-58</f>
        <v/>
      </c>
      <c r="K771" s="16">
        <f>MAX(0,J771)</f>
        <v/>
      </c>
      <c r="L771" s="16">
        <f>MAX(0,-J771)</f>
        <v/>
      </c>
      <c r="M771" s="16">
        <f>M770+I771</f>
        <v/>
      </c>
      <c r="N771" s="16">
        <f>D771+F771-E771</f>
        <v/>
      </c>
      <c r="O771" s="15" t="inlineStr">
        <is>
          <t>能力超目标：四轮定位上、下、ARHUD+慢充</t>
        </is>
      </c>
      <c r="P771" s="15" t="inlineStr">
        <is>
          <t>ST1 引取(开:49934.0s 加:56.0s 等前:5390.0s 等后:9.5s) | ST2 集约(开:49999.5s 加:111.0s 等前:0.0s 等后:26.5s) | ST3 空气悬挂+快充(开:50137.0s 加:108.5s 等前:0.0s 等后:35.0s) | ST4 四轮定位上、下(开:50280.5s 加:120.5s 等前:0.0s 等后:23.0s) | ST5 ADAS(开:50424.0s 加:107.0s 等前:0.0s 等后:7.5s) | ST6 ARHUD+慢充(开:50538.5s 加:143.5s 等前:0.0s 等后:0.0s) | ST7 转毂(开:50682.0s 加:114.5s 等前:0.0s 等后:0.0s) | ST8 制动(开:50796.5s 加:114.0s 等前:0.0s 等后:0.0s) | ST9 EG漏液/底盘漏液(开:50910.5s 加:112.5s 等前:0.0s 等后:0.0s) | ST10 全景/空调检查(开:51023.0s 加:0.0s 等前:0.0s 等后:0.0s) | ST11 气囊安装+绝缘(开:51023.0s 加:116.0s 等前:0.0s 等后:0.0s) | ST12 L2++(开:51139.0s 加:88.0s 等前:0.0s 等后:0.0s) | ST13 电检1(开:51227.0s 加:84.5s 等前:0.0s 等后:0.0s) | ST14 电检2(开:51311.5s 加:97.5s 等前:0.0s 等后:0.0s) | ST15 小跑道(开:51409.0s 加:50.0s 等前:0.0s 等后:0.0s)</t>
        </is>
      </c>
    </row>
    <row r="772">
      <c r="A772" s="13" t="n">
        <v>771</v>
      </c>
      <c r="B772" s="13" t="inlineStr">
        <is>
          <t>Car#772</t>
        </is>
      </c>
      <c r="C772" s="13" t="inlineStr">
        <is>
          <t>C</t>
        </is>
      </c>
      <c r="D772" s="14" t="n">
        <v>50137</v>
      </c>
      <c r="E772" s="14" t="n">
        <v>51560.5</v>
      </c>
      <c r="F772" s="14" t="n">
        <v>1423.5</v>
      </c>
      <c r="G772" s="14" t="n">
        <v>5419</v>
      </c>
      <c r="H772" s="13" t="inlineStr">
        <is>
          <t>Car#769</t>
        </is>
      </c>
      <c r="I772" s="14">
        <f>E772-E771</f>
        <v/>
      </c>
      <c r="J772" s="14">
        <f>I772-58</f>
        <v/>
      </c>
      <c r="K772" s="14">
        <f>MAX(0,J772)</f>
        <v/>
      </c>
      <c r="L772" s="14">
        <f>MAX(0,-J772)</f>
        <v/>
      </c>
      <c r="M772" s="14">
        <f>M771+I772</f>
        <v/>
      </c>
      <c r="N772" s="14">
        <f>D772+F772-E772</f>
        <v/>
      </c>
      <c r="O772" s="13" t="inlineStr">
        <is>
          <t>能力超目标：四轮定位上、下、ARHUD+慢充</t>
        </is>
      </c>
      <c r="P772" s="13" t="inlineStr">
        <is>
          <t>ST1 引取(开:50137.0s 加:56.0s 等前:5419.0s 等后:0.0s) | ST2 集约(开:50193.0s 加:111.0s 等前:0.0s 等后:0.0s) | ST3 空气悬挂+快充(开:50304.0s 加:108.5s 等前:0.0s 等后:0.0s) | ST4 四轮定位上、下(开:50412.5s 加:120.5s 等前:0.0s 等后:0.0s) | ST5 ADAS(开:50533.0s 加:107.0s 等前:0.0s 等后:0.0s) | ST6 ARHUD+慢充(开:50640.0s 加:143.5s 等前:0.0s 等后:0.0s) | ST7 转毂(开:50783.5s 加:114.5s 等前:0.0s 等后:0.0s) | ST8 制动(开:50898.0s 加:114.0s 等前:0.0s 等后:0.0s) | ST9 EG漏液/底盘漏液(开:51012.0s 加:112.5s 等前:0.0s 等后:0.0s) | ST10 全景/空调检查(开:51124.5s 加:0.0s 等前:0.0s 等后:0.0s) | ST11 气囊安装+绝缘(开:51124.5s 加:116.0s 等前:0.0s 等后:0.0s) | ST12 L2++(开:51240.5s 加:88.0s 等前:0.0s 等后:0.0s) | ST13 电检1(开:51328.5s 加:84.5s 等前:0.0s 等后:0.0s) | ST14 电检2(开:51413.0s 加:97.5s 等前:0.0s 等后:0.0s) | ST15 小跑道(开:51510.5s 加:50.0s 等前:0.0s 等后:0.0s)</t>
        </is>
      </c>
    </row>
    <row r="773">
      <c r="A773" s="15" t="n">
        <v>772</v>
      </c>
      <c r="B773" s="15" t="inlineStr">
        <is>
          <t>Car#771</t>
        </is>
      </c>
      <c r="C773" s="15" t="inlineStr">
        <is>
          <t>C</t>
        </is>
      </c>
      <c r="D773" s="16" t="n">
        <v>50055.5</v>
      </c>
      <c r="E773" s="16" t="n">
        <v>51610.5</v>
      </c>
      <c r="F773" s="16" t="n">
        <v>1555</v>
      </c>
      <c r="G773" s="16" t="n">
        <v>5527</v>
      </c>
      <c r="H773" s="15" t="inlineStr">
        <is>
          <t>Car#772</t>
        </is>
      </c>
      <c r="I773" s="16">
        <f>E773-E772</f>
        <v/>
      </c>
      <c r="J773" s="16">
        <f>I773-58</f>
        <v/>
      </c>
      <c r="K773" s="16">
        <f>MAX(0,J773)</f>
        <v/>
      </c>
      <c r="L773" s="16">
        <f>MAX(0,-J773)</f>
        <v/>
      </c>
      <c r="M773" s="16">
        <f>M772+I773</f>
        <v/>
      </c>
      <c r="N773" s="16">
        <f>D773+F773-E773</f>
        <v/>
      </c>
      <c r="O773" s="15" t="inlineStr">
        <is>
          <t>能力超目标：四轮定位上、下、ARHUD+慢充</t>
        </is>
      </c>
      <c r="P773" s="15" t="inlineStr">
        <is>
          <t>ST1 引取(开:50055.5s 加:56.0s 等前:5395.5s 等后:25.5s) | ST2 集约(开:50137.0s 加:111.0s 等前:0.0s 等后:32.5s) | ST3 空气悬挂+快充(开:50280.5s 加:108.5s 等前:0.0s 等后:35.0s) | ST4 四轮定位上、下(开:50424.0s 加:120.5s 等前:0.0s 等后:0.0s) | ST5 ADAS(开:50544.5s 加:107.0s 等前:0.0s 等后:30.5s) | ST6 ARHUD+慢充(开:50682.0s 加:143.5s 等前:0.0s 等后:0.0s) | ST7 转毂(开:50825.5s 加:114.5s 等前:0.0s 等后:0.0s) | ST8 制动(开:50940.0s 加:114.0s 等前:0.0s 等后:0.0s) | ST9 EG漏液/底盘漏液(开:51054.0s 加:112.5s 等前:0.0s 等后:0.0s) | ST10 全景/空调检查(开:51166.5s 加:0.0s 等前:0.0s 等后:0.0s) | ST11 气囊安装+绝缘(开:51166.5s 加:116.0s 等前:0.0s 等后:0.0s) | ST12 L2++(开:51282.5s 加:88.0s 等前:0.0s 等后:0.0s) | ST13 电检1(开:51370.5s 加:84.5s 等前:0.0s 等后:0.0s) | ST14 电检2(开:51455.0s 加:97.5s 等前:0.0s 等后:8.0s) | ST15 小跑道(开:51560.5s 加:50.0s 等前:0.0s 等后:0.0s)</t>
        </is>
      </c>
    </row>
    <row r="774">
      <c r="A774" s="13" t="n">
        <v>773</v>
      </c>
      <c r="B774" s="13" t="inlineStr">
        <is>
          <t>Car#774</t>
        </is>
      </c>
      <c r="C774" s="13" t="inlineStr">
        <is>
          <t>B</t>
        </is>
      </c>
      <c r="D774" s="14" t="n">
        <v>50280.5</v>
      </c>
      <c r="E774" s="14" t="n">
        <v>51676.5</v>
      </c>
      <c r="F774" s="14" t="n">
        <v>1396</v>
      </c>
      <c r="G774" s="14" t="n">
        <v>5511</v>
      </c>
      <c r="H774" s="13" t="inlineStr">
        <is>
          <t>Car#771</t>
        </is>
      </c>
      <c r="I774" s="14">
        <f>E774-E773</f>
        <v/>
      </c>
      <c r="J774" s="14">
        <f>I774-58</f>
        <v/>
      </c>
      <c r="K774" s="14">
        <f>MAX(0,J774)</f>
        <v/>
      </c>
      <c r="L774" s="14">
        <f>MAX(0,-J774)</f>
        <v/>
      </c>
      <c r="M774" s="14">
        <f>M773+I774</f>
        <v/>
      </c>
      <c r="N774" s="14">
        <f>D774+F774-E774</f>
        <v/>
      </c>
      <c r="O774" s="13" t="inlineStr">
        <is>
          <t>能力超目标：四轮定位上、下</t>
        </is>
      </c>
      <c r="P774" s="13" t="inlineStr">
        <is>
          <t>ST1 引取(开:50280.5s 加:56.0s 等前:5446.5s 等后:0.0s) | ST2 集约(开:50336.5s 加:111.0s 等前:0.0s 等后:0.0s) | ST3 空气悬挂+快充(开:50447.5s 加:108.5s 等前:0.0s 等后:0.0s) | ST4 四轮定位上、下(开:50556.0s 加:120.5s 等前:0.0s 等后:0.0s) | ST5 ADAS(开:50676.5s 加:107.0s 等前:0.0s 等后:0.0s) | ST6 ARHUD+慢充(开:50783.5s 加:51.5s 等前:0.0s 等后:63.0s) | ST7 转毂(开:50898.0s 加:114.5s 等前:0.0s 等后:0.0s) | ST8 制动(开:51012.5s 加:114.0s 等前:0.0s 等后:0.0s) | ST9 EG漏液/底盘漏液(开:51126.5s 加:112.5s 等前:0.0s 等后:0.0s) | ST10 全景/空调检查(开:51239.0s 加:0.0s 等前:0.0s 等后:1.5s) | ST11 气囊安装+绝缘(开:51240.5s 加:116.0s 等前:0.0s 等后:0.0s) | ST12 L2++(开:51356.5s 加:88.0s 等前:0.0s 等后:0.0s) | ST13 电检1(开:51444.5s 加:84.5s 等前:0.0s 等后:0.0s) | ST14 电检2(开:51529.0s 加:97.5s 等前:0.0s 等后:0.0s) | ST15 小跑道(开:51626.5s 加:50.0s 等前:0.0s 等后:0.0s)</t>
        </is>
      </c>
    </row>
    <row r="775">
      <c r="A775" s="15" t="n">
        <v>774</v>
      </c>
      <c r="B775" s="15" t="inlineStr">
        <is>
          <t>Car#773</t>
        </is>
      </c>
      <c r="C775" s="15" t="inlineStr">
        <is>
          <t>B</t>
        </is>
      </c>
      <c r="D775" s="16" t="n">
        <v>50193</v>
      </c>
      <c r="E775" s="16" t="n">
        <v>51726.5</v>
      </c>
      <c r="F775" s="16" t="n">
        <v>1533.5</v>
      </c>
      <c r="G775" s="16" t="n">
        <v>5619</v>
      </c>
      <c r="H775" s="15" t="inlineStr">
        <is>
          <t>Car#774</t>
        </is>
      </c>
      <c r="I775" s="16">
        <f>E775-E774</f>
        <v/>
      </c>
      <c r="J775" s="16">
        <f>I775-58</f>
        <v/>
      </c>
      <c r="K775" s="16">
        <f>MAX(0,J775)</f>
        <v/>
      </c>
      <c r="L775" s="16">
        <f>MAX(0,-J775)</f>
        <v/>
      </c>
      <c r="M775" s="16">
        <f>M774+I775</f>
        <v/>
      </c>
      <c r="N775" s="16">
        <f>D775+F775-E775</f>
        <v/>
      </c>
      <c r="O775" s="15" t="inlineStr">
        <is>
          <t>能力超目标：四轮定位上、下</t>
        </is>
      </c>
      <c r="P775" s="15" t="inlineStr">
        <is>
          <t>ST1 引取(开:50193.0s 加:56.0s 等前:5417.0s 等后:31.5s) | ST2 集约(开:50280.5s 加:111.0s 等前:0.0s 等后:32.5s) | ST3 空气悬挂+快充(开:50424.0s 加:108.5s 等前:0.0s 等后:12.0s) | ST4 四轮定位上、下(开:50544.5s 加:120.5s 等前:0.0s 等后:17.0s) | ST5 ADAS(开:50682.0s 加:107.0s 等前:0.0s 等后:36.5s) | ST6 ARHUD+慢充(开:50825.5s 加:51.5s 等前:0.0s 等后:63.0s) | ST7 转毂(开:50940.0s 加:114.5s 等前:0.0s 等后:0.0s) | ST8 制动(开:51054.5s 加:114.0s 等前:0.0s 等后:0.0s) | ST9 EG漏液/底盘漏液(开:51168.5s 加:112.5s 等前:0.0s 等后:0.0s) | ST10 全景/空调检查(开:51281.0s 加:0.0s 等前:0.0s 等后:1.5s) | ST11 气囊安装+绝缘(开:51282.5s 加:116.0s 等前:0.0s 等后:0.0s) | ST12 L2++(开:51398.5s 加:88.0s 等前:0.0s 等后:0.0s) | ST13 电检1(开:51486.5s 加:84.5s 等前:0.0s 等后:0.0s) | ST14 电检2(开:51571.0s 加:97.5s 等前:0.0s 等后:8.0s) | ST15 小跑道(开:51676.5s 加:50.0s 等前:0.0s 等后:0.0s)</t>
        </is>
      </c>
    </row>
    <row r="776">
      <c r="A776" s="13" t="n">
        <v>775</v>
      </c>
      <c r="B776" s="13" t="inlineStr">
        <is>
          <t>Car#776</t>
        </is>
      </c>
      <c r="C776" s="13" t="inlineStr">
        <is>
          <t>C</t>
        </is>
      </c>
      <c r="D776" s="14" t="n">
        <v>50424</v>
      </c>
      <c r="E776" s="14" t="n">
        <v>51847.5</v>
      </c>
      <c r="F776" s="14" t="n">
        <v>1423.5</v>
      </c>
      <c r="G776" s="14" t="n">
        <v>5474</v>
      </c>
      <c r="H776" s="13" t="inlineStr">
        <is>
          <t>Car#773</t>
        </is>
      </c>
      <c r="I776" s="14">
        <f>E776-E775</f>
        <v/>
      </c>
      <c r="J776" s="14">
        <f>I776-58</f>
        <v/>
      </c>
      <c r="K776" s="14">
        <f>MAX(0,J776)</f>
        <v/>
      </c>
      <c r="L776" s="14">
        <f>MAX(0,-J776)</f>
        <v/>
      </c>
      <c r="M776" s="14">
        <f>M775+I776</f>
        <v/>
      </c>
      <c r="N776" s="14">
        <f>D776+F776-E776</f>
        <v/>
      </c>
      <c r="O776" s="13" t="inlineStr">
        <is>
          <t>能力超目标：四轮定位上、下、ARHUD+慢充</t>
        </is>
      </c>
      <c r="P776" s="13" t="inlineStr">
        <is>
          <t>ST1 引取(开:50424.0s 加:56.0s 等前:5474.0s 等后:0.0s) | ST2 集约(开:50480.0s 加:111.0s 等前:0.0s 等后:0.0s) | ST3 空气悬挂+快充(开:50591.0s 加:108.5s 等前:0.0s 等后:0.0s) | ST4 四轮定位上、下(开:50699.5s 加:120.5s 等前:0.0s 等后:0.0s) | ST5 ADAS(开:50820.0s 加:107.0s 等前:0.0s 等后:0.0s) | ST6 ARHUD+慢充(开:50927.0s 加:143.5s 等前:0.0s 等后:0.0s) | ST7 转毂(开:51070.5s 加:114.5s 等前:0.0s 等后:0.0s) | ST8 制动(开:51185.0s 加:114.0s 等前:0.0s 等后:0.0s) | ST9 EG漏液/底盘漏液(开:51299.0s 加:112.5s 等前:0.0s 等后:0.0s) | ST10 全景/空调检查(开:51411.5s 加:0.0s 等前:0.0s 等后:0.0s) | ST11 气囊安装+绝缘(开:51411.5s 加:116.0s 等前:0.0s 等后:0.0s) | ST12 L2++(开:51527.5s 加:88.0s 等前:0.0s 等后:0.0s) | ST13 电检1(开:51615.5s 加:84.5s 等前:0.0s 等后:0.0s) | ST14 电检2(开:51700.0s 加:97.5s 等前:0.0s 等后:0.0s) | ST15 小跑道(开:51797.5s 加:50.0s 等前:0.0s 等后:0.0s)</t>
        </is>
      </c>
    </row>
    <row r="777">
      <c r="A777" s="15" t="n">
        <v>776</v>
      </c>
      <c r="B777" s="15" t="inlineStr">
        <is>
          <t>Car#778</t>
        </is>
      </c>
      <c r="C777" s="15" t="inlineStr">
        <is>
          <t>A</t>
        </is>
      </c>
      <c r="D777" s="16" t="n">
        <v>50544.5</v>
      </c>
      <c r="E777" s="16" t="n">
        <v>51898.5</v>
      </c>
      <c r="F777" s="16" t="n">
        <v>1354</v>
      </c>
      <c r="G777" s="16" t="n">
        <v>5971.5</v>
      </c>
      <c r="H777" s="15" t="inlineStr">
        <is>
          <t>Car#776</t>
        </is>
      </c>
      <c r="I777" s="16">
        <f>E777-E776</f>
        <v/>
      </c>
      <c r="J777" s="16">
        <f>I777-58</f>
        <v/>
      </c>
      <c r="K777" s="16">
        <f>MAX(0,J777)</f>
        <v/>
      </c>
      <c r="L777" s="16">
        <f>MAX(0,-J777)</f>
        <v/>
      </c>
      <c r="M777" s="16">
        <f>M776+I777</f>
        <v/>
      </c>
      <c r="N777" s="16">
        <f>D777+F777-E777</f>
        <v/>
      </c>
      <c r="O777" s="15" t="inlineStr">
        <is>
          <t>能力满足</t>
        </is>
      </c>
      <c r="P777" s="15" t="inlineStr">
        <is>
          <t>ST1 引取(开:50544.5s 加:55.0s 等前:5478.5s 等后:0.0s) | ST2 集约(开:50599.5s 加:106.0s 等前:0.0s 等后:0.0s) | ST3 空气悬挂+快充(开:50705.5s 加:0.0s 等前:0.0s 等后:114.5s) | ST4 四轮定位上、下(开:50820.0s 加:115.0s 等前:0.0s 等后:0.0s) | ST5 ADAS(开:50935.0s 加:97.0s 等前:0.0s 等后:38.5s) | ST6 ARHUD+慢充(开:51070.5s 加:0.0s 等前:0.0s 等后:114.5s) | ST7 转毂(开:51185.0s 加:116.0s 等前:0.0s 等后:0.0s) | ST8 制动(开:51301.0s 加:108.0s 等前:0.0s 等后:2.5s) | ST9 EG漏液/底盘漏液(开:51411.5s 加:115.0s 等前:0.0s 等后:0.0s) | ST10 全景/空调检查(开:51526.5s 加:98.0s 等前:0.0s 等后:0.0s) | ST11 气囊安装+绝缘(开:51624.5s 加:0.0s 等前:0.0s 等后:0.0s) | ST12 L2++(开:51624.5s 加:0.0s 等前:0.0s 等后:75.5s) | ST13 电检1(开:51700.0s 加:0.0s 等前:0.0s 等后:97.5s) | ST14 电检2(开:51797.5s 加:0.0s 等前:0.0s 等后:50.0s) | ST15 小跑道(开:51847.5s 加:51.0s 等前:0.0s 等后:0.0s)</t>
        </is>
      </c>
    </row>
    <row r="778">
      <c r="A778" s="13" t="n">
        <v>777</v>
      </c>
      <c r="B778" s="13" t="inlineStr">
        <is>
          <t>Car#775</t>
        </is>
      </c>
      <c r="C778" s="13" t="inlineStr">
        <is>
          <t>C</t>
        </is>
      </c>
      <c r="D778" s="14" t="n">
        <v>50336.5</v>
      </c>
      <c r="E778" s="14" t="n">
        <v>51948.5</v>
      </c>
      <c r="F778" s="14" t="n">
        <v>1612</v>
      </c>
      <c r="G778" s="14" t="n">
        <v>5633</v>
      </c>
      <c r="H778" s="13" t="inlineStr">
        <is>
          <t>Car#778</t>
        </is>
      </c>
      <c r="I778" s="14">
        <f>E778-E777</f>
        <v/>
      </c>
      <c r="J778" s="14">
        <f>I778-58</f>
        <v/>
      </c>
      <c r="K778" s="14">
        <f>MAX(0,J778)</f>
        <v/>
      </c>
      <c r="L778" s="14">
        <f>MAX(0,-J778)</f>
        <v/>
      </c>
      <c r="M778" s="14">
        <f>M777+I778</f>
        <v/>
      </c>
      <c r="N778" s="14">
        <f>D778+F778-E778</f>
        <v/>
      </c>
      <c r="O778" s="13" t="inlineStr">
        <is>
          <t>能力超目标：四轮定位上、下、ARHUD+慢充</t>
        </is>
      </c>
      <c r="P778" s="13" t="inlineStr">
        <is>
          <t>ST1 引取(开:50336.5s 加:56.0s 等前:5444.5s 等后:31.5s) | ST2 集约(开:50424.0s 加:111.0s 等前:0.0s 等后:9.5s) | ST3 空气悬挂+快充(开:50544.5s 加:108.5s 等前:0.0s 等后:29.0s) | ST4 四轮定位上、下(开:50682.0s 加:120.5s 等前:0.0s 等后:23.0s) | ST5 ADAS(开:50825.5s 加:107.0s 等前:0.0s 等后:7.5s) | ST6 ARHUD+慢充(开:50940.0s 加:143.5s 等前:0.0s 等后:0.0s) | ST7 转毂(开:51083.5s 加:114.5s 等前:0.0s 等后:0.0s) | ST8 制动(开:51198.0s 加:114.0s 等前:0.0s 等后:0.0s) | ST9 EG漏液/底盘漏液(开:51312.0s 加:112.5s 等前:0.0s 等后:0.0s) | ST10 全景/空调检查(开:51424.5s 加:0.0s 等前:0.0s 等后:0.0s) | ST11 气囊安装+绝缘(开:51424.5s 加:116.0s 等前:0.0s 等后:0.0s) | ST12 L2++(开:51540.5s 加:88.0s 等前:0.0s 等后:0.0s) | ST13 电检1(开:51628.5s 加:84.5s 等前:0.0s 等后:0.0s) | ST14 电检2(开:51713.0s 加:97.5s 等前:0.0s 等后:88.0s) | ST15 小跑道(开:51898.5s 加:50.0s 等前:0.0s 等后:0.0s)</t>
        </is>
      </c>
    </row>
    <row r="779">
      <c r="A779" s="15" t="n">
        <v>778</v>
      </c>
      <c r="B779" s="15" t="inlineStr">
        <is>
          <t>Car#780</t>
        </is>
      </c>
      <c r="C779" s="15" t="inlineStr">
        <is>
          <t>A</t>
        </is>
      </c>
      <c r="D779" s="16" t="n">
        <v>50682</v>
      </c>
      <c r="E779" s="16" t="n">
        <v>51999.5</v>
      </c>
      <c r="F779" s="16" t="n">
        <v>1317.5</v>
      </c>
      <c r="G779" s="16" t="n">
        <v>5956.5</v>
      </c>
      <c r="H779" s="15" t="inlineStr">
        <is>
          <t>Car#775</t>
        </is>
      </c>
      <c r="I779" s="16">
        <f>E779-E778</f>
        <v/>
      </c>
      <c r="J779" s="16">
        <f>I779-58</f>
        <v/>
      </c>
      <c r="K779" s="16">
        <f>MAX(0,J779)</f>
        <v/>
      </c>
      <c r="L779" s="16">
        <f>MAX(0,-J779)</f>
        <v/>
      </c>
      <c r="M779" s="16">
        <f>M778+I779</f>
        <v/>
      </c>
      <c r="N779" s="16">
        <f>D779+F779-E779</f>
        <v/>
      </c>
      <c r="O779" s="15" t="inlineStr">
        <is>
          <t>能力满足</t>
        </is>
      </c>
      <c r="P779" s="15" t="inlineStr">
        <is>
          <t>ST1 引取(开:50682.0s 加:55.0s 等前:5500.0s 等后:0.0s) | ST2 集约(开:50737.0s 加:106.0s 等前:0.0s 等后:0.0s) | ST3 空气悬挂+快充(开:50843.0s 加:0.0s 等前:0.0s 等后:92.0s) | ST4 四轮定位上、下(开:50935.0s 加:115.0s 等前:0.0s 等后:20.5s) | ST5 ADAS(开:51070.5s 加:97.0s 等前:0.0s 等后:17.5s) | ST6 ARHUD+慢充(开:51185.0s 加:0.0s 等前:0.0s 等后:116.0s) | ST7 转毂(开:51301.0s 加:116.0s 等前:0.0s 等后:0.0s) | ST8 制动(开:51417.0s 加:108.0s 等前:0.0s 等后:1.5s) | ST9 EG漏液/底盘漏液(开:51526.5s 加:115.0s 等前:0.0s 等后:0.0s) | ST10 全景/空调检查(开:51641.5s 加:98.0s 等前:0.0s 等后:0.0s) | ST11 气囊安装+绝缘(开:51739.5s 加:0.0s 等前:0.0s 等后:0.0s) | ST12 L2++(开:51739.5s 加:0.0s 等前:0.0s 等后:58.0s) | ST13 电检1(开:51797.5s 加:0.0s 等前:0.0s 等后:50.0s) | ST14 电检2(开:51847.5s 加:0.0s 等前:0.0s 等后:101.0s) | ST15 小跑道(开:51948.5s 加:51.0s 等前:0.0s 等后:0.0s)</t>
        </is>
      </c>
    </row>
    <row r="780">
      <c r="A780" s="13" t="n">
        <v>779</v>
      </c>
      <c r="B780" s="13" t="inlineStr">
        <is>
          <t>Car#777</t>
        </is>
      </c>
      <c r="C780" s="13" t="inlineStr">
        <is>
          <t>C</t>
        </is>
      </c>
      <c r="D780" s="14" t="n">
        <v>50480</v>
      </c>
      <c r="E780" s="14" t="n">
        <v>52049.5</v>
      </c>
      <c r="F780" s="14" t="n">
        <v>1569.5</v>
      </c>
      <c r="G780" s="14" t="n">
        <v>5618</v>
      </c>
      <c r="H780" s="13" t="inlineStr">
        <is>
          <t>Car#780</t>
        </is>
      </c>
      <c r="I780" s="14">
        <f>E780-E779</f>
        <v/>
      </c>
      <c r="J780" s="14">
        <f>I780-58</f>
        <v/>
      </c>
      <c r="K780" s="14">
        <f>MAX(0,J780)</f>
        <v/>
      </c>
      <c r="L780" s="14">
        <f>MAX(0,-J780)</f>
        <v/>
      </c>
      <c r="M780" s="14">
        <f>M779+I780</f>
        <v/>
      </c>
      <c r="N780" s="14">
        <f>D780+F780-E780</f>
        <v/>
      </c>
      <c r="O780" s="13" t="inlineStr">
        <is>
          <t>能力超目标：四轮定位上、下、ARHUD+慢充</t>
        </is>
      </c>
      <c r="P780" s="13" t="inlineStr">
        <is>
          <t>ST1 引取(开:50480.0s 加:56.0s 等前:5472.0s 等后:8.5s) | ST2 集约(开:50544.5s 加:111.0s 等前:0.0s 等后:26.5s) | ST3 空气悬挂+快充(开:50682.0s 加:108.5s 等前:0.0s 等后:35.0s) | ST4 四轮定位上、下(开:50825.5s 加:120.5s 等前:0.0s 等后:0.0s) | ST5 ADAS(开:50946.0s 加:107.0s 等前:0.0s 等后:30.5s) | ST6 ARHUD+慢充(开:51083.5s 加:143.5s 等前:0.0s 等后:0.0s) | ST7 转毂(开:51227.0s 加:114.5s 等前:0.0s 等后:0.0s) | ST8 制动(开:51341.5s 加:114.0s 等前:0.0s 等后:0.0s) | ST9 EG漏液/底盘漏液(开:51455.5s 加:112.5s 等前:0.0s 等后:0.0s) | ST10 全景/空调检查(开:51568.0s 加:0.0s 等前:0.0s 等后:0.0s) | ST11 气囊安装+绝缘(开:51568.0s 加:116.0s 等前:0.0s 等后:0.0s) | ST12 L2++(开:51684.0s 加:88.0s 等前:0.0s 等后:0.0s) | ST13 电检1(开:51772.0s 加:84.5s 等前:0.0s 等后:42.0s) | ST14 电检2(开:51898.5s 加:97.5s 等前:0.0s 等后:3.5s) | ST15 小跑道(开:51999.5s 加:50.0s 等前:0.0s 等后:0.0s)</t>
        </is>
      </c>
    </row>
    <row r="781">
      <c r="A781" s="15" t="n">
        <v>780</v>
      </c>
      <c r="B781" s="15" t="inlineStr">
        <is>
          <t>Car#779</t>
        </is>
      </c>
      <c r="C781" s="15" t="inlineStr">
        <is>
          <t>A</t>
        </is>
      </c>
      <c r="D781" s="16" t="n">
        <v>50599.5</v>
      </c>
      <c r="E781" s="16" t="n">
        <v>52100.5</v>
      </c>
      <c r="F781" s="16" t="n">
        <v>1501</v>
      </c>
      <c r="G781" s="16" t="n">
        <v>6115.5</v>
      </c>
      <c r="H781" s="15" t="inlineStr">
        <is>
          <t>Car#777</t>
        </is>
      </c>
      <c r="I781" s="16">
        <f>E781-E780</f>
        <v/>
      </c>
      <c r="J781" s="16">
        <f>I781-58</f>
        <v/>
      </c>
      <c r="K781" s="16">
        <f>MAX(0,J781)</f>
        <v/>
      </c>
      <c r="L781" s="16">
        <f>MAX(0,-J781)</f>
        <v/>
      </c>
      <c r="M781" s="16">
        <f>M780+I781</f>
        <v/>
      </c>
      <c r="N781" s="16">
        <f>D781+F781-E781</f>
        <v/>
      </c>
      <c r="O781" s="15" t="inlineStr">
        <is>
          <t>能力满足</t>
        </is>
      </c>
      <c r="P781" s="15" t="inlineStr">
        <is>
          <t>ST1 引取(开:50599.5s 加:55.0s 等前:5475.5s 等后:27.5s) | ST2 集约(开:50682.0s 加:106.0s 等前:0.0s 等后:37.5s) | ST3 空气悬挂+快充(开:50825.5s 加:0.0s 等前:0.0s 等后:120.5s) | ST4 四轮定位上、下(开:50946.0s 加:115.0s 等前:0.0s 等后:22.5s) | ST5 ADAS(开:51083.5s 加:97.0s 等前:0.0s 等后:46.5s) | ST6 ARHUD+慢充(开:51227.0s 加:0.0s 等前:0.0s 等后:114.5s) | ST7 转毂(开:51341.5s 加:116.0s 等前:0.0s 等后:0.0s) | ST8 制动(开:51457.5s 加:108.0s 等前:0.0s 等后:2.5s) | ST9 EG漏液/底盘漏液(开:51568.0s 加:115.0s 等前:0.0s 等后:0.0s) | ST10 全景/空调检查(开:51683.0s 加:98.0s 等前:0.0s 等后:0.0s) | ST11 气囊安装+绝缘(开:51781.0s 加:0.0s 等前:0.0s 等后:0.0s) | ST12 L2++(开:51781.0s 加:0.0s 等前:0.0s 等后:117.5s) | ST13 电检1(开:51898.5s 加:0.0s 等前:0.0s 等后:101.0s) | ST14 电检2(开:51999.5s 加:0.0s 等前:0.0s 等后:50.0s) | ST15 小跑道(开:52049.5s 加:51.0s 等前:0.0s 等后:0.0s)</t>
        </is>
      </c>
    </row>
    <row r="782">
      <c r="A782" s="13" t="n">
        <v>781</v>
      </c>
      <c r="B782" s="13" t="inlineStr">
        <is>
          <t>Car#781</t>
        </is>
      </c>
      <c r="C782" s="13" t="inlineStr">
        <is>
          <t>B</t>
        </is>
      </c>
      <c r="D782" s="14" t="n">
        <v>50737</v>
      </c>
      <c r="E782" s="14" t="n">
        <v>52234.5</v>
      </c>
      <c r="F782" s="14" t="n">
        <v>1497.5</v>
      </c>
      <c r="G782" s="14" t="n">
        <v>5663</v>
      </c>
      <c r="H782" s="13" t="inlineStr">
        <is>
          <t>Car#779</t>
        </is>
      </c>
      <c r="I782" s="14">
        <f>E782-E781</f>
        <v/>
      </c>
      <c r="J782" s="14">
        <f>I782-58</f>
        <v/>
      </c>
      <c r="K782" s="14">
        <f>MAX(0,J782)</f>
        <v/>
      </c>
      <c r="L782" s="14">
        <f>MAX(0,-J782)</f>
        <v/>
      </c>
      <c r="M782" s="14">
        <f>M781+I782</f>
        <v/>
      </c>
      <c r="N782" s="14">
        <f>D782+F782-E782</f>
        <v/>
      </c>
      <c r="O782" s="13" t="inlineStr">
        <is>
          <t>能力超目标：四轮定位上、下</t>
        </is>
      </c>
      <c r="P782" s="13" t="inlineStr">
        <is>
          <t>ST1 引取(开:50737.0s 加:56.0s 等前:5497.0s 等后:32.5s) | ST2 集约(开:50825.5s 加:111.0s 等前:0.0s 等后:9.5s) | ST3 空气悬挂+快充(开:50946.0s 加:108.5s 等前:0.0s 等后:29.0s) | ST4 四轮定位上、下(开:51083.5s 加:120.5s 等前:0.0s 等后:23.0s) | ST5 ADAS(开:51227.0s 加:107.0s 等前:0.0s 等后:7.5s) | ST6 ARHUD+慢充(开:51341.5s 加:51.5s 等前:0.0s 等后:64.5s) | ST7 转毂(开:51457.5s 加:114.5s 等前:0.0s 等后:0.0s) | ST8 制动(开:51572.0s 加:114.0s 等前:0.0s 等后:0.0s) | ST9 EG漏液/底盘漏液(开:51686.0s 加:112.5s 等前:0.0s 等后:0.0s) | ST10 全景/空调检查(开:51798.5s 加:0.0s 等前:0.0s 等后:0.0s) | ST11 气囊安装+绝缘(开:51798.5s 加:116.0s 等前:0.0s 等后:0.0s) | ST12 L2++(开:51914.5s 加:88.0s 等前:0.0s 等后:0.0s) | ST13 电检1(开:52002.5s 加:84.5s 等前:0.0s 等后:0.0s) | ST14 电检2(开:52087.0s 加:97.5s 等前:0.0s 等后:0.0s) | ST15 小跑道(开:52184.5s 加:50.0s 等前:0.0s 等后:0.0s)</t>
        </is>
      </c>
    </row>
    <row r="783">
      <c r="A783" s="15" t="n">
        <v>782</v>
      </c>
      <c r="B783" s="15" t="inlineStr">
        <is>
          <t>Car#782</t>
        </is>
      </c>
      <c r="C783" s="15" t="inlineStr">
        <is>
          <t>C</t>
        </is>
      </c>
      <c r="D783" s="16" t="n">
        <v>50825.5</v>
      </c>
      <c r="E783" s="16" t="n">
        <v>52284.5</v>
      </c>
      <c r="F783" s="16" t="n">
        <v>1459</v>
      </c>
      <c r="G783" s="16" t="n">
        <v>5563</v>
      </c>
      <c r="H783" s="15" t="inlineStr">
        <is>
          <t>Car#781</t>
        </is>
      </c>
      <c r="I783" s="16">
        <f>E783-E782</f>
        <v/>
      </c>
      <c r="J783" s="16">
        <f>I783-58</f>
        <v/>
      </c>
      <c r="K783" s="16">
        <f>MAX(0,J783)</f>
        <v/>
      </c>
      <c r="L783" s="16">
        <f>MAX(0,-J783)</f>
        <v/>
      </c>
      <c r="M783" s="16">
        <f>M782+I783</f>
        <v/>
      </c>
      <c r="N783" s="16">
        <f>D783+F783-E783</f>
        <v/>
      </c>
      <c r="O783" s="15" t="inlineStr">
        <is>
          <t>能力超目标：四轮定位上、下、ARHUD+慢充</t>
        </is>
      </c>
      <c r="P783" s="15" t="inlineStr">
        <is>
          <t>ST1 引取(开:50825.5s 加:56.0s 等前:5527.5s 等后:0.0s) | ST2 集约(开:50881.5s 加:111.0s 等前:0.0s 等后:0.0s) | ST3 空气悬挂+快充(开:50992.5s 加:108.5s 等前:0.0s 等后:0.0s) | ST4 四轮定位上、下(开:51101.0s 加:120.5s 等前:0.0s 等后:0.0s) | ST5 ADAS(开:51221.5s 加:107.0s 等前:0.0s 等后:0.0s) | ST6 ARHUD+慢充(开:51328.5s 加:143.5s 等前:0.0s 等后:0.0s) | ST7 转毂(开:51472.0s 加:114.5s 等前:0.0s 等后:0.0s) | ST8 制动(开:51586.5s 加:114.0s 等前:0.0s 等后:0.0s) | ST9 EG漏液/底盘漏液(开:51700.5s 加:112.5s 等前:0.0s 等后:0.0s) | ST10 全景/空调检查(开:51813.0s 加:0.0s 等前:0.0s 等后:0.0s) | ST11 气囊安装+绝缘(开:51813.0s 加:116.0s 等前:0.0s 等后:0.0s) | ST12 L2++(开:51929.0s 加:88.0s 等前:0.0s 等后:0.0s) | ST13 电检1(开:52017.0s 加:84.5s 等前:0.0s 等后:0.0s) | ST14 电检2(开:52101.5s 加:97.5s 等前:0.0s 等后:35.5s) | ST15 小跑道(开:52234.5s 加:50.0s 等前:0.0s 等后:0.0s)</t>
        </is>
      </c>
    </row>
    <row r="784">
      <c r="A784" s="13" t="n">
        <v>783</v>
      </c>
      <c r="B784" s="13" t="inlineStr">
        <is>
          <t>Car#783</t>
        </is>
      </c>
      <c r="C784" s="13" t="inlineStr">
        <is>
          <t>C</t>
        </is>
      </c>
      <c r="D784" s="14" t="n">
        <v>50881.5</v>
      </c>
      <c r="E784" s="14" t="n">
        <v>52378</v>
      </c>
      <c r="F784" s="14" t="n">
        <v>1496.5</v>
      </c>
      <c r="G784" s="14" t="n">
        <v>5598.5</v>
      </c>
      <c r="H784" s="13" t="inlineStr">
        <is>
          <t>Car#782</t>
        </is>
      </c>
      <c r="I784" s="14">
        <f>E784-E783</f>
        <v/>
      </c>
      <c r="J784" s="14">
        <f>I784-58</f>
        <v/>
      </c>
      <c r="K784" s="14">
        <f>MAX(0,J784)</f>
        <v/>
      </c>
      <c r="L784" s="14">
        <f>MAX(0,-J784)</f>
        <v/>
      </c>
      <c r="M784" s="14">
        <f>M783+I784</f>
        <v/>
      </c>
      <c r="N784" s="14">
        <f>D784+F784-E784</f>
        <v/>
      </c>
      <c r="O784" s="13" t="inlineStr">
        <is>
          <t>能力超目标：四轮定位上、下、ARHUD+慢充</t>
        </is>
      </c>
      <c r="P784" s="13" t="inlineStr">
        <is>
          <t>ST1 引取(开:50881.5s 加:56.0s 等前:5525.5s 等后:8.5s) | ST2 集约(开:50946.0s 加:111.0s 等前:0.0s 等后:26.5s) | ST3 空气悬挂+快充(开:51083.5s 加:108.5s 等前:0.0s 等后:35.0s) | ST4 四轮定位上、下(开:51227.0s 加:120.5s 等前:0.0s 等后:0.0s) | ST5 ADAS(开:51347.5s 加:107.0s 等前:0.0s 等后:3.0s) | ST6 ARHUD+慢充(开:51457.5s 加:143.5s 等前:0.0s 等后:0.0s) | ST7 转毂(开:51601.0s 加:114.5s 等前:0.0s 等后:0.0s) | ST8 制动(开:51715.5s 加:114.0s 等前:0.0s 等后:0.0s) | ST9 EG漏液/底盘漏液(开:51829.5s 加:112.5s 等前:0.0s 等后:0.0s) | ST10 全景/空调检查(开:51942.0s 加:0.0s 等前:0.0s 等后:0.0s) | ST11 气囊安装+绝缘(开:51942.0s 加:116.0s 等前:0.0s 等后:0.0s) | ST12 L2++(开:52058.0s 加:88.0s 等前:0.0s 等后:0.0s) | ST13 电检1(开:52146.0s 加:84.5s 等前:0.0s 等后:0.0s) | ST14 电检2(开:52230.5s 加:97.5s 等前:0.0s 等后:0.0s) | ST15 小跑道(开:52328.0s 加:50.0s 等前:0.0s 等后:0.0s)</t>
        </is>
      </c>
    </row>
    <row r="785">
      <c r="A785" s="15" t="n">
        <v>784</v>
      </c>
      <c r="B785" s="15" t="inlineStr">
        <is>
          <t>Car#784</t>
        </is>
      </c>
      <c r="C785" s="15" t="inlineStr">
        <is>
          <t>C</t>
        </is>
      </c>
      <c r="D785" s="16" t="n">
        <v>50946</v>
      </c>
      <c r="E785" s="16" t="n">
        <v>52428</v>
      </c>
      <c r="F785" s="16" t="n">
        <v>1482</v>
      </c>
      <c r="G785" s="16" t="n">
        <v>5590.5</v>
      </c>
      <c r="H785" s="15" t="inlineStr">
        <is>
          <t>Car#783</t>
        </is>
      </c>
      <c r="I785" s="16">
        <f>E785-E784</f>
        <v/>
      </c>
      <c r="J785" s="16">
        <f>I785-58</f>
        <v/>
      </c>
      <c r="K785" s="16">
        <f>MAX(0,J785)</f>
        <v/>
      </c>
      <c r="L785" s="16">
        <f>MAX(0,-J785)</f>
        <v/>
      </c>
      <c r="M785" s="16">
        <f>M784+I785</f>
        <v/>
      </c>
      <c r="N785" s="16">
        <f>D785+F785-E785</f>
        <v/>
      </c>
      <c r="O785" s="15" t="inlineStr">
        <is>
          <t>能力超目标：四轮定位上、下、ARHUD+慢充</t>
        </is>
      </c>
      <c r="P785" s="15" t="inlineStr">
        <is>
          <t>ST1 引取(开:50946.0s 加:56.0s 等前:5532.0s 等后:0.0s) | ST2 集约(开:51002.0s 加:111.0s 等前:0.0s 等后:0.0s) | ST3 空气悬挂+快充(开:51113.0s 加:108.5s 等前:0.0s 等后:0.0s) | ST4 四轮定位上、下(开:51221.5s 加:120.5s 等前:0.0s 等后:0.0s) | ST5 ADAS(开:51342.0s 加:107.0s 等前:0.0s 等后:23.0s) | ST6 ARHUD+慢充(开:51472.0s 加:143.5s 等前:0.0s 等后:0.0s) | ST7 转毂(开:51615.5s 加:114.5s 等前:0.0s 等后:0.0s) | ST8 制动(开:51730.0s 加:114.0s 等前:0.0s 等后:0.0s) | ST9 EG漏液/底盘漏液(开:51844.0s 加:112.5s 等前:0.0s 等后:0.0s) | ST10 全景/空调检查(开:51956.5s 加:0.0s 等前:0.0s 等后:0.0s) | ST11 气囊安装+绝缘(开:51956.5s 加:116.0s 等前:0.0s 等后:0.0s) | ST12 L2++(开:52072.5s 加:88.0s 等前:0.0s 等后:0.0s) | ST13 电检1(开:52160.5s 加:84.5s 等前:0.0s 等后:0.0s) | ST14 电检2(开:52245.0s 加:97.5s 等前:0.0s 等后:35.5s) | ST15 小跑道(开:52378.0s 加:50.0s 等前:0.0s 等后:0.0s)</t>
        </is>
      </c>
    </row>
    <row r="786">
      <c r="A786" s="13" t="n">
        <v>785</v>
      </c>
      <c r="B786" s="13" t="inlineStr">
        <is>
          <t>Car#785</t>
        </is>
      </c>
      <c r="C786" s="13" t="inlineStr">
        <is>
          <t>B</t>
        </is>
      </c>
      <c r="D786" s="14" t="n">
        <v>51002</v>
      </c>
      <c r="E786" s="14" t="n">
        <v>52494</v>
      </c>
      <c r="F786" s="14" t="n">
        <v>1492</v>
      </c>
      <c r="G786" s="14" t="n">
        <v>5690.5</v>
      </c>
      <c r="H786" s="13" t="inlineStr">
        <is>
          <t>Car#784</t>
        </is>
      </c>
      <c r="I786" s="14">
        <f>E786-E785</f>
        <v/>
      </c>
      <c r="J786" s="14">
        <f>I786-58</f>
        <v/>
      </c>
      <c r="K786" s="14">
        <f>MAX(0,J786)</f>
        <v/>
      </c>
      <c r="L786" s="14">
        <f>MAX(0,-J786)</f>
        <v/>
      </c>
      <c r="M786" s="14">
        <f>M785+I786</f>
        <v/>
      </c>
      <c r="N786" s="14">
        <f>D786+F786-E786</f>
        <v/>
      </c>
      <c r="O786" s="13" t="inlineStr">
        <is>
          <t>能力超目标：四轮定位上、下</t>
        </is>
      </c>
      <c r="P786" s="13" t="inlineStr">
        <is>
          <t>ST1 引取(开:51002.0s 加:56.0s 等前:5530.0s 等后:25.5s) | ST2 集约(开:51083.5s 加:111.0s 等前:0.0s 等后:32.5s) | ST3 空气悬挂+快充(开:51227.0s 加:108.5s 等前:0.0s 等后:12.0s) | ST4 四轮定位上、下(开:51347.5s 加:120.5s 等前:0.0s 等后:0.0s) | ST5 ADAS(开:51468.0s 加:107.0s 等前:0.0s 等后:26.0s) | ST6 ARHUD+慢充(开:51601.0s 加:51.5s 等前:0.0s 等后:63.0s) | ST7 转毂(开:51715.5s 加:114.5s 等前:0.0s 等后:0.0s) | ST8 制动(开:51830.0s 加:114.0s 等前:0.0s 等后:0.0s) | ST9 EG漏液/底盘漏液(开:51944.0s 加:112.5s 等前:0.0s 等后:0.0s) | ST10 全景/空调检查(开:52056.5s 加:0.0s 等前:0.0s 等后:1.5s) | ST11 气囊安装+绝缘(开:52058.0s 加:116.0s 等前:0.0s 等后:0.0s) | ST12 L2++(开:52174.0s 加:88.0s 等前:0.0s 等后:0.0s) | ST13 电检1(开:52262.0s 加:84.5s 等前:0.0s 等后:0.0s) | ST14 电检2(开:52346.5s 加:97.5s 等前:0.0s 等后:0.0s) | ST15 小跑道(开:52444.0s 加:50.0s 等前:0.0s 等后:0.0s)</t>
        </is>
      </c>
    </row>
    <row r="787">
      <c r="A787" s="15" t="n">
        <v>786</v>
      </c>
      <c r="B787" s="15" t="inlineStr">
        <is>
          <t>Car#786</t>
        </is>
      </c>
      <c r="C787" s="15" t="inlineStr">
        <is>
          <t>B</t>
        </is>
      </c>
      <c r="D787" s="16" t="n">
        <v>51083.5</v>
      </c>
      <c r="E787" s="16" t="n">
        <v>52544</v>
      </c>
      <c r="F787" s="16" t="n">
        <v>1460.5</v>
      </c>
      <c r="G787" s="16" t="n">
        <v>5682.5</v>
      </c>
      <c r="H787" s="15" t="inlineStr">
        <is>
          <t>Car#785</t>
        </is>
      </c>
      <c r="I787" s="16">
        <f>E787-E786</f>
        <v/>
      </c>
      <c r="J787" s="16">
        <f>I787-58</f>
        <v/>
      </c>
      <c r="K787" s="16">
        <f>MAX(0,J787)</f>
        <v/>
      </c>
      <c r="L787" s="16">
        <f>MAX(0,-J787)</f>
        <v/>
      </c>
      <c r="M787" s="16">
        <f>M786+I787</f>
        <v/>
      </c>
      <c r="N787" s="16">
        <f>D787+F787-E787</f>
        <v/>
      </c>
      <c r="O787" s="15" t="inlineStr">
        <is>
          <t>能力超目标：四轮定位上、下</t>
        </is>
      </c>
      <c r="P787" s="15" t="inlineStr">
        <is>
          <t>ST1 引取(开:51083.5s 加:56.0s 等前:5553.5s 等后:0.0s) | ST2 集约(开:51139.5s 加:111.0s 等前:0.0s 等后:0.0s) | ST3 空气悬挂+快充(开:51250.5s 加:108.5s 等前:0.0s 等后:0.0s) | ST4 四轮定位上、下(开:51359.0s 加:120.5s 等前:0.0s 等后:0.0s) | ST5 ADAS(开:51479.5s 加:107.0s 等前:0.0s 等后:29.0s) | ST6 ARHUD+慢充(开:51615.5s 加:51.5s 等前:0.0s 等后:63.0s) | ST7 转毂(开:51730.0s 加:114.5s 等前:0.0s 等后:0.0s) | ST8 制动(开:51844.5s 加:114.0s 等前:0.0s 等后:0.0s) | ST9 EG漏液/底盘漏液(开:51958.5s 加:112.5s 等前:0.0s 等后:0.0s) | ST10 全景/空调检查(开:52071.0s 加:0.0s 等前:0.0s 等后:1.5s) | ST11 气囊安装+绝缘(开:52072.5s 加:116.0s 等前:0.0s 等后:0.0s) | ST12 L2++(开:52188.5s 加:88.0s 等前:0.0s 等后:0.0s) | ST13 电检1(开:52276.5s 加:84.5s 等前:0.0s 等后:17.0s) | ST14 电检2(开:52378.0s 加:97.5s 等前:0.0s 等后:18.5s) | ST15 小跑道(开:52494.0s 加:50.0s 等前:0.0s 等后:0.0s)</t>
        </is>
      </c>
    </row>
    <row r="788">
      <c r="A788" s="13" t="n">
        <v>787</v>
      </c>
      <c r="B788" s="13" t="inlineStr">
        <is>
          <t>Car#787</t>
        </is>
      </c>
      <c r="C788" s="13" t="inlineStr">
        <is>
          <t>C</t>
        </is>
      </c>
      <c r="D788" s="14" t="n">
        <v>51139.5</v>
      </c>
      <c r="E788" s="14" t="n">
        <v>52636</v>
      </c>
      <c r="F788" s="14" t="n">
        <v>1496.5</v>
      </c>
      <c r="G788" s="14" t="n">
        <v>5624.5</v>
      </c>
      <c r="H788" s="13" t="inlineStr">
        <is>
          <t>Car#786</t>
        </is>
      </c>
      <c r="I788" s="14">
        <f>E788-E787</f>
        <v/>
      </c>
      <c r="J788" s="14">
        <f>I788-58</f>
        <v/>
      </c>
      <c r="K788" s="14">
        <f>MAX(0,J788)</f>
        <v/>
      </c>
      <c r="L788" s="14">
        <f>MAX(0,-J788)</f>
        <v/>
      </c>
      <c r="M788" s="14">
        <f>M787+I788</f>
        <v/>
      </c>
      <c r="N788" s="14">
        <f>D788+F788-E788</f>
        <v/>
      </c>
      <c r="O788" s="13" t="inlineStr">
        <is>
          <t>能力超目标：四轮定位上、下、ARHUD+慢充</t>
        </is>
      </c>
      <c r="P788" s="13" t="inlineStr">
        <is>
          <t>ST1 引取(开:51139.5s 加:56.0s 等前:5551.5s 等后:31.5s) | ST2 集约(开:51227.0s 加:111.0s 等前:0.0s 等后:9.5s) | ST3 空气悬挂+快充(开:51347.5s 加:108.5s 等前:0.0s 等后:12.0s) | ST4 四轮定位上、下(开:51468.0s 加:120.5s 等前:0.0s 等后:12.5s) | ST5 ADAS(开:51601.0s 加:107.0s 等前:0.0s 等后:7.5s) | ST6 ARHUD+慢充(开:51715.5s 加:143.5s 等前:0.0s 等后:0.0s) | ST7 转毂(开:51859.0s 加:114.5s 等前:0.0s 等后:0.0s) | ST8 制动(开:51973.5s 加:114.0s 等前:0.0s 等后:0.0s) | ST9 EG漏液/底盘漏液(开:52087.5s 加:112.5s 等前:0.0s 等后:0.0s) | ST10 全景/空调检查(开:52200.0s 加:0.0s 等前:0.0s 等后:0.0s) | ST11 气囊安装+绝缘(开:52200.0s 加:116.0s 等前:0.0s 等后:0.0s) | ST12 L2++(开:52316.0s 加:88.0s 等前:0.0s 等后:0.0s) | ST13 电检1(开:52404.0s 加:84.5s 等前:0.0s 等后:0.0s) | ST14 电检2(开:52488.5s 加:97.5s 等前:0.0s 等后:0.0s) | ST15 小跑道(开:52586.0s 加:50.0s 等前:0.0s 等后:0.0s)</t>
        </is>
      </c>
    </row>
    <row r="789">
      <c r="A789" s="15" t="n">
        <v>788</v>
      </c>
      <c r="B789" s="15" t="inlineStr">
        <is>
          <t>Car#788</t>
        </is>
      </c>
      <c r="C789" s="15" t="inlineStr">
        <is>
          <t>C</t>
        </is>
      </c>
      <c r="D789" s="16" t="n">
        <v>51227</v>
      </c>
      <c r="E789" s="16" t="n">
        <v>52686</v>
      </c>
      <c r="F789" s="16" t="n">
        <v>1459</v>
      </c>
      <c r="G789" s="16" t="n">
        <v>5616.5</v>
      </c>
      <c r="H789" s="15" t="inlineStr">
        <is>
          <t>Car#787</t>
        </is>
      </c>
      <c r="I789" s="16">
        <f>E789-E788</f>
        <v/>
      </c>
      <c r="J789" s="16">
        <f>I789-58</f>
        <v/>
      </c>
      <c r="K789" s="16">
        <f>MAX(0,J789)</f>
        <v/>
      </c>
      <c r="L789" s="16">
        <f>MAX(0,-J789)</f>
        <v/>
      </c>
      <c r="M789" s="16">
        <f>M788+I789</f>
        <v/>
      </c>
      <c r="N789" s="16">
        <f>D789+F789-E789</f>
        <v/>
      </c>
      <c r="O789" s="15" t="inlineStr">
        <is>
          <t>能力超目标：四轮定位上、下、ARHUD+慢充</t>
        </is>
      </c>
      <c r="P789" s="15" t="inlineStr">
        <is>
          <t>ST1 引取(开:51227.0s 加:56.0s 等前:5581.0s 等后:0.0s) | ST2 集约(开:51283.0s 加:111.0s 等前:0.0s 等后:0.0s) | ST3 空气悬挂+快充(开:51394.0s 加:108.5s 等前:0.0s 等后:0.0s) | ST4 四轮定位上、下(开:51502.5s 加:120.5s 等前:0.0s 等后:0.0s) | ST5 ADAS(开:51623.0s 加:107.0s 等前:0.0s 等后:0.0s) | ST6 ARHUD+慢充(开:51730.0s 加:143.5s 等前:0.0s 等后:0.0s) | ST7 转毂(开:51873.5s 加:114.5s 等前:0.0s 等后:0.0s) | ST8 制动(开:51988.0s 加:114.0s 等前:0.0s 等后:0.0s) | ST9 EG漏液/底盘漏液(开:52102.0s 加:112.5s 等前:0.0s 等后:0.0s) | ST10 全景/空调检查(开:52214.5s 加:0.0s 等前:0.0s 等后:0.0s) | ST11 气囊安装+绝缘(开:52214.5s 加:116.0s 等前:0.0s 等后:0.0s) | ST12 L2++(开:52330.5s 加:88.0s 等前:0.0s 等后:0.0s) | ST13 电检1(开:52418.5s 加:84.5s 等前:0.0s 等后:0.0s) | ST14 电检2(开:52503.0s 加:97.5s 等前:0.0s 等后:35.5s) | ST15 小跑道(开:52636.0s 加:50.0s 等前:0.0s 等后:0.0s)</t>
        </is>
      </c>
    </row>
    <row r="790">
      <c r="A790" s="13" t="n">
        <v>789</v>
      </c>
      <c r="B790" s="13" t="inlineStr">
        <is>
          <t>Car#789</t>
        </is>
      </c>
      <c r="C790" s="13" t="inlineStr">
        <is>
          <t>C</t>
        </is>
      </c>
      <c r="D790" s="14" t="n">
        <v>51283</v>
      </c>
      <c r="E790" s="14" t="n">
        <v>52779.5</v>
      </c>
      <c r="F790" s="14" t="n">
        <v>1496.5</v>
      </c>
      <c r="G790" s="14" t="n">
        <v>5652</v>
      </c>
      <c r="H790" s="13" t="inlineStr">
        <is>
          <t>Car#788</t>
        </is>
      </c>
      <c r="I790" s="14">
        <f>E790-E789</f>
        <v/>
      </c>
      <c r="J790" s="14">
        <f>I790-58</f>
        <v/>
      </c>
      <c r="K790" s="14">
        <f>MAX(0,J790)</f>
        <v/>
      </c>
      <c r="L790" s="14">
        <f>MAX(0,-J790)</f>
        <v/>
      </c>
      <c r="M790" s="14">
        <f>M789+I790</f>
        <v/>
      </c>
      <c r="N790" s="14">
        <f>D790+F790-E790</f>
        <v/>
      </c>
      <c r="O790" s="13" t="inlineStr">
        <is>
          <t>能力超目标：四轮定位上、下、ARHUD+慢充</t>
        </is>
      </c>
      <c r="P790" s="13" t="inlineStr">
        <is>
          <t>ST1 引取(开:51283.0s 加:56.0s 等前:5579.0s 等后:8.5s) | ST2 集约(开:51347.5s 加:111.0s 等前:0.0s 等后:9.5s) | ST3 空气悬挂+快充(开:51468.0s 加:108.5s 等前:0.0s 等后:24.5s) | ST4 四轮定位上、下(开:51601.0s 加:120.5s 等前:0.0s 等后:0.0s) | ST5 ADAS(开:51721.5s 加:107.0s 等前:0.0s 等后:30.5s) | ST6 ARHUD+慢充(开:51859.0s 加:143.5s 等前:0.0s 等后:0.0s) | ST7 转毂(开:52002.5s 加:114.5s 等前:0.0s 等后:0.0s) | ST8 制动(开:52117.0s 加:114.0s 等前:0.0s 等后:0.0s) | ST9 EG漏液/底盘漏液(开:52231.0s 加:112.5s 等前:0.0s 等后:0.0s) | ST10 全景/空调检查(开:52343.5s 加:0.0s 等前:0.0s 等后:0.0s) | ST11 气囊安装+绝缘(开:52343.5s 加:116.0s 等前:0.0s 等后:0.0s) | ST12 L2++(开:52459.5s 加:88.0s 等前:0.0s 等后:0.0s) | ST13 电检1(开:52547.5s 加:84.5s 等前:0.0s 等后:0.0s) | ST14 电检2(开:52632.0s 加:97.5s 等前:0.0s 等后:0.0s) | ST15 小跑道(开:52729.5s 加:50.0s 等前:0.0s 等后:0.0s)</t>
        </is>
      </c>
    </row>
    <row r="791">
      <c r="A791" s="15" t="n">
        <v>790</v>
      </c>
      <c r="B791" s="15" t="inlineStr">
        <is>
          <t>Car#791</t>
        </is>
      </c>
      <c r="C791" s="15" t="inlineStr">
        <is>
          <t>A</t>
        </is>
      </c>
      <c r="D791" s="16" t="n">
        <v>51403.5</v>
      </c>
      <c r="E791" s="16" t="n">
        <v>52830.5</v>
      </c>
      <c r="F791" s="16" t="n">
        <v>1427</v>
      </c>
      <c r="G791" s="16" t="n">
        <v>6149.5</v>
      </c>
      <c r="H791" s="15" t="inlineStr">
        <is>
          <t>Car#789</t>
        </is>
      </c>
      <c r="I791" s="16">
        <f>E791-E790</f>
        <v/>
      </c>
      <c r="J791" s="16">
        <f>I791-58</f>
        <v/>
      </c>
      <c r="K791" s="16">
        <f>MAX(0,J791)</f>
        <v/>
      </c>
      <c r="L791" s="16">
        <f>MAX(0,-J791)</f>
        <v/>
      </c>
      <c r="M791" s="16">
        <f>M790+I791</f>
        <v/>
      </c>
      <c r="N791" s="16">
        <f>D791+F791-E791</f>
        <v/>
      </c>
      <c r="O791" s="15" t="inlineStr">
        <is>
          <t>能力满足</t>
        </is>
      </c>
      <c r="P791" s="15" t="inlineStr">
        <is>
          <t>ST1 引取(开:51403.5s 加:55.0s 等前:5583.5s 等后:9.5s) | ST2 集约(开:51468.0s 加:106.0s 等前:0.0s 等后:27.0s) | ST3 空气悬挂+快充(开:51601.0s 加:0.0s 等前:0.0s 等后:120.5s) | ST4 四轮定位上、下(开:51721.5s 加:115.0s 等前:0.0s 等后:22.5s) | ST5 ADAS(开:51859.0s 加:97.0s 等前:0.0s 等后:46.5s) | ST6 ARHUD+慢充(开:52002.5s 加:0.0s 等前:0.0s 等后:114.5s) | ST7 转毂(开:52117.0s 加:116.0s 等前:0.0s 等后:0.0s) | ST8 制动(开:52233.0s 加:108.0s 等前:0.0s 等后:2.5s) | ST9 EG漏液/底盘漏液(开:52343.5s 加:115.0s 等前:0.0s 等后:0.0s) | ST10 全景/空调检查(开:52458.5s 加:98.0s 等前:0.0s 等后:0.0s) | ST11 气囊安装+绝缘(开:52556.5s 加:0.0s 等前:0.0s 等后:0.0s) | ST12 L2++(开:52556.5s 加:0.0s 等前:0.0s 等后:75.5s) | ST13 电检1(开:52632.0s 加:0.0s 等前:0.0s 等后:97.5s) | ST14 电检2(开:52729.5s 加:0.0s 等前:0.0s 等后:50.0s) | ST15 小跑道(开:52779.5s 加:51.0s 等前:0.0s 等后:0.0s)</t>
        </is>
      </c>
    </row>
    <row r="792">
      <c r="A792" s="13" t="n">
        <v>791</v>
      </c>
      <c r="B792" s="13" t="inlineStr">
        <is>
          <t>Car#790</t>
        </is>
      </c>
      <c r="C792" s="13" t="inlineStr">
        <is>
          <t>C</t>
        </is>
      </c>
      <c r="D792" s="14" t="n">
        <v>51347.5</v>
      </c>
      <c r="E792" s="14" t="n">
        <v>52880.5</v>
      </c>
      <c r="F792" s="14" t="n">
        <v>1533</v>
      </c>
      <c r="G792" s="14" t="n">
        <v>5695</v>
      </c>
      <c r="H792" s="13" t="inlineStr">
        <is>
          <t>Car#791</t>
        </is>
      </c>
      <c r="I792" s="14">
        <f>E792-E791</f>
        <v/>
      </c>
      <c r="J792" s="14">
        <f>I792-58</f>
        <v/>
      </c>
      <c r="K792" s="14">
        <f>MAX(0,J792)</f>
        <v/>
      </c>
      <c r="L792" s="14">
        <f>MAX(0,-J792)</f>
        <v/>
      </c>
      <c r="M792" s="14">
        <f>M791+I792</f>
        <v/>
      </c>
      <c r="N792" s="14">
        <f>D792+F792-E792</f>
        <v/>
      </c>
      <c r="O792" s="13" t="inlineStr">
        <is>
          <t>能力超目标：四轮定位上、下、ARHUD+慢充</t>
        </is>
      </c>
      <c r="P792" s="13" t="inlineStr">
        <is>
          <t>ST1 引取(开:51347.5s 加:56.0s 等前:5585.5s 等后:0.0s) | ST2 集约(开:51403.5s 加:111.0s 等前:0.0s 等后:0.0s) | ST3 空气悬挂+快充(开:51514.5s 加:108.5s 等前:0.0s 等后:0.0s) | ST4 四轮定位上、下(开:51623.0s 加:120.5s 等前:0.0s 等后:0.0s) | ST5 ADAS(开:51743.5s 加:107.0s 等前:0.0s 等后:23.0s) | ST6 ARHUD+慢充(开:51873.5s 加:143.5s 等前:0.0s 等后:0.0s) | ST7 转毂(开:52017.0s 加:114.5s 等前:0.0s 等后:0.0s) | ST8 制动(开:52131.5s 加:114.0s 等前:0.0s 等后:0.0s) | ST9 EG漏液/底盘漏液(开:52245.5s 加:112.5s 等前:0.0s 等后:0.0s) | ST10 全景/空调检查(开:52358.0s 加:0.0s 等前:0.0s 等后:0.0s) | ST11 气囊安装+绝缘(开:52358.0s 加:116.0s 等前:0.0s 等后:0.0s) | ST12 L2++(开:52474.0s 加:88.0s 等前:0.0s 等后:0.0s) | ST13 电检1(开:52562.0s 加:84.5s 等前:0.0s 等后:0.0s) | ST14 电检2(开:52646.5s 加:97.5s 等前:0.0s 等后:86.5s) | ST15 小跑道(开:52830.5s 加:50.0s 等前:0.0s 等后:0.0s)</t>
        </is>
      </c>
    </row>
    <row r="793">
      <c r="A793" s="15" t="n">
        <v>792</v>
      </c>
      <c r="B793" s="15" t="inlineStr">
        <is>
          <t>Car#792</t>
        </is>
      </c>
      <c r="C793" s="15" t="inlineStr">
        <is>
          <t>B</t>
        </is>
      </c>
      <c r="D793" s="16" t="n">
        <v>51468</v>
      </c>
      <c r="E793" s="16" t="n">
        <v>52978</v>
      </c>
      <c r="F793" s="16" t="n">
        <v>1510</v>
      </c>
      <c r="G793" s="16" t="n">
        <v>5768.5</v>
      </c>
      <c r="H793" s="15" t="inlineStr">
        <is>
          <t>Car#790</t>
        </is>
      </c>
      <c r="I793" s="16">
        <f>E793-E792</f>
        <v/>
      </c>
      <c r="J793" s="16">
        <f>I793-58</f>
        <v/>
      </c>
      <c r="K793" s="16">
        <f>MAX(0,J793)</f>
        <v/>
      </c>
      <c r="L793" s="16">
        <f>MAX(0,-J793)</f>
        <v/>
      </c>
      <c r="M793" s="16">
        <f>M792+I793</f>
        <v/>
      </c>
      <c r="N793" s="16">
        <f>D793+F793-E793</f>
        <v/>
      </c>
      <c r="O793" s="15" t="inlineStr">
        <is>
          <t>能力超目标：四轮定位上、下</t>
        </is>
      </c>
      <c r="P793" s="15" t="inlineStr">
        <is>
          <t>ST1 引取(开:51468.0s 加:56.0s 等前:5590.0s 等后:0.0s) | ST2 集约(开:51524.0s 加:111.0s 等前:0.0s 等后:0.0s) | ST3 空气悬挂+快充(开:51635.0s 加:108.5s 等前:0.0s 等后:0.0s) | ST4 四轮定位上、下(开:51743.5s 加:120.5s 等前:0.0s 等后:9.5s) | ST5 ADAS(开:51873.5s 加:107.0s 等前:0.0s 等后:36.5s) | ST6 ARHUD+慢充(开:52017.0s 加:51.5s 等前:0.0s 等后:63.0s) | ST7 转毂(开:52131.5s 加:114.5s 等前:0.0s 等后:0.0s) | ST8 制动(开:52246.0s 加:114.0s 等前:0.0s 等后:0.0s) | ST9 EG漏液/底盘漏液(开:52360.0s 加:112.5s 等前:0.0s 等后:0.0s) | ST10 全景/空调检查(开:52472.5s 加:0.0s 等前:0.0s 等后:1.5s) | ST11 气囊安装+绝缘(开:52474.0s 加:116.0s 等前:0.0s 等后:0.0s) | ST12 L2++(开:52590.0s 加:88.0s 等前:0.0s 等后:0.0s) | ST13 电检1(开:52678.0s 加:84.5s 等前:0.0s 等后:68.0s) | ST14 电检2(开:52830.5s 加:97.5s 等前:0.0s 等后:0.0s) | ST15 小跑道(开:52928.0s 加:50.0s 等前:0.0s 等后:0.0s)</t>
        </is>
      </c>
    </row>
    <row r="794">
      <c r="A794" s="13" t="n">
        <v>793</v>
      </c>
      <c r="B794" s="13" t="inlineStr">
        <is>
          <t>Car#793</t>
        </is>
      </c>
      <c r="C794" s="13" t="inlineStr">
        <is>
          <t>B</t>
        </is>
      </c>
      <c r="D794" s="14" t="n">
        <v>51524</v>
      </c>
      <c r="E794" s="14" t="n">
        <v>53028</v>
      </c>
      <c r="F794" s="14" t="n">
        <v>1504</v>
      </c>
      <c r="G794" s="14" t="n">
        <v>5760.5</v>
      </c>
      <c r="H794" s="13" t="inlineStr">
        <is>
          <t>Car#792</t>
        </is>
      </c>
      <c r="I794" s="14">
        <f>E794-E793</f>
        <v/>
      </c>
      <c r="J794" s="14">
        <f>I794-58</f>
        <v/>
      </c>
      <c r="K794" s="14">
        <f>MAX(0,J794)</f>
        <v/>
      </c>
      <c r="L794" s="14">
        <f>MAX(0,-J794)</f>
        <v/>
      </c>
      <c r="M794" s="14">
        <f>M793+I794</f>
        <v/>
      </c>
      <c r="N794" s="14">
        <f>D794+F794-E794</f>
        <v/>
      </c>
      <c r="O794" s="13" t="inlineStr">
        <is>
          <t>能力超目标：四轮定位上、下</t>
        </is>
      </c>
      <c r="P794" s="13" t="inlineStr">
        <is>
          <t>ST1 引取(开:51524.0s 加:56.0s 等前:5588.0s 等后:21.0s) | ST2 集约(开:51601.0s 加:111.0s 等前:0.0s 等后:9.5s) | ST3 空气悬挂+快充(开:51721.5s 加:108.5s 等前:0.0s 等后:29.0s) | ST4 四轮定位上、下(开:51859.0s 加:120.5s 等前:0.0s 等后:23.0s) | ST5 ADAS(开:52002.5s 加:107.0s 等前:0.0s 等后:7.5s) | ST6 ARHUD+慢充(开:52117.0s 加:51.5s 等前:0.0s 等后:64.5s) | ST7 转毂(开:52233.0s 加:114.5s 等前:0.0s 等后:0.0s) | ST8 制动(开:52347.5s 加:114.0s 等前:0.0s 等后:0.0s) | ST9 EG漏液/底盘漏液(开:52461.5s 加:112.5s 等前:0.0s 等后:0.0s) | ST10 全景/空调检查(开:52574.0s 加:0.0s 等前:0.0s 等后:0.0s) | ST11 气囊安装+绝缘(开:52574.0s 加:116.0s 等前:0.0s 等后:0.0s) | ST12 L2++(开:52690.0s 加:88.0s 等前:0.0s 等后:0.0s) | ST13 电检1(开:52778.0s 加:84.5s 等前:0.0s 等后:0.0s) | ST14 电检2(开:52862.5s 加:97.5s 等前:0.0s 等后:18.0s) | ST15 小跑道(开:52978.0s 加:50.0s 等前:0.0s 等后:0.0s)</t>
        </is>
      </c>
    </row>
    <row r="795">
      <c r="A795" s="15" t="n">
        <v>794</v>
      </c>
      <c r="B795" s="15" t="inlineStr">
        <is>
          <t>Car#795</t>
        </is>
      </c>
      <c r="C795" s="15" t="inlineStr">
        <is>
          <t>A</t>
        </is>
      </c>
      <c r="D795" s="16" t="n">
        <v>51657</v>
      </c>
      <c r="E795" s="16" t="n">
        <v>53079</v>
      </c>
      <c r="F795" s="16" t="n">
        <v>1422</v>
      </c>
      <c r="G795" s="16" t="n">
        <v>6166</v>
      </c>
      <c r="H795" s="15" t="inlineStr">
        <is>
          <t>Car#793</t>
        </is>
      </c>
      <c r="I795" s="16">
        <f>E795-E794</f>
        <v/>
      </c>
      <c r="J795" s="16">
        <f>I795-58</f>
        <v/>
      </c>
      <c r="K795" s="16">
        <f>MAX(0,J795)</f>
        <v/>
      </c>
      <c r="L795" s="16">
        <f>MAX(0,-J795)</f>
        <v/>
      </c>
      <c r="M795" s="16">
        <f>M794+I795</f>
        <v/>
      </c>
      <c r="N795" s="16">
        <f>D795+F795-E795</f>
        <v/>
      </c>
      <c r="O795" s="15" t="inlineStr">
        <is>
          <t>能力满足</t>
        </is>
      </c>
      <c r="P795" s="15" t="inlineStr">
        <is>
          <t>ST1 引取(开:51657.0s 加:55.0s 等前:5605.0s 等后:9.5s) | ST2 集约(开:51721.5s 加:106.0s 等前:0.0s 等后:31.5s) | ST3 空气悬挂+快充(开:51859.0s 加:0.0s 等前:0.0s 等后:143.5s) | ST4 四轮定位上、下(开:52002.5s 加:115.0s 等前:0.0s 等后:0.0s) | ST5 ADAS(开:52117.5s 加:97.0s 等前:0.0s 等后:18.5s) | ST6 ARHUD+慢充(开:52233.0s 加:0.0s 等前:0.0s 等后:114.5s) | ST7 转毂(开:52347.5s 加:116.0s 等前:0.0s 等后:0.0s) | ST8 制动(开:52463.5s 加:108.0s 等前:0.0s 等后:2.5s) | ST9 EG漏液/底盘漏液(开:52574.0s 加:115.0s 等前:0.0s 等后:0.0s) | ST10 全景/空调检查(开:52689.0s 加:98.0s 等前:0.0s 等后:0.0s) | ST11 气囊安装+绝缘(开:52787.0s 加:0.0s 等前:0.0s 等后:0.0s) | ST12 L2++(开:52787.0s 加:0.0s 等前:0.0s 等后:75.5s) | ST13 电检1(开:52862.5s 加:0.0s 等前:0.0s 等后:115.5s) | ST14 电检2(开:52978.0s 加:0.0s 等前:0.0s 等后:50.0s) | ST15 小跑道(开:53028.0s 加:51.0s 等前:0.0s 等后:0.0s)</t>
        </is>
      </c>
    </row>
    <row r="796">
      <c r="A796" s="13" t="n">
        <v>795</v>
      </c>
      <c r="B796" s="13" t="inlineStr">
        <is>
          <t>Car#794</t>
        </is>
      </c>
      <c r="C796" s="13" t="inlineStr">
        <is>
          <t>B</t>
        </is>
      </c>
      <c r="D796" s="14" t="n">
        <v>51601</v>
      </c>
      <c r="E796" s="14" t="n">
        <v>53129</v>
      </c>
      <c r="F796" s="14" t="n">
        <v>1528</v>
      </c>
      <c r="G796" s="14" t="n">
        <v>5803.5</v>
      </c>
      <c r="H796" s="13" t="inlineStr">
        <is>
          <t>Car#795</t>
        </is>
      </c>
      <c r="I796" s="14">
        <f>E796-E795</f>
        <v/>
      </c>
      <c r="J796" s="14">
        <f>I796-58</f>
        <v/>
      </c>
      <c r="K796" s="14">
        <f>MAX(0,J796)</f>
        <v/>
      </c>
      <c r="L796" s="14">
        <f>MAX(0,-J796)</f>
        <v/>
      </c>
      <c r="M796" s="14">
        <f>M795+I796</f>
        <v/>
      </c>
      <c r="N796" s="14">
        <f>D796+F796-E796</f>
        <v/>
      </c>
      <c r="O796" s="13" t="inlineStr">
        <is>
          <t>能力超目标：四轮定位上、下</t>
        </is>
      </c>
      <c r="P796" s="13" t="inlineStr">
        <is>
          <t>ST1 引取(开:51601.0s 加:56.0s 等前:5607.0s 等后:0.0s) | ST2 集约(开:51657.0s 加:111.0s 等前:0.0s 等后:0.0s) | ST3 空气悬挂+快充(开:51768.0s 加:108.5s 等前:0.0s 等后:0.0s) | ST4 四轮定位上、下(开:51876.5s 加:120.5s 等前:0.0s 等后:20.0s) | ST5 ADAS(开:52017.0s 加:107.0s 等前:0.0s 等后:7.5s) | ST6 ARHUD+慢充(开:52131.5s 加:51.5s 等前:0.0s 等后:63.0s) | ST7 转毂(开:52246.0s 加:114.5s 等前:0.0s 等后:0.0s) | ST8 制动(开:52360.5s 加:114.0s 等前:0.0s 等后:0.0s) | ST9 EG漏液/底盘漏液(开:52474.5s 加:112.5s 等前:0.0s 等后:0.0s) | ST10 全景/空调检查(开:52587.0s 加:0.0s 等前:0.0s 等后:3.0s) | ST11 气囊安装+绝缘(开:52590.0s 加:116.0s 等前:0.0s 等后:0.0s) | ST12 L2++(开:52706.0s 加:88.0s 等前:0.0s 等后:36.5s) | ST13 电检1(开:52830.5s 加:84.5s 等前:0.0s 等后:13.0s) | ST14 电检2(开:52928.0s 加:97.5s 等前:0.0s 等后:53.5s) | ST15 小跑道(开:53079.0s 加:50.0s 等前:0.0s 等后:0.0s)</t>
        </is>
      </c>
    </row>
    <row r="797">
      <c r="A797" s="15" t="n">
        <v>796</v>
      </c>
      <c r="B797" s="15" t="inlineStr">
        <is>
          <t>Car#796</t>
        </is>
      </c>
      <c r="C797" s="15" t="inlineStr">
        <is>
          <t>C</t>
        </is>
      </c>
      <c r="D797" s="16" t="n">
        <v>51721.5</v>
      </c>
      <c r="E797" s="16" t="n">
        <v>53226.5</v>
      </c>
      <c r="F797" s="16" t="n">
        <v>1505</v>
      </c>
      <c r="G797" s="16" t="n">
        <v>5693</v>
      </c>
      <c r="H797" s="15" t="inlineStr">
        <is>
          <t>Car#794</t>
        </is>
      </c>
      <c r="I797" s="16">
        <f>E797-E796</f>
        <v/>
      </c>
      <c r="J797" s="16">
        <f>I797-58</f>
        <v/>
      </c>
      <c r="K797" s="16">
        <f>MAX(0,J797)</f>
        <v/>
      </c>
      <c r="L797" s="16">
        <f>MAX(0,-J797)</f>
        <v/>
      </c>
      <c r="M797" s="16">
        <f>M796+I797</f>
        <v/>
      </c>
      <c r="N797" s="16">
        <f>D797+F797-E797</f>
        <v/>
      </c>
      <c r="O797" s="15" t="inlineStr">
        <is>
          <t>能力超目标：四轮定位上、下、ARHUD+慢充</t>
        </is>
      </c>
      <c r="P797" s="15" t="inlineStr">
        <is>
          <t>ST1 引取(开:51721.5s 加:56.0s 等前:5611.5s 等后:0.0s) | ST2 集约(开:51777.5s 加:111.0s 等前:0.0s 等后:0.0s) | ST3 空气悬挂+快充(开:51888.5s 加:108.5s 等前:0.0s 等后:20.0s) | ST4 四轮定位上、下(开:52017.0s 加:120.5s 等前:0.0s 等后:0.0s) | ST5 ADAS(开:52137.5s 加:107.0s 等前:0.0s 等后:1.5s) | ST6 ARHUD+慢充(开:52246.0s 加:143.5s 等前:0.0s 等后:0.0s) | ST7 转毂(开:52389.5s 加:114.5s 等前:0.0s 等后:0.0s) | ST8 制动(开:52504.0s 加:114.0s 等前:0.0s 等后:0.0s) | ST9 EG漏液/底盘漏液(开:52618.0s 加:112.5s 等前:0.0s 等后:0.0s) | ST10 全景/空调检查(开:52730.5s 加:0.0s 等前:0.0s 等后:0.0s) | ST11 气囊安装+绝缘(开:52730.5s 加:116.0s 等前:0.0s 等后:0.0s) | ST12 L2++(开:52846.5s 加:88.0s 等前:0.0s 等后:0.0s) | ST13 电检1(开:52934.5s 加:84.5s 等前:0.0s 等后:60.0s) | ST14 电检2(开:53079.0s 加:97.5s 等前:0.0s 等后:0.0s) | ST15 小跑道(开:53176.5s 加:50.0s 等前:0.0s 等后:0.0s)</t>
        </is>
      </c>
    </row>
    <row r="798">
      <c r="A798" s="13" t="n">
        <v>797</v>
      </c>
      <c r="B798" s="13" t="inlineStr">
        <is>
          <t>Car#797</t>
        </is>
      </c>
      <c r="C798" s="13" t="inlineStr">
        <is>
          <t>C</t>
        </is>
      </c>
      <c r="D798" s="14" t="n">
        <v>51777.5</v>
      </c>
      <c r="E798" s="14" t="n">
        <v>53276.5</v>
      </c>
      <c r="F798" s="14" t="n">
        <v>1499</v>
      </c>
      <c r="G798" s="14" t="n">
        <v>5685</v>
      </c>
      <c r="H798" s="13" t="inlineStr">
        <is>
          <t>Car#796</t>
        </is>
      </c>
      <c r="I798" s="14">
        <f>E798-E797</f>
        <v/>
      </c>
      <c r="J798" s="14">
        <f>I798-58</f>
        <v/>
      </c>
      <c r="K798" s="14">
        <f>MAX(0,J798)</f>
        <v/>
      </c>
      <c r="L798" s="14">
        <f>MAX(0,-J798)</f>
        <v/>
      </c>
      <c r="M798" s="14">
        <f>M797+I798</f>
        <v/>
      </c>
      <c r="N798" s="14">
        <f>D798+F798-E798</f>
        <v/>
      </c>
      <c r="O798" s="13" t="inlineStr">
        <is>
          <t>能力超目标：四轮定位上、下、ARHUD+慢充</t>
        </is>
      </c>
      <c r="P798" s="13" t="inlineStr">
        <is>
          <t>ST1 引取(开:51777.5s 加:56.0s 等前:5609.5s 等后:25.5s) | ST2 集约(开:51859.0s 加:111.0s 等前:0.0s 等后:32.5s) | ST3 空气悬挂+快充(开:52002.5s 加:108.5s 等前:0.0s 等后:6.5s) | ST4 四轮定位上、下(开:52117.5s 加:120.5s 等前:0.0s 等后:0.0s) | ST5 ADAS(开:52238.0s 加:107.0s 等前:0.0s 等后:2.5s) | ST6 ARHUD+慢充(开:52347.5s 加:143.5s 等前:0.0s 等后:0.0s) | ST7 转毂(开:52491.0s 加:114.5s 等前:0.0s 等后:0.0s) | ST8 制动(开:52605.5s 加:114.0s 等前:0.0s 等后:0.0s) | ST9 EG漏液/底盘漏液(开:52719.5s 加:112.5s 等前:0.0s 等后:0.0s) | ST10 全景/空调检查(开:52832.0s 加:0.0s 等前:0.0s 等后:0.0s) | ST11 气囊安装+绝缘(开:52832.0s 加:116.0s 等前:0.0s 等后:0.0s) | ST12 L2++(开:52948.0s 加:88.0s 等前:0.0s 等后:0.0s) | ST13 电检1(开:53036.0s 加:84.5s 等前:0.0s 等后:0.0s) | ST14 电检2(开:53120.5s 加:97.5s 等前:0.0s 等后:8.5s) | ST15 小跑道(开:53226.5s 加:50.0s 等前:0.0s 等后:0.0s)</t>
        </is>
      </c>
    </row>
    <row r="799">
      <c r="A799" s="15" t="n">
        <v>798</v>
      </c>
      <c r="B799" s="15" t="inlineStr">
        <is>
          <t>Car#799</t>
        </is>
      </c>
      <c r="C799" s="15" t="inlineStr">
        <is>
          <t>A</t>
        </is>
      </c>
      <c r="D799" s="16" t="n">
        <v>51915</v>
      </c>
      <c r="E799" s="16" t="n">
        <v>53327.5</v>
      </c>
      <c r="F799" s="16" t="n">
        <v>1412.5</v>
      </c>
      <c r="G799" s="16" t="n">
        <v>6182.5</v>
      </c>
      <c r="H799" s="15" t="inlineStr">
        <is>
          <t>Car#797</t>
        </is>
      </c>
      <c r="I799" s="16">
        <f>E799-E798</f>
        <v/>
      </c>
      <c r="J799" s="16">
        <f>I799-58</f>
        <v/>
      </c>
      <c r="K799" s="16">
        <f>MAX(0,J799)</f>
        <v/>
      </c>
      <c r="L799" s="16">
        <f>MAX(0,-J799)</f>
        <v/>
      </c>
      <c r="M799" s="16">
        <f>M798+I799</f>
        <v/>
      </c>
      <c r="N799" s="16">
        <f>D799+F799-E799</f>
        <v/>
      </c>
      <c r="O799" s="15" t="inlineStr">
        <is>
          <t>能力满足</t>
        </is>
      </c>
      <c r="P799" s="15" t="inlineStr">
        <is>
          <t>ST1 引取(开:51915.0s 加:55.0s 等前:5631.0s 等后:32.5s) | ST2 集约(开:52002.5s 加:106.0s 等前:0.0s 等后:9.0s) | ST3 空气悬挂+快充(开:52117.5s 加:0.0s 等前:0.0s 等后:120.5s) | ST4 四轮定位上、下(开:52238.0s 加:115.0s 等前:0.0s 等后:0.0s) | ST5 ADAS(开:52353.0s 加:97.0s 等前:0.0s 等后:41.0s) | ST6 ARHUD+慢充(开:52491.0s 加:0.0s 等前:0.0s 等后:114.5s) | ST7 转毂(开:52605.5s 加:116.0s 等前:0.0s 等后:0.0s) | ST8 制动(开:52721.5s 加:108.0s 等前:0.0s 等后:2.5s) | ST9 EG漏液/底盘漏液(开:52832.0s 加:115.0s 等前:0.0s 等后:0.0s) | ST10 全景/空调检查(开:52947.0s 加:98.0s 等前:0.0s 等后:0.0s) | ST11 气囊安装+绝缘(开:53045.0s 加:0.0s 等前:0.0s 等后:0.0s) | ST12 L2++(开:53045.0s 加:0.0s 等前:0.0s 等后:75.5s) | ST13 电检1(开:53120.5s 加:0.0s 等前:0.0s 等后:106.0s) | ST14 电检2(开:53226.5s 加:0.0s 等前:0.0s 等后:50.0s) | ST15 小跑道(开:53276.5s 加:51.0s 等前:0.0s 等后:0.0s)</t>
        </is>
      </c>
    </row>
    <row r="800">
      <c r="A800" s="13" t="n">
        <v>799</v>
      </c>
      <c r="B800" s="13" t="inlineStr">
        <is>
          <t>Car#798</t>
        </is>
      </c>
      <c r="C800" s="13" t="inlineStr">
        <is>
          <t>C</t>
        </is>
      </c>
      <c r="D800" s="14" t="n">
        <v>51859</v>
      </c>
      <c r="E800" s="14" t="n">
        <v>53377.5</v>
      </c>
      <c r="F800" s="14" t="n">
        <v>1518.5</v>
      </c>
      <c r="G800" s="14" t="n">
        <v>5728</v>
      </c>
      <c r="H800" s="13" t="inlineStr">
        <is>
          <t>Car#799</t>
        </is>
      </c>
      <c r="I800" s="14">
        <f>E800-E799</f>
        <v/>
      </c>
      <c r="J800" s="14">
        <f>I800-58</f>
        <v/>
      </c>
      <c r="K800" s="14">
        <f>MAX(0,J800)</f>
        <v/>
      </c>
      <c r="L800" s="14">
        <f>MAX(0,-J800)</f>
        <v/>
      </c>
      <c r="M800" s="14">
        <f>M799+I800</f>
        <v/>
      </c>
      <c r="N800" s="14">
        <f>D800+F800-E800</f>
        <v/>
      </c>
      <c r="O800" s="13" t="inlineStr">
        <is>
          <t>能力超目标：四轮定位上、下、ARHUD+慢充</t>
        </is>
      </c>
      <c r="P800" s="13" t="inlineStr">
        <is>
          <t>ST1 引取(开:51859.0s 加:56.0s 等前:5633.0s 等后:0.0s) | ST2 集约(开:51915.0s 加:111.0s 等前:0.0s 等后:0.0s) | ST3 空气悬挂+快充(开:52026.0s 加:108.5s 等前:0.0s 等后:3.0s) | ST4 四轮定位上、下(开:52137.5s 加:120.5s 等前:0.0s 等后:0.0s) | ST5 ADAS(开:52258.0s 加:107.0s 等前:0.0s 等后:24.5s) | ST6 ARHUD+慢充(开:52389.5s 加:143.5s 等前:0.0s 等后:0.0s) | ST7 转毂(开:52533.0s 加:114.5s 等前:0.0s 等后:0.0s) | ST8 制动(开:52647.5s 加:114.0s 等前:0.0s 等后:0.0s) | ST9 EG漏液/底盘漏液(开:52761.5s 加:112.5s 等前:0.0s 等后:0.0s) | ST10 全景/空调检查(开:52874.0s 加:0.0s 等前:0.0s 等后:0.0s) | ST11 气囊安装+绝缘(开:52874.0s 加:116.0s 等前:0.0s 等后:0.0s) | ST12 L2++(开:52990.0s 加:88.0s 等前:0.0s 等后:1.0s) | ST13 电检1(开:53079.0s 加:84.5s 等前:0.0s 等后:13.0s) | ST14 电检2(开:53176.5s 加:97.5s 等前:0.0s 等后:53.5s) | ST15 小跑道(开:53327.5s 加:50.0s 等前:0.0s 等后:0.0s)</t>
        </is>
      </c>
    </row>
    <row r="801">
      <c r="A801" s="15" t="n">
        <v>800</v>
      </c>
      <c r="B801" s="15" t="inlineStr">
        <is>
          <t>Car#801</t>
        </is>
      </c>
      <c r="C801" s="15" t="inlineStr">
        <is>
          <t>A</t>
        </is>
      </c>
      <c r="D801" s="16" t="n">
        <v>52057.5</v>
      </c>
      <c r="E801" s="16" t="n">
        <v>53428.5</v>
      </c>
      <c r="F801" s="16" t="n">
        <v>1371</v>
      </c>
      <c r="G801" s="16" t="n">
        <v>6167.5</v>
      </c>
      <c r="H801" s="15" t="inlineStr">
        <is>
          <t>Car#798</t>
        </is>
      </c>
      <c r="I801" s="16">
        <f>E801-E800</f>
        <v/>
      </c>
      <c r="J801" s="16">
        <f>I801-58</f>
        <v/>
      </c>
      <c r="K801" s="16">
        <f>MAX(0,J801)</f>
        <v/>
      </c>
      <c r="L801" s="16">
        <f>MAX(0,-J801)</f>
        <v/>
      </c>
      <c r="M801" s="16">
        <f>M800+I801</f>
        <v/>
      </c>
      <c r="N801" s="16">
        <f>D801+F801-E801</f>
        <v/>
      </c>
      <c r="O801" s="15" t="inlineStr">
        <is>
          <t>能力满足</t>
        </is>
      </c>
      <c r="P801" s="15" t="inlineStr">
        <is>
          <t>ST1 引取(开:52057.5s 加:55.0s 等前:5657.5s 等后:5.0s) | ST2 集约(开:52117.5s 加:106.0s 等前:0.0s 等后:14.5s) | ST3 空气悬挂+快充(开:52238.0s 加:0.0s 等前:0.0s 等后:115.0s) | ST4 四轮定位上、下(开:52353.0s 加:115.0s 等前:0.0s 等后:23.0s) | ST5 ADAS(开:52491.0s 加:97.0s 等前:0.0s 等后:17.5s) | ST6 ARHUD+慢充(开:52605.5s 加:0.0s 等前:0.0s 等后:116.0s) | ST7 转毂(开:52721.5s 加:116.0s 等前:0.0s 等后:0.0s) | ST8 制动(开:52837.5s 加:108.0s 等前:0.0s 等后:1.5s) | ST9 EG漏液/底盘漏液(开:52947.0s 加:115.0s 等前:0.0s 等后:0.0s) | ST10 全景/空调检查(开:53062.0s 加:98.0s 等前:0.0s 等后:0.0s) | ST11 气囊安装+绝缘(开:53160.0s 加:0.0s 等前:0.0s 等后:0.0s) | ST12 L2++(开:53160.0s 加:0.0s 等前:0.0s 等后:66.5s) | ST13 电检1(开:53226.5s 加:0.0s 等前:0.0s 等后:50.0s) | ST14 电检2(开:53276.5s 加:0.0s 等前:0.0s 等后:101.0s) | ST15 小跑道(开:53377.5s 加:51.0s 等前:0.0s 等后:0.0s)</t>
        </is>
      </c>
    </row>
    <row r="802">
      <c r="A802" s="13" t="n">
        <v>801</v>
      </c>
      <c r="B802" s="13" t="inlineStr">
        <is>
          <t>Car#800</t>
        </is>
      </c>
      <c r="C802" s="13" t="inlineStr">
        <is>
          <t>A</t>
        </is>
      </c>
      <c r="D802" s="14" t="n">
        <v>52002.5</v>
      </c>
      <c r="E802" s="14" t="n">
        <v>53479.5</v>
      </c>
      <c r="F802" s="14" t="n">
        <v>1477</v>
      </c>
      <c r="G802" s="14" t="n">
        <v>6276.5</v>
      </c>
      <c r="H802" s="13" t="inlineStr">
        <is>
          <t>Car#801</t>
        </is>
      </c>
      <c r="I802" s="14">
        <f>E802-E801</f>
        <v/>
      </c>
      <c r="J802" s="14">
        <f>I802-58</f>
        <v/>
      </c>
      <c r="K802" s="14">
        <f>MAX(0,J802)</f>
        <v/>
      </c>
      <c r="L802" s="14">
        <f>MAX(0,-J802)</f>
        <v/>
      </c>
      <c r="M802" s="14">
        <f>M801+I802</f>
        <v/>
      </c>
      <c r="N802" s="14">
        <f>D802+F802-E802</f>
        <v/>
      </c>
      <c r="O802" s="13" t="inlineStr">
        <is>
          <t>能力满足</t>
        </is>
      </c>
      <c r="P802" s="13" t="inlineStr">
        <is>
          <t>ST1 引取(开:52002.5s 加:55.0s 等前:5660.5s 等后:0.0s) | ST2 集约(开:52057.5s 加:106.0s 等前:0.0s 等后:0.0s) | ST3 空气悬挂+快充(开:52163.5s 加:0.0s 等前:0.0s 等后:94.5s) | ST4 四轮定位上、下(开:52258.0s 加:115.0s 等前:0.0s 等后:16.5s) | ST5 ADAS(开:52389.5s 加:97.0s 等前:0.0s 等后:46.5s) | ST6 ARHUD+慢充(开:52533.0s 加:0.0s 等前:0.0s 等后:114.5s) | ST7 转毂(开:52647.5s 加:116.0s 等前:0.0s 等后:0.0s) | ST8 制动(开:52763.5s 加:108.0s 等前:0.0s 等后:2.5s) | ST9 EG漏液/底盘漏液(开:52874.0s 加:115.0s 等前:0.0s 等后:0.0s) | ST10 全景/空调检查(开:52989.0s 加:98.0s 等前:0.0s 等后:0.0s) | ST11 气囊安装+绝缘(开:53087.0s 加:0.0s 等前:0.0s 等后:0.0s) | ST12 L2++(开:53087.0s 加:0.0s 等前:0.0s 等后:89.5s) | ST13 电检1(开:53176.5s 加:0.0s 等前:0.0s 等后:151.0s) | ST14 电检2(开:53327.5s 加:0.0s 等前:0.0s 等后:101.0s) | ST15 小跑道(开:53428.5s 加:51.0s 等前:0.0s 等后:0.0s)</t>
        </is>
      </c>
    </row>
    <row r="803">
      <c r="A803" s="15" t="n">
        <v>802</v>
      </c>
      <c r="B803" s="15" t="inlineStr">
        <is>
          <t>Car#802</t>
        </is>
      </c>
      <c r="C803" s="15" t="inlineStr">
        <is>
          <t>C</t>
        </is>
      </c>
      <c r="D803" s="16" t="n">
        <v>52117.5</v>
      </c>
      <c r="E803" s="16" t="n">
        <v>53576</v>
      </c>
      <c r="F803" s="16" t="n">
        <v>1458.5</v>
      </c>
      <c r="G803" s="16" t="n">
        <v>5694.5</v>
      </c>
      <c r="H803" s="15" t="inlineStr">
        <is>
          <t>Car#800</t>
        </is>
      </c>
      <c r="I803" s="16">
        <f>E803-E802</f>
        <v/>
      </c>
      <c r="J803" s="16">
        <f>I803-58</f>
        <v/>
      </c>
      <c r="K803" s="16">
        <f>MAX(0,J803)</f>
        <v/>
      </c>
      <c r="L803" s="16">
        <f>MAX(0,-J803)</f>
        <v/>
      </c>
      <c r="M803" s="16">
        <f>M802+I803</f>
        <v/>
      </c>
      <c r="N803" s="16">
        <f>D803+F803-E803</f>
        <v/>
      </c>
      <c r="O803" s="15" t="inlineStr">
        <is>
          <t>能力超目标：四轮定位上、下、ARHUD+慢充</t>
        </is>
      </c>
      <c r="P803" s="15" t="inlineStr">
        <is>
          <t>ST1 引取(开:52117.5s 加:56.0s 等前:5659.5s 等后:0.0s) | ST2 集约(开:52173.5s 加:111.0s 等前:0.0s 等后:0.0s) | ST3 空气悬挂+快充(开:52284.5s 加:108.5s 等前:0.0s 等后:0.0s) | ST4 四轮定位上、下(开:52393.0s 加:120.5s 等前:0.0s 等后:19.5s) | ST5 ADAS(开:52533.0s 加:107.0s 等前:0.0s 等后:7.5s) | ST6 ARHUD+慢充(开:52647.5s 加:143.5s 等前:0.0s 等后:0.0s) | ST7 转毂(开:52791.0s 加:114.5s 等前:0.0s 等后:0.0s) | ST8 制动(开:52905.5s 加:114.0s 等前:0.0s 等后:0.0s) | ST9 EG漏液/底盘漏液(开:53019.5s 加:112.5s 等前:0.0s 等后:0.0s) | ST10 全景/空调检查(开:53132.0s 加:0.0s 等前:0.0s 等后:0.0s) | ST11 气囊安装+绝缘(开:53132.0s 加:116.0s 等前:0.0s 等后:0.0s) | ST12 L2++(开:53248.0s 加:88.0s 等前:0.0s 等后:0.0s) | ST13 电检1(开:53336.0s 加:84.5s 等前:0.0s 等后:8.0s) | ST14 电检2(开:53428.5s 加:97.5s 等前:0.0s 等后:0.0s) | ST15 小跑道(开:53526.0s 加:50.0s 等前:0.0s 等后:0.0s)</t>
        </is>
      </c>
    </row>
    <row r="804">
      <c r="A804" s="13" t="n">
        <v>803</v>
      </c>
      <c r="B804" s="13" t="inlineStr">
        <is>
          <t>Car#803</t>
        </is>
      </c>
      <c r="C804" s="13" t="inlineStr">
        <is>
          <t>B</t>
        </is>
      </c>
      <c r="D804" s="14" t="n">
        <v>52173.5</v>
      </c>
      <c r="E804" s="14" t="n">
        <v>53626</v>
      </c>
      <c r="F804" s="14" t="n">
        <v>1452.5</v>
      </c>
      <c r="G804" s="14" t="n">
        <v>5778.5</v>
      </c>
      <c r="H804" s="13" t="inlineStr">
        <is>
          <t>Car#802</t>
        </is>
      </c>
      <c r="I804" s="14">
        <f>E804-E803</f>
        <v/>
      </c>
      <c r="J804" s="14">
        <f>I804-58</f>
        <v/>
      </c>
      <c r="K804" s="14">
        <f>MAX(0,J804)</f>
        <v/>
      </c>
      <c r="L804" s="14">
        <f>MAX(0,-J804)</f>
        <v/>
      </c>
      <c r="M804" s="14">
        <f>M803+I804</f>
        <v/>
      </c>
      <c r="N804" s="14">
        <f>D804+F804-E804</f>
        <v/>
      </c>
      <c r="O804" s="13" t="inlineStr">
        <is>
          <t>能力超目标：四轮定位上、下</t>
        </is>
      </c>
      <c r="P804" s="13" t="inlineStr">
        <is>
          <t>ST1 引取(开:52173.5s 加:56.0s 等前:5657.5s 等后:8.5s) | ST2 集约(开:52238.0s 加:111.0s 等前:0.0s 等后:4.0s) | ST3 空气悬挂+快充(开:52353.0s 加:108.5s 等前:0.0s 等后:29.5s) | ST4 四轮定位上、下(开:52491.0s 加:120.5s 等前:0.0s 等后:0.0s) | ST5 ADAS(开:52611.5s 加:107.0s 等前:0.0s 等后:3.0s) | ST6 ARHUD+慢充(开:52721.5s 加:51.5s 等前:0.0s 等后:64.5s) | ST7 转毂(开:52837.5s 加:114.5s 等前:0.0s 等后:0.0s) | ST8 制动(开:52952.0s 加:114.0s 等前:0.0s 等后:0.0s) | ST9 EG漏液/底盘漏液(开:53066.0s 加:112.5s 等前:0.0s 等后:0.0s) | ST10 全景/空调检查(开:53178.5s 加:0.0s 等前:0.0s 等后:0.0s) | ST11 气囊安装+绝缘(开:53178.5s 加:116.0s 等前:0.0s 等后:0.0s) | ST12 L2++(开:53294.5s 加:88.0s 等前:0.0s 等后:0.0s) | ST13 电检1(开:53382.5s 加:84.5s 等前:0.0s 等后:0.0s) | ST14 电检2(开:53467.0s 加:97.5s 等前:0.0s 等后:11.5s) | ST15 小跑道(开:53576.0s 加:50.0s 等前:0.0s 等后:0.0s)</t>
        </is>
      </c>
    </row>
    <row r="805">
      <c r="A805" s="15" t="n">
        <v>804</v>
      </c>
      <c r="B805" s="15" t="inlineStr">
        <is>
          <t>Car#804</t>
        </is>
      </c>
      <c r="C805" s="15" t="inlineStr">
        <is>
          <t>C</t>
        </is>
      </c>
      <c r="D805" s="16" t="n">
        <v>52238</v>
      </c>
      <c r="E805" s="16" t="n">
        <v>53711.5</v>
      </c>
      <c r="F805" s="16" t="n">
        <v>1473.5</v>
      </c>
      <c r="G805" s="16" t="n">
        <v>5714</v>
      </c>
      <c r="H805" s="15" t="inlineStr">
        <is>
          <t>Car#803</t>
        </is>
      </c>
      <c r="I805" s="16">
        <f>E805-E804</f>
        <v/>
      </c>
      <c r="J805" s="16">
        <f>I805-58</f>
        <v/>
      </c>
      <c r="K805" s="16">
        <f>MAX(0,J805)</f>
        <v/>
      </c>
      <c r="L805" s="16">
        <f>MAX(0,-J805)</f>
        <v/>
      </c>
      <c r="M805" s="16">
        <f>M804+I805</f>
        <v/>
      </c>
      <c r="N805" s="16">
        <f>D805+F805-E805</f>
        <v/>
      </c>
      <c r="O805" s="15" t="inlineStr">
        <is>
          <t>能力超目标：四轮定位上、下、ARHUD+慢充</t>
        </is>
      </c>
      <c r="P805" s="15" t="inlineStr">
        <is>
          <t>ST1 引取(开:52238.0s 加:56.0s 等前:5664.0s 等后:0.0s) | ST2 集约(开:52294.0s 加:111.0s 等前:0.0s 等后:0.0s) | ST3 空气悬挂+快充(开:52405.0s 加:108.5s 等前:0.0s 等后:19.5s) | ST4 四轮定位上、下(开:52533.0s 加:120.5s 等前:0.0s 等后:0.0s) | ST5 ADAS(开:52653.5s 加:107.0s 等前:0.0s 等后:30.5s) | ST6 ARHUD+慢充(开:52791.0s 加:143.5s 等前:0.0s 等后:0.0s) | ST7 转毂(开:52934.5s 加:114.5s 等前:0.0s 等后:0.0s) | ST8 制动(开:53049.0s 加:114.0s 等前:0.0s 等后:0.0s) | ST9 EG漏液/底盘漏液(开:53163.0s 加:112.5s 等前:0.0s 等后:0.0s) | ST10 全景/空调检查(开:53275.5s 加:0.0s 等前:0.0s 等后:0.0s) | ST11 气囊安装+绝缘(开:53275.5s 加:116.0s 等前:0.0s 等后:0.0s) | ST12 L2++(开:53391.5s 加:88.0s 等前:0.0s 等后:0.0s) | ST13 电检1(开:53479.5s 加:84.5s 等前:0.0s 等后:0.0s) | ST14 电检2(开:53564.0s 加:97.5s 等前:0.0s 等后:0.0s) | ST15 小跑道(开:53661.5s 加:50.0s 等前:0.0s 等后:0.0s)</t>
        </is>
      </c>
    </row>
    <row r="806">
      <c r="A806" s="13" t="n">
        <v>805</v>
      </c>
      <c r="B806" s="13" t="inlineStr">
        <is>
          <t>Car#805</t>
        </is>
      </c>
      <c r="C806" s="13" t="inlineStr">
        <is>
          <t>C</t>
        </is>
      </c>
      <c r="D806" s="14" t="n">
        <v>52294</v>
      </c>
      <c r="E806" s="14" t="n">
        <v>53761.5</v>
      </c>
      <c r="F806" s="14" t="n">
        <v>1467.5</v>
      </c>
      <c r="G806" s="14" t="n">
        <v>5706</v>
      </c>
      <c r="H806" s="13" t="inlineStr">
        <is>
          <t>Car#804</t>
        </is>
      </c>
      <c r="I806" s="14">
        <f>E806-E805</f>
        <v/>
      </c>
      <c r="J806" s="14">
        <f>I806-58</f>
        <v/>
      </c>
      <c r="K806" s="14">
        <f>MAX(0,J806)</f>
        <v/>
      </c>
      <c r="L806" s="14">
        <f>MAX(0,-J806)</f>
        <v/>
      </c>
      <c r="M806" s="14">
        <f>M805+I806</f>
        <v/>
      </c>
      <c r="N806" s="14">
        <f>D806+F806-E806</f>
        <v/>
      </c>
      <c r="O806" s="13" t="inlineStr">
        <is>
          <t>能力超目标：四轮定位上、下、ARHUD+慢充</t>
        </is>
      </c>
      <c r="P806" s="13" t="inlineStr">
        <is>
          <t>ST1 引取(开:52294.0s 加:56.0s 等前:5662.0s 等后:3.0s) | ST2 集约(开:52353.0s 加:111.0s 等前:0.0s 等后:27.0s) | ST3 空气悬挂+快充(开:52491.0s 加:108.5s 等前:0.0s 等后:12.0s) | ST4 四轮定位上、下(开:52611.5s 加:120.5s 等前:0.0s 等后:0.0s) | ST5 ADAS(开:52732.0s 加:107.0s 等前:0.0s 等后:0.0s) | ST6 ARHUD+慢充(开:52839.0s 加:143.5s 等前:0.0s 等后:0.0s) | ST7 转毂(开:52982.5s 加:114.5s 等前:0.0s 等后:0.0s) | ST8 制动(开:53097.0s 加:114.0s 等前:0.0s 等后:0.0s) | ST9 EG漏液/底盘漏液(开:53211.0s 加:112.5s 等前:0.0s 等后:0.0s) | ST10 全景/空调检查(开:53323.5s 加:0.0s 等前:0.0s 等后:0.0s) | ST11 气囊安装+绝缘(开:53323.5s 加:116.0s 等前:0.0s 等后:0.0s) | ST12 L2++(开:53439.5s 加:88.0s 等前:0.0s 等后:0.0s) | ST13 电检1(开:53527.5s 加:84.5s 等前:0.0s 等后:0.0s) | ST14 电检2(开:53612.0s 加:97.5s 等前:0.0s 等后:2.0s) | ST15 小跑道(开:53711.5s 加:50.0s 等前:0.0s 等后:0.0s)</t>
        </is>
      </c>
    </row>
    <row r="807">
      <c r="A807" s="15" t="n">
        <v>806</v>
      </c>
      <c r="B807" s="15" t="inlineStr">
        <is>
          <t>Car#806</t>
        </is>
      </c>
      <c r="C807" s="15" t="inlineStr">
        <is>
          <t>C</t>
        </is>
      </c>
      <c r="D807" s="16" t="n">
        <v>52353</v>
      </c>
      <c r="E807" s="16" t="n">
        <v>53855</v>
      </c>
      <c r="F807" s="16" t="n">
        <v>1502</v>
      </c>
      <c r="G807" s="16" t="n">
        <v>5741.5</v>
      </c>
      <c r="H807" s="15" t="inlineStr">
        <is>
          <t>Car#805</t>
        </is>
      </c>
      <c r="I807" s="16">
        <f>E807-E806</f>
        <v/>
      </c>
      <c r="J807" s="16">
        <f>I807-58</f>
        <v/>
      </c>
      <c r="K807" s="16">
        <f>MAX(0,J807)</f>
        <v/>
      </c>
      <c r="L807" s="16">
        <f>MAX(0,-J807)</f>
        <v/>
      </c>
      <c r="M807" s="16">
        <f>M806+I807</f>
        <v/>
      </c>
      <c r="N807" s="16">
        <f>D807+F807-E807</f>
        <v/>
      </c>
      <c r="O807" s="15" t="inlineStr">
        <is>
          <t>能力超目标：四轮定位上、下、ARHUD+慢充</t>
        </is>
      </c>
      <c r="P807" s="15" t="inlineStr">
        <is>
          <t>ST1 引取(开:52353.0s 加:56.0s 等前:5663.0s 等后:0.0s) | ST2 集约(开:52409.0s 加:111.0s 等前:0.0s 等后:13.0s) | ST3 空气悬挂+快充(开:52533.0s 加:108.5s 等前:0.0s 等后:12.0s) | ST4 四轮定位上、下(开:52653.5s 加:120.5s 等前:0.0s 等后:17.0s) | ST5 ADAS(开:52791.0s 加:107.0s 等前:0.0s 等后:36.5s) | ST6 ARHUD+慢充(开:52934.5s 加:143.5s 等前:0.0s 等后:0.0s) | ST7 转毂(开:53078.0s 加:114.5s 等前:0.0s 等后:0.0s) | ST8 制动(开:53192.5s 加:114.0s 等前:0.0s 等后:0.0s) | ST9 EG漏液/底盘漏液(开:53306.5s 加:112.5s 等前:0.0s 等后:0.0s) | ST10 全景/空调检查(开:53419.0s 加:0.0s 等前:0.0s 等后:0.0s) | ST11 气囊安装+绝缘(开:53419.0s 加:116.0s 等前:0.0s 等后:0.0s) | ST12 L2++(开:53535.0s 加:88.0s 等前:0.0s 等后:0.0s) | ST13 电检1(开:53623.0s 加:84.5s 等前:0.0s 等后:0.0s) | ST14 电检2(开:53707.5s 加:97.5s 等前:0.0s 等后:0.0s) | ST15 小跑道(开:53805.0s 加:50.0s 等前:0.0s 等后:0.0s)</t>
        </is>
      </c>
    </row>
    <row r="808">
      <c r="A808" s="13" t="n">
        <v>807</v>
      </c>
      <c r="B808" s="13" t="inlineStr">
        <is>
          <t>Car#807</t>
        </is>
      </c>
      <c r="C808" s="13" t="inlineStr">
        <is>
          <t>B</t>
        </is>
      </c>
      <c r="D808" s="14" t="n">
        <v>52409</v>
      </c>
      <c r="E808" s="14" t="n">
        <v>53905</v>
      </c>
      <c r="F808" s="14" t="n">
        <v>1496</v>
      </c>
      <c r="G808" s="14" t="n">
        <v>5825.5</v>
      </c>
      <c r="H808" s="13" t="inlineStr">
        <is>
          <t>Car#806</t>
        </is>
      </c>
      <c r="I808" s="14">
        <f>E808-E807</f>
        <v/>
      </c>
      <c r="J808" s="14">
        <f>I808-58</f>
        <v/>
      </c>
      <c r="K808" s="14">
        <f>MAX(0,J808)</f>
        <v/>
      </c>
      <c r="L808" s="14">
        <f>MAX(0,-J808)</f>
        <v/>
      </c>
      <c r="M808" s="14">
        <f>M807+I808</f>
        <v/>
      </c>
      <c r="N808" s="14">
        <f>D808+F808-E808</f>
        <v/>
      </c>
      <c r="O808" s="13" t="inlineStr">
        <is>
          <t>能力超目标：四轮定位上、下</t>
        </is>
      </c>
      <c r="P808" s="13" t="inlineStr">
        <is>
          <t>ST1 引取(开:52409.0s 加:56.0s 等前:5661.0s 等后:26.0s) | ST2 集约(开:52491.0s 加:111.0s 等前:0.0s 等后:9.5s) | ST3 空气悬挂+快充(开:52611.5s 加:108.5s 等前:0.0s 等后:12.0s) | ST4 四轮定位上、下(开:52732.0s 加:120.5s 等前:0.0s 等后:0.0s) | ST5 ADAS(开:52852.5s 加:107.0s 等前:0.0s 等后:23.0s) | ST6 ARHUD+慢充(开:52982.5s 加:51.5s 等前:0.0s 等后:63.0s) | ST7 转毂(开:53097.0s 加:114.5s 等前:0.0s 等后:0.0s) | ST8 制动(开:53211.5s 加:114.0s 等前:0.0s 等后:0.0s) | ST9 EG漏液/底盘漏液(开:53325.5s 加:112.5s 等前:0.0s 等后:0.0s) | ST10 全景/空调检查(开:53438.0s 加:0.0s 等前:0.0s 等后:1.5s) | ST11 气囊安装+绝缘(开:53439.5s 加:116.0s 等前:0.0s 等后:0.0s) | ST12 L2++(开:53555.5s 加:88.0s 等前:0.0s 等后:0.0s) | ST13 电检1(开:53643.5s 加:84.5s 等前:0.0s 等后:0.0s) | ST14 电检2(开:53728.0s 加:97.5s 等前:0.0s 等后:29.5s) | ST15 小跑道(开:53855.0s 加:50.0s 等前:0.0s 等后:0.0s)</t>
        </is>
      </c>
    </row>
    <row r="809">
      <c r="A809" s="15" t="n">
        <v>808</v>
      </c>
      <c r="B809" s="15" t="inlineStr">
        <is>
          <t>Car#808</t>
        </is>
      </c>
      <c r="C809" s="15" t="inlineStr">
        <is>
          <t>B</t>
        </is>
      </c>
      <c r="D809" s="16" t="n">
        <v>52491</v>
      </c>
      <c r="E809" s="16" t="n">
        <v>53971</v>
      </c>
      <c r="F809" s="16" t="n">
        <v>1480</v>
      </c>
      <c r="G809" s="16" t="n">
        <v>5833.5</v>
      </c>
      <c r="H809" s="15" t="inlineStr">
        <is>
          <t>Car#807</t>
        </is>
      </c>
      <c r="I809" s="16">
        <f>E809-E808</f>
        <v/>
      </c>
      <c r="J809" s="16">
        <f>I809-58</f>
        <v/>
      </c>
      <c r="K809" s="16">
        <f>MAX(0,J809)</f>
        <v/>
      </c>
      <c r="L809" s="16">
        <f>MAX(0,-J809)</f>
        <v/>
      </c>
      <c r="M809" s="16">
        <f>M808+I809</f>
        <v/>
      </c>
      <c r="N809" s="16">
        <f>D809+F809-E809</f>
        <v/>
      </c>
      <c r="O809" s="15" t="inlineStr">
        <is>
          <t>能力超目标：四轮定位上、下</t>
        </is>
      </c>
      <c r="P809" s="15" t="inlineStr">
        <is>
          <t>ST1 引取(开:52491.0s 加:56.0s 等前:5685.0s 等后:0.0s) | ST2 集约(开:52547.0s 加:111.0s 等前:0.0s 等后:0.0s) | ST3 空气悬挂+快充(开:52658.0s 加:108.5s 等前:0.0s 等后:24.5s) | ST4 四轮定位上、下(开:52791.0s 加:120.5s 等前:0.0s 等后:23.0s) | ST5 ADAS(开:52934.5s 加:107.0s 等前:0.0s 等后:36.5s) | ST6 ARHUD+慢充(开:53078.0s 加:51.5s 等前:0.0s 等后:63.0s) | ST7 转毂(开:53192.5s 加:114.5s 等前:0.0s 等后:0.0s) | ST8 制动(开:53307.0s 加:114.0s 等前:0.0s 等后:0.0s) | ST9 EG漏液/底盘漏液(开:53421.0s 加:112.5s 等前:0.0s 等后:0.0s) | ST10 全景/空调检查(开:53533.5s 加:0.0s 等前:0.0s 等后:1.5s) | ST11 气囊安装+绝缘(开:53535.0s 加:116.0s 等前:0.0s 等后:0.0s) | ST12 L2++(开:53651.0s 加:88.0s 等前:0.0s 等后:0.0s) | ST13 电检1(开:53739.0s 加:84.5s 等前:0.0s 等后:0.0s) | ST14 电检2(开:53823.5s 加:97.5s 等前:0.0s 等后:0.0s) | ST15 小跑道(开:53921.0s 加:50.0s 等前:0.0s 等后:0.0s)</t>
        </is>
      </c>
    </row>
    <row r="810">
      <c r="A810" s="13" t="n">
        <v>809</v>
      </c>
      <c r="B810" s="13" t="inlineStr">
        <is>
          <t>Car#809</t>
        </is>
      </c>
      <c r="C810" s="13" t="inlineStr">
        <is>
          <t>B</t>
        </is>
      </c>
      <c r="D810" s="14" t="n">
        <v>52547</v>
      </c>
      <c r="E810" s="14" t="n">
        <v>54021</v>
      </c>
      <c r="F810" s="14" t="n">
        <v>1474</v>
      </c>
      <c r="G810" s="14" t="n">
        <v>5825.5</v>
      </c>
      <c r="H810" s="13" t="inlineStr">
        <is>
          <t>Car#808</t>
        </is>
      </c>
      <c r="I810" s="14">
        <f>E810-E809</f>
        <v/>
      </c>
      <c r="J810" s="14">
        <f>I810-58</f>
        <v/>
      </c>
      <c r="K810" s="14">
        <f>MAX(0,J810)</f>
        <v/>
      </c>
      <c r="L810" s="14">
        <f>MAX(0,-J810)</f>
        <v/>
      </c>
      <c r="M810" s="14">
        <f>M809+I810</f>
        <v/>
      </c>
      <c r="N810" s="14">
        <f>D810+F810-E810</f>
        <v/>
      </c>
      <c r="O810" s="13" t="inlineStr">
        <is>
          <t>能力超目标：四轮定位上、下</t>
        </is>
      </c>
      <c r="P810" s="13" t="inlineStr">
        <is>
          <t>ST1 引取(开:52547.0s 加:56.0s 等前:5683.0s 等后:8.5s) | ST2 集约(开:52611.5s 加:111.0s 等前:0.0s 等后:9.5s) | ST3 空气悬挂+快充(开:52732.0s 加:108.5s 等前:0.0s 等后:12.0s) | ST4 四轮定位上、下(开:52852.5s 加:120.5s 等前:0.0s 等后:9.5s) | ST5 ADAS(开:52982.5s 加:107.0s 等前:0.0s 等后:7.5s) | ST6 ARHUD+慢充(开:53097.0s 加:51.5s 等前:0.0s 等后:63.0s) | ST7 转毂(开:53211.5s 加:114.5s 等前:0.0s 等后:0.0s) | ST8 制动(开:53326.0s 加:114.0s 等前:0.0s 等后:0.0s) | ST9 EG漏液/底盘漏液(开:53440.0s 加:112.5s 等前:0.0s 等后:0.0s) | ST10 全景/空调检查(开:53552.5s 加:0.0s 等前:0.0s 等后:3.0s) | ST11 气囊安装+绝缘(开:53555.5s 加:116.0s 等前:0.0s 等后:0.0s) | ST12 L2++(开:53671.5s 加:88.0s 等前:0.0s 等后:0.0s) | ST13 电检1(开:53759.5s 加:84.5s 等前:0.0s 等后:11.0s) | ST14 电检2(开:53855.0s 加:97.5s 等前:0.0s 等后:18.5s) | ST15 小跑道(开:53971.0s 加:50.0s 等前:0.0s 等后:0.0s)</t>
        </is>
      </c>
    </row>
    <row r="811">
      <c r="A811" s="15" t="n">
        <v>810</v>
      </c>
      <c r="B811" s="15" t="inlineStr">
        <is>
          <t>Car#810</t>
        </is>
      </c>
      <c r="C811" s="15" t="inlineStr">
        <is>
          <t>C</t>
        </is>
      </c>
      <c r="D811" s="16" t="n">
        <v>52611.5</v>
      </c>
      <c r="E811" s="16" t="n">
        <v>54113</v>
      </c>
      <c r="F811" s="16" t="n">
        <v>1501.5</v>
      </c>
      <c r="G811" s="16" t="n">
        <v>5767.5</v>
      </c>
      <c r="H811" s="15" t="inlineStr">
        <is>
          <t>Car#809</t>
        </is>
      </c>
      <c r="I811" s="16">
        <f>E811-E810</f>
        <v/>
      </c>
      <c r="J811" s="16">
        <f>I811-58</f>
        <v/>
      </c>
      <c r="K811" s="16">
        <f>MAX(0,J811)</f>
        <v/>
      </c>
      <c r="L811" s="16">
        <f>MAX(0,-J811)</f>
        <v/>
      </c>
      <c r="M811" s="16">
        <f>M810+I811</f>
        <v/>
      </c>
      <c r="N811" s="16">
        <f>D811+F811-E811</f>
        <v/>
      </c>
      <c r="O811" s="15" t="inlineStr">
        <is>
          <t>能力超目标：四轮定位上、下、ARHUD+慢充</t>
        </is>
      </c>
      <c r="P811" s="15" t="inlineStr">
        <is>
          <t>ST1 引取(开:52611.5s 加:56.0s 等前:5689.5s 等后:0.0s) | ST2 集约(开:52667.5s 加:111.0s 等前:0.0s 等后:12.5s) | ST3 空气悬挂+快充(开:52791.0s 加:108.5s 等前:0.0s 等后:35.0s) | ST4 四轮定位上、下(开:52934.5s 加:120.5s 等前:0.0s 等后:23.0s) | ST5 ADAS(开:53078.0s 加:107.0s 等前:0.0s 等后:7.5s) | ST6 ARHUD+慢充(开:53192.5s 加:143.5s 等前:0.0s 等后:0.0s) | ST7 转毂(开:53336.0s 加:114.5s 等前:0.0s 等后:0.0s) | ST8 制动(开:53450.5s 加:114.0s 等前:0.0s 等后:0.0s) | ST9 EG漏液/底盘漏液(开:53564.5s 加:112.5s 等前:0.0s 等后:0.0s) | ST10 全景/空调检查(开:53677.0s 加:0.0s 等前:0.0s 等后:0.0s) | ST11 气囊安装+绝缘(开:53677.0s 加:116.0s 等前:0.0s 等后:0.0s) | ST12 L2++(开:53793.0s 加:88.0s 等前:0.0s 等后:0.0s) | ST13 电检1(开:53881.0s 加:84.5s 等前:0.0s 等后:0.0s) | ST14 电检2(开:53965.5s 加:97.5s 等前:0.0s 等后:0.0s) | ST15 小跑道(开:54063.0s 加:50.0s 等前:0.0s 等后:0.0s)</t>
        </is>
      </c>
    </row>
    <row r="812">
      <c r="A812" s="13" t="n">
        <v>811</v>
      </c>
      <c r="B812" s="13" t="inlineStr">
        <is>
          <t>Car#812</t>
        </is>
      </c>
      <c r="C812" s="13" t="inlineStr">
        <is>
          <t>A</t>
        </is>
      </c>
      <c r="D812" s="14" t="n">
        <v>52732</v>
      </c>
      <c r="E812" s="14" t="n">
        <v>54164</v>
      </c>
      <c r="F812" s="14" t="n">
        <v>1432</v>
      </c>
      <c r="G812" s="14" t="n">
        <v>6265</v>
      </c>
      <c r="H812" s="13" t="inlineStr">
        <is>
          <t>Car#810</t>
        </is>
      </c>
      <c r="I812" s="14">
        <f>E812-E811</f>
        <v/>
      </c>
      <c r="J812" s="14">
        <f>I812-58</f>
        <v/>
      </c>
      <c r="K812" s="14">
        <f>MAX(0,J812)</f>
        <v/>
      </c>
      <c r="L812" s="14">
        <f>MAX(0,-J812)</f>
        <v/>
      </c>
      <c r="M812" s="14">
        <f>M811+I812</f>
        <v/>
      </c>
      <c r="N812" s="14">
        <f>D812+F812-E812</f>
        <v/>
      </c>
      <c r="O812" s="13" t="inlineStr">
        <is>
          <t>能力满足</t>
        </is>
      </c>
      <c r="P812" s="13" t="inlineStr">
        <is>
          <t>ST1 引取(开:52732.0s 加:55.0s 等前:5694.0s 等后:4.0s) | ST2 集约(开:52791.0s 加:106.0s 等前:0.0s 等后:37.5s) | ST3 空气悬挂+快充(开:52934.5s 加:0.0s 等前:0.0s 等后:143.5s) | ST4 四轮定位上、下(开:53078.0s 加:115.0s 等前:0.0s 等后:0.0s) | ST5 ADAS(开:53193.0s 加:97.0s 等前:0.0s 等后:46.0s) | ST6 ARHUD+慢充(开:53336.0s 加:0.0s 等前:0.0s 等后:114.5s) | ST7 转毂(开:53450.5s 加:116.0s 等前:0.0s 等后:0.0s) | ST8 制动(开:53566.5s 加:108.0s 等前:0.0s 等后:2.5s) | ST9 EG漏液/底盘漏液(开:53677.0s 加:115.0s 等前:0.0s 等后:0.0s) | ST10 全景/空调检查(开:53792.0s 加:98.0s 等前:0.0s 等后:0.0s) | ST11 气囊安装+绝缘(开:53890.0s 加:0.0s 等前:0.0s 等后:0.0s) | ST12 L2++(开:53890.0s 加:0.0s 等前:0.0s 等后:75.5s) | ST13 电检1(开:53965.5s 加:0.0s 等前:0.0s 等后:97.5s) | ST14 电检2(开:54063.0s 加:0.0s 等前:0.0s 等后:50.0s) | ST15 小跑道(开:54113.0s 加:51.0s 等前:0.0s 等后:0.0s)</t>
        </is>
      </c>
    </row>
    <row r="813">
      <c r="A813" s="15" t="n">
        <v>812</v>
      </c>
      <c r="B813" s="15" t="inlineStr">
        <is>
          <t>Car#811</t>
        </is>
      </c>
      <c r="C813" s="15" t="inlineStr">
        <is>
          <t>C</t>
        </is>
      </c>
      <c r="D813" s="16" t="n">
        <v>52667.5</v>
      </c>
      <c r="E813" s="16" t="n">
        <v>54214</v>
      </c>
      <c r="F813" s="16" t="n">
        <v>1546.5</v>
      </c>
      <c r="G813" s="16" t="n">
        <v>5810.5</v>
      </c>
      <c r="H813" s="15" t="inlineStr">
        <is>
          <t>Car#812</t>
        </is>
      </c>
      <c r="I813" s="16">
        <f>E813-E812</f>
        <v/>
      </c>
      <c r="J813" s="16">
        <f>I813-58</f>
        <v/>
      </c>
      <c r="K813" s="16">
        <f>MAX(0,J813)</f>
        <v/>
      </c>
      <c r="L813" s="16">
        <f>MAX(0,-J813)</f>
        <v/>
      </c>
      <c r="M813" s="16">
        <f>M812+I813</f>
        <v/>
      </c>
      <c r="N813" s="16">
        <f>D813+F813-E813</f>
        <v/>
      </c>
      <c r="O813" s="15" t="inlineStr">
        <is>
          <t>能力超目标：四轮定位上、下、ARHUD+慢充</t>
        </is>
      </c>
      <c r="P813" s="15" t="inlineStr">
        <is>
          <t>ST1 引取(开:52667.5s 加:56.0s 等前:5687.5s 等后:8.5s) | ST2 集约(开:52732.0s 加:111.0s 等前:0.0s 等后:9.5s) | ST3 空气悬挂+快充(开:52852.5s 加:108.5s 等前:0.0s 等后:21.5s) | ST4 四轮定位上、下(开:52982.5s 加:120.5s 等前:0.0s 等后:0.0s) | ST5 ADAS(开:53103.0s 加:107.0s 等前:0.0s 等后:1.5s) | ST6 ARHUD+慢充(开:53211.5s 加:143.5s 等前:0.0s 等后:0.0s) | ST7 转毂(开:53355.0s 加:114.5s 等前:0.0s 等后:0.0s) | ST8 制动(开:53469.5s 加:114.0s 等前:0.0s 等后:0.0s) | ST9 EG漏液/底盘漏液(开:53583.5s 加:112.5s 等前:0.0s 等后:0.0s) | ST10 全景/空调检查(开:53696.0s 加:0.0s 等前:0.0s 等后:0.0s) | ST11 气囊安装+绝缘(开:53696.0s 加:116.0s 等前:0.0s 等后:0.0s) | ST12 L2++(开:53812.0s 加:88.0s 等前:0.0s 等后:0.0s) | ST13 电检1(开:53900.0s 加:84.5s 等前:0.0s 等后:0.0s) | ST14 电检2(开:53984.5s 加:97.5s 等前:0.0s 等后:82.0s) | ST15 小跑道(开:54164.0s 加:50.0s 等前:0.0s 等后:0.0s)</t>
        </is>
      </c>
    </row>
    <row r="814">
      <c r="A814" s="13" t="n">
        <v>813</v>
      </c>
      <c r="B814" s="13" t="inlineStr">
        <is>
          <t>Car#813</t>
        </is>
      </c>
      <c r="C814" s="13" t="inlineStr">
        <is>
          <t>A</t>
        </is>
      </c>
      <c r="D814" s="14" t="n">
        <v>52791</v>
      </c>
      <c r="E814" s="14" t="n">
        <v>54265</v>
      </c>
      <c r="F814" s="14" t="n">
        <v>1474</v>
      </c>
      <c r="G814" s="14" t="n">
        <v>6308</v>
      </c>
      <c r="H814" s="13" t="inlineStr">
        <is>
          <t>Car#811</t>
        </is>
      </c>
      <c r="I814" s="14">
        <f>E814-E813</f>
        <v/>
      </c>
      <c r="J814" s="14">
        <f>I814-58</f>
        <v/>
      </c>
      <c r="K814" s="14">
        <f>MAX(0,J814)</f>
        <v/>
      </c>
      <c r="L814" s="14">
        <f>MAX(0,-J814)</f>
        <v/>
      </c>
      <c r="M814" s="14">
        <f>M813+I814</f>
        <v/>
      </c>
      <c r="N814" s="14">
        <f>D814+F814-E814</f>
        <v/>
      </c>
      <c r="O814" s="13" t="inlineStr">
        <is>
          <t>能力满足</t>
        </is>
      </c>
      <c r="P814" s="13" t="inlineStr">
        <is>
          <t>ST1 引取(开:52791.0s 加:55.0s 等前:5695.0s 等后:6.5s) | ST2 集约(开:52852.5s 加:106.0s 等前:0.0s 等后:24.0s) | ST3 空气悬挂+快充(开:52982.5s 加:0.0s 等前:0.0s 等后:120.5s) | ST4 四轮定位上、下(开:53103.0s 加:115.0s 等前:0.0s 等后:0.0s) | ST5 ADAS(开:53218.0s 加:97.0s 等前:0.0s 等后:40.0s) | ST6 ARHUD+慢充(开:53355.0s 加:0.0s 等前:0.0s 等后:114.5s) | ST7 转毂(开:53469.5s 加:116.0s 等前:0.0s 等后:0.0s) | ST8 制动(开:53585.5s 加:108.0s 等前:0.0s 等后:2.5s) | ST9 EG漏液/底盘漏液(开:53696.0s 加:115.0s 等前:0.0s 等后:0.0s) | ST10 全景/空调检查(开:53811.0s 加:98.0s 等前:0.0s 等后:0.0s) | ST11 气囊安装+绝缘(开:53909.0s 加:0.0s 等前:0.0s 等后:0.0s) | ST12 L2++(开:53909.0s 加:0.0s 等前:0.0s 等后:75.5s) | ST13 电检1(开:53984.5s 加:0.0s 等前:0.0s 等后:179.5s) | ST14 电检2(开:54164.0s 加:0.0s 等前:0.0s 等后:50.0s) | ST15 小跑道(开:54214.0s 加:51.0s 等前:0.0s 等后:0.0s)</t>
        </is>
      </c>
    </row>
    <row r="815">
      <c r="A815" s="15" t="n">
        <v>814</v>
      </c>
      <c r="B815" s="15" t="inlineStr">
        <is>
          <t>Car#814</t>
        </is>
      </c>
      <c r="C815" s="15" t="inlineStr">
        <is>
          <t>C</t>
        </is>
      </c>
      <c r="D815" s="16" t="n">
        <v>52852.5</v>
      </c>
      <c r="E815" s="16" t="n">
        <v>54371</v>
      </c>
      <c r="F815" s="16" t="n">
        <v>1518.5</v>
      </c>
      <c r="G815" s="16" t="n">
        <v>5793.5</v>
      </c>
      <c r="H815" s="15" t="inlineStr">
        <is>
          <t>Car#813</t>
        </is>
      </c>
      <c r="I815" s="16">
        <f>E815-E814</f>
        <v/>
      </c>
      <c r="J815" s="16">
        <f>I815-58</f>
        <v/>
      </c>
      <c r="K815" s="16">
        <f>MAX(0,J815)</f>
        <v/>
      </c>
      <c r="L815" s="16">
        <f>MAX(0,-J815)</f>
        <v/>
      </c>
      <c r="M815" s="16">
        <f>M814+I815</f>
        <v/>
      </c>
      <c r="N815" s="16">
        <f>D815+F815-E815</f>
        <v/>
      </c>
      <c r="O815" s="15" t="inlineStr">
        <is>
          <t>能力超目标：四轮定位上、下、ARHUD+慢充</t>
        </is>
      </c>
      <c r="P815" s="15" t="inlineStr">
        <is>
          <t>ST1 引取(开:52852.5s 加:56.0s 等前:5698.5s 等后:26.0s) | ST2 集约(开:52934.5s 加:111.0s 等前:0.0s 等后:32.5s) | ST3 空气悬挂+快充(开:53078.0s 加:108.5s 等前:0.0s 等后:6.5s) | ST4 四轮定位上、下(开:53193.0s 加:120.5s 等前:0.0s 等后:22.5s) | ST5 ADAS(开:53336.0s 加:107.0s 等前:0.0s 等后:7.5s) | ST6 ARHUD+慢充(开:53450.5s 加:143.5s 等前:0.0s 等后:0.0s) | ST7 转毂(开:53594.0s 加:114.5s 等前:0.0s 等后:0.0s) | ST8 制动(开:53708.5s 加:114.0s 等前:0.0s 等后:0.0s) | ST9 EG漏液/底盘漏液(开:53822.5s 加:112.5s 等前:0.0s 等后:0.0s) | ST10 全景/空调检查(开:53935.0s 加:0.0s 等前:0.0s 等后:0.0s) | ST11 气囊安装+绝缘(开:53935.0s 加:116.0s 等前:0.0s 等后:0.0s) | ST12 L2++(开:54051.0s 加:88.0s 等前:0.0s 等后:0.0s) | ST13 电检1(开:54139.0s 加:84.5s 等前:0.0s 等后:0.0s) | ST14 电检2(开:54223.5s 加:97.5s 等前:0.0s 等后:0.0s) | ST15 小跑道(开:54321.0s 加:50.0s 等前:0.0s 等后:0.0s)</t>
        </is>
      </c>
    </row>
    <row r="816">
      <c r="A816" s="13" t="n">
        <v>815</v>
      </c>
      <c r="B816" s="13" t="inlineStr">
        <is>
          <t>Car#815</t>
        </is>
      </c>
      <c r="C816" s="13" t="inlineStr">
        <is>
          <t>C</t>
        </is>
      </c>
      <c r="D816" s="14" t="n">
        <v>52934.5</v>
      </c>
      <c r="E816" s="14" t="n">
        <v>54421</v>
      </c>
      <c r="F816" s="14" t="n">
        <v>1486.5</v>
      </c>
      <c r="G816" s="14" t="n">
        <v>5785.5</v>
      </c>
      <c r="H816" s="13" t="inlineStr">
        <is>
          <t>Car#814</t>
        </is>
      </c>
      <c r="I816" s="14">
        <f>E816-E815</f>
        <v/>
      </c>
      <c r="J816" s="14">
        <f>I816-58</f>
        <v/>
      </c>
      <c r="K816" s="14">
        <f>MAX(0,J816)</f>
        <v/>
      </c>
      <c r="L816" s="14">
        <f>MAX(0,-J816)</f>
        <v/>
      </c>
      <c r="M816" s="14">
        <f>M815+I816</f>
        <v/>
      </c>
      <c r="N816" s="14">
        <f>D816+F816-E816</f>
        <v/>
      </c>
      <c r="O816" s="13" t="inlineStr">
        <is>
          <t>能力超目标：四轮定位上、下、ARHUD+慢充</t>
        </is>
      </c>
      <c r="P816" s="13" t="inlineStr">
        <is>
          <t>ST1 引取(开:52934.5s 加:56.0s 等前:5722.5s 等后:0.0s) | ST2 集约(开:52990.5s 加:111.0s 等前:0.0s 等后:1.5s) | ST3 空气悬挂+快充(开:53103.0s 加:108.5s 等前:0.0s 等后:6.5s) | ST4 四轮定位上、下(开:53218.0s 加:120.5s 等前:0.0s 等后:16.5s) | ST5 ADAS(开:53355.0s 加:107.0s 等前:0.0s 等后:7.5s) | ST6 ARHUD+慢充(开:53469.5s 加:143.5s 等前:0.0s 等后:0.0s) | ST7 转毂(开:53613.0s 加:114.5s 等前:0.0s 等后:0.0s) | ST8 制动(开:53727.5s 加:114.0s 等前:0.0s 等后:0.0s) | ST9 EG漏液/底盘漏液(开:53841.5s 加:112.5s 等前:0.0s 等后:0.0s) | ST10 全景/空调检查(开:53954.0s 加:0.0s 等前:0.0s 等后:0.0s) | ST11 气囊安装+绝缘(开:53954.0s 加:116.0s 等前:0.0s 等后:0.0s) | ST12 L2++(开:54070.0s 加:88.0s 等前:0.0s 等后:6.0s) | ST13 电检1(开:54164.0s 加:84.5s 等前:0.0s 等后:0.0s) | ST14 电检2(开:54248.5s 加:97.5s 等前:0.0s 等后:25.0s) | ST15 小跑道(开:54371.0s 加:50.0s 等前:0.0s 等后:0.0s)</t>
        </is>
      </c>
    </row>
    <row r="817">
      <c r="A817" s="15" t="n">
        <v>816</v>
      </c>
      <c r="B817" s="15" t="inlineStr">
        <is>
          <t>Car#816</t>
        </is>
      </c>
      <c r="C817" s="15" t="inlineStr">
        <is>
          <t>C</t>
        </is>
      </c>
      <c r="D817" s="16" t="n">
        <v>52990.5</v>
      </c>
      <c r="E817" s="16" t="n">
        <v>54514.5</v>
      </c>
      <c r="F817" s="16" t="n">
        <v>1524</v>
      </c>
      <c r="G817" s="16" t="n">
        <v>5821</v>
      </c>
      <c r="H817" s="15" t="inlineStr">
        <is>
          <t>Car#815</t>
        </is>
      </c>
      <c r="I817" s="16">
        <f>E817-E816</f>
        <v/>
      </c>
      <c r="J817" s="16">
        <f>I817-58</f>
        <v/>
      </c>
      <c r="K817" s="16">
        <f>MAX(0,J817)</f>
        <v/>
      </c>
      <c r="L817" s="16">
        <f>MAX(0,-J817)</f>
        <v/>
      </c>
      <c r="M817" s="16">
        <f>M816+I817</f>
        <v/>
      </c>
      <c r="N817" s="16">
        <f>D817+F817-E817</f>
        <v/>
      </c>
      <c r="O817" s="15" t="inlineStr">
        <is>
          <t>能力超目标：四轮定位上、下、ARHUD+慢充</t>
        </is>
      </c>
      <c r="P817" s="15" t="inlineStr">
        <is>
          <t>ST1 引取(开:52990.5s 加:56.0s 等前:5720.5s 等后:31.5s) | ST2 集约(开:53078.0s 加:111.0s 等前:0.0s 等后:4.0s) | ST3 空气悬挂+快充(开:53193.0s 加:108.5s 等前:0.0s 等后:34.5s) | ST4 四轮定位上、下(开:53336.0s 加:120.5s 等前:0.0s 等后:0.0s) | ST5 ADAS(开:53456.5s 加:107.0s 等前:0.0s 等后:30.5s) | ST6 ARHUD+慢充(开:53594.0s 加:143.5s 等前:0.0s 等后:0.0s) | ST7 转毂(开:53737.5s 加:114.5s 等前:0.0s 等后:0.0s) | ST8 制动(开:53852.0s 加:114.0s 等前:0.0s 等后:0.0s) | ST9 EG漏液/底盘漏液(开:53966.0s 加:112.5s 等前:0.0s 等后:0.0s) | ST10 全景/空调检查(开:54078.5s 加:0.0s 等前:0.0s 等后:0.0s) | ST11 气囊安装+绝缘(开:54078.5s 加:116.0s 等前:0.0s 等后:0.0s) | ST12 L2++(开:54194.5s 加:88.0s 等前:0.0s 等后:0.0s) | ST13 电检1(开:54282.5s 加:84.5s 等前:0.0s 等后:0.0s) | ST14 电检2(开:54367.0s 加:97.5s 等前:0.0s 等后:0.0s) | ST15 小跑道(开:54464.5s 加:50.0s 等前:0.0s 等后:0.0s)</t>
        </is>
      </c>
    </row>
    <row r="818">
      <c r="A818" s="13" t="n">
        <v>817</v>
      </c>
      <c r="B818" s="13" t="inlineStr">
        <is>
          <t>Car#817</t>
        </is>
      </c>
      <c r="C818" s="13" t="inlineStr">
        <is>
          <t>C</t>
        </is>
      </c>
      <c r="D818" s="14" t="n">
        <v>53078</v>
      </c>
      <c r="E818" s="14" t="n">
        <v>54564.5</v>
      </c>
      <c r="F818" s="14" t="n">
        <v>1486.5</v>
      </c>
      <c r="G818" s="14" t="n">
        <v>5813</v>
      </c>
      <c r="H818" s="13" t="inlineStr">
        <is>
          <t>Car#816</t>
        </is>
      </c>
      <c r="I818" s="14">
        <f>E818-E817</f>
        <v/>
      </c>
      <c r="J818" s="14">
        <f>I818-58</f>
        <v/>
      </c>
      <c r="K818" s="14">
        <f>MAX(0,J818)</f>
        <v/>
      </c>
      <c r="L818" s="14">
        <f>MAX(0,-J818)</f>
        <v/>
      </c>
      <c r="M818" s="14">
        <f>M817+I818</f>
        <v/>
      </c>
      <c r="N818" s="14">
        <f>D818+F818-E818</f>
        <v/>
      </c>
      <c r="O818" s="13" t="inlineStr">
        <is>
          <t>能力超目标：四轮定位上、下、ARHUD+慢充</t>
        </is>
      </c>
      <c r="P818" s="13" t="inlineStr">
        <is>
          <t>ST1 引取(开:53078.0s 加:56.0s 等前:5750.0s 等后:0.0s) | ST2 集约(开:53134.0s 加:111.0s 等前:0.0s 等后:0.0s) | ST3 空气悬挂+快充(开:53245.0s 加:108.5s 等前:0.0s 等后:1.5s) | ST4 四轮定位上、下(开:53355.0s 加:120.5s 等前:0.0s 等后:0.0s) | ST5 ADAS(开:53475.5s 加:107.0s 等前:0.0s 等后:30.5s) | ST6 ARHUD+慢充(开:53613.0s 加:143.5s 等前:0.0s 等后:0.0s) | ST7 转毂(开:53756.5s 加:114.5s 等前:0.0s 等后:0.0s) | ST8 制动(开:53871.0s 加:114.0s 等前:0.0s 等后:0.0s) | ST9 EG漏液/底盘漏液(开:53985.0s 加:112.5s 等前:0.0s 等后:0.0s) | ST10 全景/空调检查(开:54097.5s 加:0.0s 等前:0.0s 等后:0.0s) | ST11 气囊安装+绝缘(开:54097.5s 加:116.0s 等前:0.0s 等后:0.0s) | ST12 L2++(开:54213.5s 加:88.0s 等前:0.0s 等后:0.0s) | ST13 电检1(开:54301.5s 加:84.5s 等前:0.0s 等后:0.0s) | ST14 电检2(开:54386.0s 加:97.5s 等前:0.0s 等后:31.0s) | ST15 小跑道(开:54514.5s 加:50.0s 等前:0.0s 等后:0.0s)</t>
        </is>
      </c>
    </row>
    <row r="819">
      <c r="A819" s="15" t="n">
        <v>818</v>
      </c>
      <c r="B819" s="15" t="inlineStr">
        <is>
          <t>Car#818</t>
        </is>
      </c>
      <c r="C819" s="15" t="inlineStr">
        <is>
          <t>B</t>
        </is>
      </c>
      <c r="D819" s="16" t="n">
        <v>53134</v>
      </c>
      <c r="E819" s="16" t="n">
        <v>54630.5</v>
      </c>
      <c r="F819" s="16" t="n">
        <v>1496.5</v>
      </c>
      <c r="G819" s="16" t="n">
        <v>5913</v>
      </c>
      <c r="H819" s="15" t="inlineStr">
        <is>
          <t>Car#817</t>
        </is>
      </c>
      <c r="I819" s="16">
        <f>E819-E818</f>
        <v/>
      </c>
      <c r="J819" s="16">
        <f>I819-58</f>
        <v/>
      </c>
      <c r="K819" s="16">
        <f>MAX(0,J819)</f>
        <v/>
      </c>
      <c r="L819" s="16">
        <f>MAX(0,-J819)</f>
        <v/>
      </c>
      <c r="M819" s="16">
        <f>M818+I819</f>
        <v/>
      </c>
      <c r="N819" s="16">
        <f>D819+F819-E819</f>
        <v/>
      </c>
      <c r="O819" s="15" t="inlineStr">
        <is>
          <t>能力超目标：四轮定位上、下</t>
        </is>
      </c>
      <c r="P819" s="15" t="inlineStr">
        <is>
          <t>ST1 引取(开:53134.0s 加:56.0s 等前:5748.0s 等后:3.0s) | ST2 集约(开:53193.0s 加:111.0s 等前:0.0s 等后:32.0s) | ST3 空气悬挂+快充(开:53336.0s 加:108.5s 等前:0.0s 等后:12.0s) | ST4 四轮定位上、下(开:53456.5s 加:120.5s 等前:0.0s 等后:17.0s) | ST5 ADAS(开:53594.0s 加:107.0s 等前:0.0s 等后:36.5s) | ST6 ARHUD+慢充(开:53737.5s 加:51.5s 等前:0.0s 等后:63.0s) | ST7 转毂(开:53852.0s 加:114.5s 等前:0.0s 等后:0.0s) | ST8 制动(开:53966.5s 加:114.0s 等前:0.0s 等后:0.0s) | ST9 EG漏液/底盘漏液(开:54080.5s 加:112.5s 等前:0.0s 等后:0.0s) | ST10 全景/空调检查(开:54193.0s 加:0.0s 等前:0.0s 等后:1.5s) | ST11 气囊安装+绝缘(开:54194.5s 加:116.0s 等前:0.0s 等后:0.0s) | ST12 L2++(开:54310.5s 加:88.0s 等前:0.0s 等后:0.0s) | ST13 电检1(开:54398.5s 加:84.5s 等前:0.0s 等后:0.0s) | ST14 电检2(开:54483.0s 加:97.5s 等前:0.0s 等后:0.0s) | ST15 小跑道(开:54580.5s 加:50.0s 等前:0.0s 等后:0.0s)</t>
        </is>
      </c>
    </row>
    <row r="820">
      <c r="A820" s="13" t="n">
        <v>819</v>
      </c>
      <c r="B820" s="13" t="inlineStr">
        <is>
          <t>Car#820</t>
        </is>
      </c>
      <c r="C820" s="13" t="inlineStr">
        <is>
          <t>A</t>
        </is>
      </c>
      <c r="D820" s="14" t="n">
        <v>53249</v>
      </c>
      <c r="E820" s="14" t="n">
        <v>54681.5</v>
      </c>
      <c r="F820" s="14" t="n">
        <v>1432.5</v>
      </c>
      <c r="G820" s="14" t="n">
        <v>6318.5</v>
      </c>
      <c r="H820" s="13" t="inlineStr">
        <is>
          <t>Car#818</t>
        </is>
      </c>
      <c r="I820" s="14">
        <f>E820-E819</f>
        <v/>
      </c>
      <c r="J820" s="14">
        <f>I820-58</f>
        <v/>
      </c>
      <c r="K820" s="14">
        <f>MAX(0,J820)</f>
        <v/>
      </c>
      <c r="L820" s="14">
        <f>MAX(0,-J820)</f>
        <v/>
      </c>
      <c r="M820" s="14">
        <f>M819+I820</f>
        <v/>
      </c>
      <c r="N820" s="14">
        <f>D820+F820-E820</f>
        <v/>
      </c>
      <c r="O820" s="13" t="inlineStr">
        <is>
          <t>能力满足</t>
        </is>
      </c>
      <c r="P820" s="13" t="inlineStr">
        <is>
          <t>ST1 引取(开:53249.0s 加:55.0s 等前:5747.0s 等后:32.0s) | ST2 集约(开:53336.0s 加:106.0s 等前:0.0s 等后:14.5s) | ST3 空气悬挂+快充(开:53456.5s 加:0.0s 等前:0.0s 等后:137.5s) | ST4 四轮定位上、下(开:53594.0s 加:115.0s 等前:0.0s 等后:28.5s) | ST5 ADAS(开:53737.5s 加:97.0s 等前:0.0s 等后:17.5s) | ST6 ARHUD+慢充(开:53852.0s 加:0.0s 等前:0.0s 等后:114.5s) | ST7 转毂(开:53966.5s 加:116.0s 等前:0.0s 等后:0.0s) | ST8 制动(开:54082.5s 加:108.0s 等前:0.0s 等后:2.5s) | ST9 EG漏液/底盘漏液(开:54193.0s 加:115.0s 等前:0.0s 等后:0.0s) | ST10 全景/空调检查(开:54308.0s 加:98.0s 等前:0.0s 等后:0.0s) | ST11 气囊安装+绝缘(开:54406.0s 加:0.0s 等前:0.0s 等后:0.0s) | ST12 L2++(开:54406.0s 加:0.0s 等前:0.0s 等后:77.0s) | ST13 电检1(开:54483.0s 加:0.0s 等前:0.0s 等后:97.5s) | ST14 电检2(开:54580.5s 加:0.0s 等前:0.0s 等后:50.0s) | ST15 小跑道(开:54630.5s 加:51.0s 等前:0.0s 等后:0.0s)</t>
        </is>
      </c>
    </row>
    <row r="821">
      <c r="A821" s="15" t="n">
        <v>820</v>
      </c>
      <c r="B821" s="15" t="inlineStr">
        <is>
          <t>Car#819</t>
        </is>
      </c>
      <c r="C821" s="15" t="inlineStr">
        <is>
          <t>B</t>
        </is>
      </c>
      <c r="D821" s="16" t="n">
        <v>53193</v>
      </c>
      <c r="E821" s="16" t="n">
        <v>54731.5</v>
      </c>
      <c r="F821" s="16" t="n">
        <v>1538.5</v>
      </c>
      <c r="G821" s="16" t="n">
        <v>5956</v>
      </c>
      <c r="H821" s="15" t="inlineStr">
        <is>
          <t>Car#820</t>
        </is>
      </c>
      <c r="I821" s="16">
        <f>E821-E820</f>
        <v/>
      </c>
      <c r="J821" s="16">
        <f>I821-58</f>
        <v/>
      </c>
      <c r="K821" s="16">
        <f>MAX(0,J821)</f>
        <v/>
      </c>
      <c r="L821" s="16">
        <f>MAX(0,-J821)</f>
        <v/>
      </c>
      <c r="M821" s="16">
        <f>M820+I821</f>
        <v/>
      </c>
      <c r="N821" s="16">
        <f>D821+F821-E821</f>
        <v/>
      </c>
      <c r="O821" s="15" t="inlineStr">
        <is>
          <t>能力超目标：四轮定位上、下</t>
        </is>
      </c>
      <c r="P821" s="15" t="inlineStr">
        <is>
          <t>ST1 引取(开:53193.0s 加:56.0s 等前:5749.0s 等后:0.0s) | ST2 集约(开:53249.0s 加:111.0s 等前:0.0s 等后:0.0s) | ST3 空气悬挂+快充(开:53360.0s 加:108.5s 等前:0.0s 等后:7.0s) | ST4 四轮定位上、下(开:53475.5s 加:120.5s 等前:0.0s 等后:17.0s) | ST5 ADAS(开:53613.0s 加:107.0s 等前:0.0s 等后:36.5s) | ST6 ARHUD+慢充(开:53756.5s 加:51.5s 等前:0.0s 等后:63.0s) | ST7 转毂(开:53871.0s 加:114.5s 等前:0.0s 等后:0.0s) | ST8 制动(开:53985.5s 加:114.0s 等前:0.0s 等后:0.0s) | ST9 EG漏液/底盘漏液(开:54099.5s 加:112.5s 等前:0.0s 等后:0.0s) | ST10 全景/空调检查(开:54212.0s 加:0.0s 等前:0.0s 等后:1.5s) | ST11 气囊安装+绝缘(开:54213.5s 加:116.0s 等前:0.0s 等后:0.0s) | ST12 L2++(开:54329.5s 加:88.0s 等前:0.0s 等后:0.0s) | ST13 电检1(开:54417.5s 加:84.5s 等前:0.0s 等后:12.5s) | ST14 电检2(开:54514.5s 加:97.5s 等前:0.0s 等后:69.5s) | ST15 小跑道(开:54681.5s 加:50.0s 等前:0.0s 等后:0.0s)</t>
        </is>
      </c>
    </row>
    <row r="822">
      <c r="A822" s="13" t="n">
        <v>821</v>
      </c>
      <c r="B822" s="13" t="inlineStr">
        <is>
          <t>Car#821</t>
        </is>
      </c>
      <c r="C822" s="13" t="inlineStr">
        <is>
          <t>A</t>
        </is>
      </c>
      <c r="D822" s="14" t="n">
        <v>53336</v>
      </c>
      <c r="E822" s="14" t="n">
        <v>54782.5</v>
      </c>
      <c r="F822" s="14" t="n">
        <v>1446.5</v>
      </c>
      <c r="G822" s="14" t="n">
        <v>6361.5</v>
      </c>
      <c r="H822" s="13" t="inlineStr">
        <is>
          <t>Car#819</t>
        </is>
      </c>
      <c r="I822" s="14">
        <f>E822-E821</f>
        <v/>
      </c>
      <c r="J822" s="14">
        <f>I822-58</f>
        <v/>
      </c>
      <c r="K822" s="14">
        <f>MAX(0,J822)</f>
        <v/>
      </c>
      <c r="L822" s="14">
        <f>MAX(0,-J822)</f>
        <v/>
      </c>
      <c r="M822" s="14">
        <f>M821+I822</f>
        <v/>
      </c>
      <c r="N822" s="14">
        <f>D822+F822-E822</f>
        <v/>
      </c>
      <c r="O822" s="13" t="inlineStr">
        <is>
          <t>能力满足</t>
        </is>
      </c>
      <c r="P822" s="13" t="inlineStr">
        <is>
          <t>ST1 引取(开:53336.0s 加:55.0s 等前:5776.0s 等后:0.0s) | ST2 集约(开:53391.0s 加:106.0s 等前:0.0s 等后:0.0s) | ST3 空气悬挂+快充(开:53497.0s 加:0.0s 等前:0.0s 等后:116.0s) | ST4 四轮定位上、下(开:53613.0s 加:115.0s 等前:0.0s 等后:28.5s) | ST5 ADAS(开:53756.5s 加:97.0s 等前:0.0s 等后:17.5s) | ST6 ARHUD+慢充(开:53871.0s 加:0.0s 等前:0.0s 等后:114.5s) | ST7 转毂(开:53985.5s 加:116.0s 等前:0.0s 等后:0.0s) | ST8 制动(开:54101.5s 加:108.0s 等前:0.0s 等后:2.5s) | ST9 EG漏液/底盘漏液(开:54212.0s 加:115.0s 等前:0.0s 等后:0.0s) | ST10 全景/空调检查(开:54327.0s 加:98.0s 等前:0.0s 等后:0.0s) | ST11 气囊安装+绝缘(开:54425.0s 加:0.0s 等前:0.0s 等后:0.0s) | ST12 L2++(开:54425.0s 加:0.0s 等前:0.0s 等后:89.5s) | ST13 电检1(开:54514.5s 加:0.0s 等前:0.0s 等后:167.0s) | ST14 电检2(开:54681.5s 加:0.0s 等前:0.0s 等后:50.0s) | ST15 小跑道(开:54731.5s 加:51.0s 等前:0.0s 等后:0.0s)</t>
        </is>
      </c>
    </row>
    <row r="823">
      <c r="A823" s="15" t="n">
        <v>822</v>
      </c>
      <c r="B823" s="15" t="inlineStr">
        <is>
          <t>Car#822</t>
        </is>
      </c>
      <c r="C823" s="15" t="inlineStr">
        <is>
          <t>C</t>
        </is>
      </c>
      <c r="D823" s="16" t="n">
        <v>53391</v>
      </c>
      <c r="E823" s="16" t="n">
        <v>54887</v>
      </c>
      <c r="F823" s="16" t="n">
        <v>1496</v>
      </c>
      <c r="G823" s="16" t="n">
        <v>5845.5</v>
      </c>
      <c r="H823" s="15" t="inlineStr">
        <is>
          <t>Car#821</t>
        </is>
      </c>
      <c r="I823" s="16">
        <f>E823-E822</f>
        <v/>
      </c>
      <c r="J823" s="16">
        <f>I823-58</f>
        <v/>
      </c>
      <c r="K823" s="16">
        <f>MAX(0,J823)</f>
        <v/>
      </c>
      <c r="L823" s="16">
        <f>MAX(0,-J823)</f>
        <v/>
      </c>
      <c r="M823" s="16">
        <f>M822+I823</f>
        <v/>
      </c>
      <c r="N823" s="16">
        <f>D823+F823-E823</f>
        <v/>
      </c>
      <c r="O823" s="15" t="inlineStr">
        <is>
          <t>能力超目标：四轮定位上、下、ARHUD+慢充</t>
        </is>
      </c>
      <c r="P823" s="15" t="inlineStr">
        <is>
          <t>ST1 引取(开:53391.0s 加:56.0s 等前:5773.0s 等后:9.5s) | ST2 集约(开:53456.5s 加:111.0s 等前:0.0s 等后:26.5s) | ST3 空气悬挂+快充(开:53594.0s 加:108.5s 等前:0.0s 等后:35.0s) | ST4 四轮定位上、下(开:53737.5s 加:120.5s 等前:0.0s 等后:0.0s) | ST5 ADAS(开:53858.0s 加:107.0s 等前:0.0s 等后:1.5s) | ST6 ARHUD+慢充(开:53966.5s 加:143.5s 等前:0.0s 等后:0.0s) | ST7 转毂(开:54110.0s 加:114.5s 等前:0.0s 等后:0.0s) | ST8 制动(开:54224.5s 加:114.0s 等前:0.0s 等后:0.0s) | ST9 EG漏液/底盘漏液(开:54338.5s 加:112.5s 等前:0.0s 等后:0.0s) | ST10 全景/空调检查(开:54451.0s 加:0.0s 等前:0.0s 等后:0.0s) | ST11 气囊安装+绝缘(开:54451.0s 加:116.0s 等前:0.0s 等后:0.0s) | ST12 L2++(开:54567.0s 加:88.0s 等前:0.0s 等后:0.0s) | ST13 电检1(开:54655.0s 加:84.5s 等前:0.0s 等后:0.0s) | ST14 电检2(开:54739.5s 加:97.5s 等前:0.0s 等后:0.0s) | ST15 小跑道(开:54837.0s 加:50.0s 等前:0.0s 等后:0.0s)</t>
        </is>
      </c>
    </row>
    <row r="824">
      <c r="A824" s="13" t="n">
        <v>823</v>
      </c>
      <c r="B824" s="13" t="inlineStr">
        <is>
          <t>Car#823</t>
        </is>
      </c>
      <c r="C824" s="13" t="inlineStr">
        <is>
          <t>C</t>
        </is>
      </c>
      <c r="D824" s="14" t="n">
        <v>53456.5</v>
      </c>
      <c r="E824" s="14" t="n">
        <v>54937</v>
      </c>
      <c r="F824" s="14" t="n">
        <v>1480.5</v>
      </c>
      <c r="G824" s="14" t="n">
        <v>5837.5</v>
      </c>
      <c r="H824" s="13" t="inlineStr">
        <is>
          <t>Car#822</t>
        </is>
      </c>
      <c r="I824" s="14">
        <f>E824-E823</f>
        <v/>
      </c>
      <c r="J824" s="14">
        <f>I824-58</f>
        <v/>
      </c>
      <c r="K824" s="14">
        <f>MAX(0,J824)</f>
        <v/>
      </c>
      <c r="L824" s="14">
        <f>MAX(0,-J824)</f>
        <v/>
      </c>
      <c r="M824" s="14">
        <f>M823+I824</f>
        <v/>
      </c>
      <c r="N824" s="14">
        <f>D824+F824-E824</f>
        <v/>
      </c>
      <c r="O824" s="13" t="inlineStr">
        <is>
          <t>能力超目标：四轮定位上、下、ARHUD+慢充</t>
        </is>
      </c>
      <c r="P824" s="13" t="inlineStr">
        <is>
          <t>ST1 引取(开:53456.5s 加:56.0s 等前:5780.5s 等后:0.0s) | ST2 集约(开:53512.5s 加:111.0s 等前:0.0s 等后:0.0s) | ST3 空气悬挂+快充(开:53623.5s 加:108.5s 等前:0.0s 等后:24.5s) | ST4 四轮定位上、下(开:53756.5s 加:120.5s 等前:0.0s 等后:0.0s) | ST5 ADAS(开:53877.0s 加:107.0s 等前:0.0s 等后:1.5s) | ST6 ARHUD+慢充(开:53985.5s 加:143.5s 等前:0.0s 等后:0.0s) | ST7 转毂(开:54129.0s 加:114.5s 等前:0.0s 等后:0.0s) | ST8 制动(开:54243.5s 加:114.0s 等前:0.0s 等后:0.0s) | ST9 EG漏液/底盘漏液(开:54357.5s 加:112.5s 等前:0.0s 等后:0.0s) | ST10 全景/空调检查(开:54470.0s 加:0.0s 等前:0.0s 等后:0.0s) | ST11 气囊安装+绝缘(开:54470.0s 加:116.0s 等前:0.0s 等后:0.0s) | ST12 L2++(开:54586.0s 加:88.0s 等前:0.0s 等后:7.5s) | ST13 电检1(开:54681.5s 加:84.5s 等前:0.0s 等后:0.0s) | ST14 电检2(开:54766.0s 加:97.5s 等前:0.0s 等后:23.5s) | ST15 小跑道(开:54887.0s 加:50.0s 等前:0.0s 等后:0.0s)</t>
        </is>
      </c>
    </row>
    <row r="825">
      <c r="A825" s="15" t="n">
        <v>824</v>
      </c>
      <c r="B825" s="15" t="inlineStr">
        <is>
          <t>Car#824</t>
        </is>
      </c>
      <c r="C825" s="15" t="inlineStr">
        <is>
          <t>C</t>
        </is>
      </c>
      <c r="D825" s="16" t="n">
        <v>53512.5</v>
      </c>
      <c r="E825" s="16" t="n">
        <v>55030.5</v>
      </c>
      <c r="F825" s="16" t="n">
        <v>1518</v>
      </c>
      <c r="G825" s="16" t="n">
        <v>5873</v>
      </c>
      <c r="H825" s="15" t="inlineStr">
        <is>
          <t>Car#823</t>
        </is>
      </c>
      <c r="I825" s="16">
        <f>E825-E824</f>
        <v/>
      </c>
      <c r="J825" s="16">
        <f>I825-58</f>
        <v/>
      </c>
      <c r="K825" s="16">
        <f>MAX(0,J825)</f>
        <v/>
      </c>
      <c r="L825" s="16">
        <f>MAX(0,-J825)</f>
        <v/>
      </c>
      <c r="M825" s="16">
        <f>M824+I825</f>
        <v/>
      </c>
      <c r="N825" s="16">
        <f>D825+F825-E825</f>
        <v/>
      </c>
      <c r="O825" s="15" t="inlineStr">
        <is>
          <t>能力超目标：四轮定位上、下、ARHUD+慢充</t>
        </is>
      </c>
      <c r="P825" s="15" t="inlineStr">
        <is>
          <t>ST1 引取(开:53512.5s 加:56.0s 等前:5778.5s 等后:25.5s) | ST2 集约(开:53594.0s 加:111.0s 等前:0.0s 等后:32.5s) | ST3 空气悬挂+快充(开:53737.5s 加:108.5s 等前:0.0s 等后:12.0s) | ST4 四轮定位上、下(开:53858.0s 加:120.5s 等前:0.0s 等后:0.0s) | ST5 ADAS(开:53978.5s 加:107.0s 等前:0.0s 等后:24.5s) | ST6 ARHUD+慢充(开:54110.0s 加:143.5s 等前:0.0s 等后:0.0s) | ST7 转毂(开:54253.5s 加:114.5s 等前:0.0s 等后:0.0s) | ST8 制动(开:54368.0s 加:114.0s 等前:0.0s 等后:0.0s) | ST9 EG漏液/底盘漏液(开:54482.0s 加:112.5s 等前:0.0s 等后:0.0s) | ST10 全景/空调检查(开:54594.5s 加:0.0s 等前:0.0s 等后:0.0s) | ST11 气囊安装+绝缘(开:54594.5s 加:116.0s 等前:0.0s 等后:0.0s) | ST12 L2++(开:54710.5s 加:88.0s 等前:0.0s 等后:0.0s) | ST13 电检1(开:54798.5s 加:84.5s 等前:0.0s 等后:0.0s) | ST14 电检2(开:54883.0s 加:97.5s 等前:0.0s 等后:0.0s) | ST15 小跑道(开:54980.5s 加:50.0s 等前:0.0s 等后:0.0s)</t>
        </is>
      </c>
    </row>
    <row r="826">
      <c r="A826" s="13" t="n">
        <v>825</v>
      </c>
      <c r="B826" s="13" t="inlineStr">
        <is>
          <t>Car#825</t>
        </is>
      </c>
      <c r="C826" s="13" t="inlineStr">
        <is>
          <t>C</t>
        </is>
      </c>
      <c r="D826" s="14" t="n">
        <v>53594</v>
      </c>
      <c r="E826" s="14" t="n">
        <v>55080.5</v>
      </c>
      <c r="F826" s="14" t="n">
        <v>1486.5</v>
      </c>
      <c r="G826" s="14" t="n">
        <v>5865</v>
      </c>
      <c r="H826" s="13" t="inlineStr">
        <is>
          <t>Car#824</t>
        </is>
      </c>
      <c r="I826" s="14">
        <f>E826-E825</f>
        <v/>
      </c>
      <c r="J826" s="14">
        <f>I826-58</f>
        <v/>
      </c>
      <c r="K826" s="14">
        <f>MAX(0,J826)</f>
        <v/>
      </c>
      <c r="L826" s="14">
        <f>MAX(0,-J826)</f>
        <v/>
      </c>
      <c r="M826" s="14">
        <f>M825+I826</f>
        <v/>
      </c>
      <c r="N826" s="14">
        <f>D826+F826-E826</f>
        <v/>
      </c>
      <c r="O826" s="13" t="inlineStr">
        <is>
          <t>能力超目标：四轮定位上、下、ARHUD+慢充</t>
        </is>
      </c>
      <c r="P826" s="13" t="inlineStr">
        <is>
          <t>ST1 引取(开:53594.0s 加:56.0s 等前:5802.0s 等后:0.0s) | ST2 集约(开:53650.0s 加:111.0s 等前:0.0s 等后:0.0s) | ST3 空气悬挂+快充(开:53761.0s 加:108.5s 等前:0.0s 等后:7.5s) | ST4 四轮定位上、下(开:53877.0s 加:120.5s 等前:0.0s 等后:0.0s) | ST5 ADAS(开:53997.5s 加:107.0s 等前:0.0s 等后:24.5s) | ST6 ARHUD+慢充(开:54129.0s 加:143.5s 等前:0.0s 等后:0.0s) | ST7 转毂(开:54272.5s 加:114.5s 等前:0.0s 等后:0.0s) | ST8 制动(开:54387.0s 加:114.0s 等前:0.0s 等后:0.0s) | ST9 EG漏液/底盘漏液(开:54501.0s 加:112.5s 等前:0.0s 等后:0.0s) | ST10 全景/空调检查(开:54613.5s 加:0.0s 等前:0.0s 等后:0.0s) | ST11 气囊安装+绝缘(开:54613.5s 加:116.0s 等前:0.0s 等后:0.0s) | ST12 L2++(开:54729.5s 加:88.0s 等前:0.0s 等后:0.0s) | ST13 电检1(开:54817.5s 加:84.5s 等前:0.0s 等后:0.0s) | ST14 电检2(开:54902.0s 加:97.5s 等前:0.0s 等后:31.0s) | ST15 小跑道(开:55030.5s 加:50.0s 等前:0.0s 等后:0.0s)</t>
        </is>
      </c>
    </row>
    <row r="827">
      <c r="A827" s="15" t="n">
        <v>826</v>
      </c>
      <c r="B827" s="15" t="inlineStr">
        <is>
          <t>Car#826</t>
        </is>
      </c>
      <c r="C827" s="15" t="inlineStr">
        <is>
          <t>B</t>
        </is>
      </c>
      <c r="D827" s="16" t="n">
        <v>53650</v>
      </c>
      <c r="E827" s="16" t="n">
        <v>55146.5</v>
      </c>
      <c r="F827" s="16" t="n">
        <v>1496.5</v>
      </c>
      <c r="G827" s="16" t="n">
        <v>5965</v>
      </c>
      <c r="H827" s="15" t="inlineStr">
        <is>
          <t>Car#825</t>
        </is>
      </c>
      <c r="I827" s="16">
        <f>E827-E826</f>
        <v/>
      </c>
      <c r="J827" s="16">
        <f>I827-58</f>
        <v/>
      </c>
      <c r="K827" s="16">
        <f>MAX(0,J827)</f>
        <v/>
      </c>
      <c r="L827" s="16">
        <f>MAX(0,-J827)</f>
        <v/>
      </c>
      <c r="M827" s="16">
        <f>M826+I827</f>
        <v/>
      </c>
      <c r="N827" s="16">
        <f>D827+F827-E827</f>
        <v/>
      </c>
      <c r="O827" s="15" t="inlineStr">
        <is>
          <t>能力超目标：四轮定位上、下</t>
        </is>
      </c>
      <c r="P827" s="15" t="inlineStr">
        <is>
          <t>ST1 引取(开:53650.0s 加:56.0s 等前:5800.0s 等后:31.5s) | ST2 集约(开:53737.5s 加:111.0s 等前:0.0s 等后:9.5s) | ST3 空气悬挂+快充(开:53858.0s 加:108.5s 等前:0.0s 等后:12.0s) | ST4 四轮定位上、下(开:53978.5s 加:120.5s 等前:0.0s 等后:11.0s) | ST5 ADAS(开:54110.0s 加:107.0s 等前:0.0s 等后:36.5s) | ST6 ARHUD+慢充(开:54253.5s 加:51.5s 等前:0.0s 等后:63.0s) | ST7 转毂(开:54368.0s 加:114.5s 等前:0.0s 等后:0.0s) | ST8 制动(开:54482.5s 加:114.0s 等前:0.0s 等后:0.0s) | ST9 EG漏液/底盘漏液(开:54596.5s 加:112.5s 等前:0.0s 等后:0.0s) | ST10 全景/空调检查(开:54709.0s 加:0.0s 等前:0.0s 等后:1.5s) | ST11 气囊安装+绝缘(开:54710.5s 加:116.0s 等前:0.0s 等后:0.0s) | ST12 L2++(开:54826.5s 加:88.0s 等前:0.0s 等后:0.0s) | ST13 电检1(开:54914.5s 加:84.5s 等前:0.0s 等后:0.0s) | ST14 电检2(开:54999.0s 加:97.5s 等前:0.0s 等后:0.0s) | ST15 小跑道(开:55096.5s 加:50.0s 等前:0.0s 等后:0.0s)</t>
        </is>
      </c>
    </row>
    <row r="828">
      <c r="A828" s="13" t="n">
        <v>827</v>
      </c>
      <c r="B828" s="13" t="inlineStr">
        <is>
          <t>Car#828</t>
        </is>
      </c>
      <c r="C828" s="13" t="inlineStr">
        <is>
          <t>A</t>
        </is>
      </c>
      <c r="D828" s="14" t="n">
        <v>53793.5</v>
      </c>
      <c r="E828" s="14" t="n">
        <v>55197.5</v>
      </c>
      <c r="F828" s="14" t="n">
        <v>1404</v>
      </c>
      <c r="G828" s="14" t="n">
        <v>6370.5</v>
      </c>
      <c r="H828" s="13" t="inlineStr">
        <is>
          <t>Car#826</t>
        </is>
      </c>
      <c r="I828" s="14">
        <f>E828-E827</f>
        <v/>
      </c>
      <c r="J828" s="14">
        <f>I828-58</f>
        <v/>
      </c>
      <c r="K828" s="14">
        <f>MAX(0,J828)</f>
        <v/>
      </c>
      <c r="L828" s="14">
        <f>MAX(0,-J828)</f>
        <v/>
      </c>
      <c r="M828" s="14">
        <f>M827+I828</f>
        <v/>
      </c>
      <c r="N828" s="14">
        <f>D828+F828-E828</f>
        <v/>
      </c>
      <c r="O828" s="13" t="inlineStr">
        <is>
          <t>能力满足</t>
        </is>
      </c>
      <c r="P828" s="13" t="inlineStr">
        <is>
          <t>ST1 引取(开:53793.5s 加:55.0s 等前:5827.5s 等后:9.5s) | ST2 集约(开:53858.0s 加:106.0s 等前:0.0s 等后:14.5s) | ST3 空气悬挂+快充(开:53978.5s 加:0.0s 等前:0.0s 等后:131.5s) | ST4 四轮定位上、下(开:54110.0s 加:115.0s 等前:0.0s 等后:28.5s) | ST5 ADAS(开:54253.5s 加:97.0s 等前:0.0s 等后:17.5s) | ST6 ARHUD+慢充(开:54368.0s 加:0.0s 等前:0.0s 等后:114.5s) | ST7 转毂(开:54482.5s 加:116.0s 等前:0.0s 等后:0.0s) | ST8 制动(开:54598.5s 加:108.0s 等前:0.0s 等后:2.5s) | ST9 EG漏液/底盘漏液(开:54709.0s 加:115.0s 等前:0.0s 等后:0.0s) | ST10 全景/空调检查(开:54824.0s 加:98.0s 等前:0.0s 等后:0.0s) | ST11 气囊安装+绝缘(开:54922.0s 加:0.0s 等前:0.0s 等后:0.0s) | ST12 L2++(开:54922.0s 加:0.0s 等前:0.0s 等后:77.0s) | ST13 电检1(开:54999.0s 加:0.0s 等前:0.0s 等后:97.5s) | ST14 电检2(开:55096.5s 加:0.0s 等前:0.0s 等后:50.0s) | ST15 小跑道(开:55146.5s 加:51.0s 等前:0.0s 等后:0.0s)</t>
        </is>
      </c>
    </row>
    <row r="829">
      <c r="A829" s="15" t="n">
        <v>828</v>
      </c>
      <c r="B829" s="15" t="inlineStr">
        <is>
          <t>Car#827</t>
        </is>
      </c>
      <c r="C829" s="15" t="inlineStr">
        <is>
          <t>B</t>
        </is>
      </c>
      <c r="D829" s="16" t="n">
        <v>53737.5</v>
      </c>
      <c r="E829" s="16" t="n">
        <v>55247.5</v>
      </c>
      <c r="F829" s="16" t="n">
        <v>1510</v>
      </c>
      <c r="G829" s="16" t="n">
        <v>6008</v>
      </c>
      <c r="H829" s="15" t="inlineStr">
        <is>
          <t>Car#828</t>
        </is>
      </c>
      <c r="I829" s="16">
        <f>E829-E828</f>
        <v/>
      </c>
      <c r="J829" s="16">
        <f>I829-58</f>
        <v/>
      </c>
      <c r="K829" s="16">
        <f>MAX(0,J829)</f>
        <v/>
      </c>
      <c r="L829" s="16">
        <f>MAX(0,-J829)</f>
        <v/>
      </c>
      <c r="M829" s="16">
        <f>M828+I829</f>
        <v/>
      </c>
      <c r="N829" s="16">
        <f>D829+F829-E829</f>
        <v/>
      </c>
      <c r="O829" s="15" t="inlineStr">
        <is>
          <t>能力超目标：四轮定位上、下</t>
        </is>
      </c>
      <c r="P829" s="15" t="inlineStr">
        <is>
          <t>ST1 引取(开:53737.5s 加:56.0s 等前:5829.5s 等后:0.0s) | ST2 集约(开:53793.5s 加:111.0s 等前:0.0s 等后:0.0s) | ST3 空气悬挂+快充(开:53904.5s 加:108.5s 等前:0.0s 等后:0.0s) | ST4 四轮定位上、下(开:54013.0s 加:120.5s 等前:0.0s 等后:0.0s) | ST5 ADAS(开:54133.5s 加:107.0s 等前:0.0s 等后:32.0s) | ST6 ARHUD+慢充(开:54272.5s 加:51.5s 等前:0.0s 等后:63.0s) | ST7 转毂(开:54387.0s 加:114.5s 等前:0.0s 等后:0.0s) | ST8 制动(开:54501.5s 加:114.0s 等前:0.0s 等后:0.0s) | ST9 EG漏液/底盘漏液(开:54615.5s 加:112.5s 等前:0.0s 等后:0.0s) | ST10 全景/空调检查(开:54728.0s 加:0.0s 等前:0.0s 等后:1.5s) | ST11 气囊安装+绝缘(开:54729.5s 加:116.0s 等前:0.0s 等后:0.0s) | ST12 L2++(开:54845.5s 加:88.0s 等前:0.0s 等后:0.0s) | ST13 电检1(开:54933.5s 加:84.5s 等前:0.0s 等后:12.5s) | ST14 电检2(开:55030.5s 加:97.5s 等前:0.0s 等后:69.5s) | ST15 小跑道(开:55197.5s 加:50.0s 等前:0.0s 等后:0.0s)</t>
        </is>
      </c>
    </row>
    <row r="830">
      <c r="A830" s="13" t="n">
        <v>829</v>
      </c>
      <c r="B830" s="13" t="inlineStr">
        <is>
          <t>Car#829</t>
        </is>
      </c>
      <c r="C830" s="13" t="inlineStr">
        <is>
          <t>A</t>
        </is>
      </c>
      <c r="D830" s="14" t="n">
        <v>53858</v>
      </c>
      <c r="E830" s="14" t="n">
        <v>55298.5</v>
      </c>
      <c r="F830" s="14" t="n">
        <v>1440.5</v>
      </c>
      <c r="G830" s="14" t="n">
        <v>6413.5</v>
      </c>
      <c r="H830" s="13" t="inlineStr">
        <is>
          <t>Car#827</t>
        </is>
      </c>
      <c r="I830" s="14">
        <f>E830-E829</f>
        <v/>
      </c>
      <c r="J830" s="14">
        <f>I830-58</f>
        <v/>
      </c>
      <c r="K830" s="14">
        <f>MAX(0,J830)</f>
        <v/>
      </c>
      <c r="L830" s="14">
        <f>MAX(0,-J830)</f>
        <v/>
      </c>
      <c r="M830" s="14">
        <f>M829+I830</f>
        <v/>
      </c>
      <c r="N830" s="14">
        <f>D830+F830-E830</f>
        <v/>
      </c>
      <c r="O830" s="13" t="inlineStr">
        <is>
          <t>能力满足</t>
        </is>
      </c>
      <c r="P830" s="13" t="inlineStr">
        <is>
          <t>ST1 引取(开:53858.0s 加:55.0s 等前:5834.0s 等后:0.0s) | ST2 集约(开:53913.0s 加:106.0s 等前:0.0s 等后:0.0s) | ST3 空气悬挂+快充(开:54019.0s 加:0.0s 等前:0.0s 等后:114.5s) | ST4 四轮定位上、下(开:54133.5s 加:115.0s 等前:0.0s 等后:24.0s) | ST5 ADAS(开:54272.5s 加:97.0s 等前:0.0s 等后:17.5s) | ST6 ARHUD+慢充(开:54387.0s 加:0.0s 等前:0.0s 等后:114.5s) | ST7 转毂(开:54501.5s 加:116.0s 等前:0.0s 等后:0.0s) | ST8 制动(开:54617.5s 加:108.0s 等前:0.0s 等后:2.5s) | ST9 EG漏液/底盘漏液(开:54728.0s 加:115.0s 等前:0.0s 等后:0.0s) | ST10 全景/空调检查(开:54843.0s 加:98.0s 等前:0.0s 等后:0.0s) | ST11 气囊安装+绝缘(开:54941.0s 加:0.0s 等前:0.0s 等后:0.0s) | ST12 L2++(开:54941.0s 加:0.0s 等前:0.0s 等后:89.5s) | ST13 电检1(开:55030.5s 加:0.0s 等前:0.0s 等后:167.0s) | ST14 电检2(开:55197.5s 加:0.0s 等前:0.0s 等后:50.0s) | ST15 小跑道(开:55247.5s 加:51.0s 等前:0.0s 等后:0.0s)</t>
        </is>
      </c>
    </row>
    <row r="831">
      <c r="A831" s="15" t="n">
        <v>830</v>
      </c>
      <c r="B831" s="15" t="inlineStr">
        <is>
          <t>Car#830</t>
        </is>
      </c>
      <c r="C831" s="15" t="inlineStr">
        <is>
          <t>C</t>
        </is>
      </c>
      <c r="D831" s="16" t="n">
        <v>53913</v>
      </c>
      <c r="E831" s="16" t="n">
        <v>55403</v>
      </c>
      <c r="F831" s="16" t="n">
        <v>1490</v>
      </c>
      <c r="G831" s="16" t="n">
        <v>5897.5</v>
      </c>
      <c r="H831" s="15" t="inlineStr">
        <is>
          <t>Car#829</t>
        </is>
      </c>
      <c r="I831" s="16">
        <f>E831-E830</f>
        <v/>
      </c>
      <c r="J831" s="16">
        <f>I831-58</f>
        <v/>
      </c>
      <c r="K831" s="16">
        <f>MAX(0,J831)</f>
        <v/>
      </c>
      <c r="L831" s="16">
        <f>MAX(0,-J831)</f>
        <v/>
      </c>
      <c r="M831" s="16">
        <f>M830+I831</f>
        <v/>
      </c>
      <c r="N831" s="16">
        <f>D831+F831-E831</f>
        <v/>
      </c>
      <c r="O831" s="15" t="inlineStr">
        <is>
          <t>能力超目标：四轮定位上、下、ARHUD+慢充</t>
        </is>
      </c>
      <c r="P831" s="15" t="inlineStr">
        <is>
          <t>ST1 引取(开:53913.0s 加:56.0s 等前:5831.0s 等后:9.5s) | ST2 集约(开:53978.5s 加:111.0s 等前:0.0s 等后:20.5s) | ST3 空气悬挂+快充(开:54110.0s 加:108.5s 等前:0.0s 等后:35.0s) | ST4 四轮定位上、下(开:54253.5s 加:120.5s 等前:0.0s 等后:0.0s) | ST5 ADAS(开:54374.0s 加:107.0s 等前:0.0s 等后:1.5s) | ST6 ARHUD+慢充(开:54482.5s 加:143.5s 等前:0.0s 等后:0.0s) | ST7 转毂(开:54626.0s 加:114.5s 等前:0.0s 等后:0.0s) | ST8 制动(开:54740.5s 加:114.0s 等前:0.0s 等后:0.0s) | ST9 EG漏液/底盘漏液(开:54854.5s 加:112.5s 等前:0.0s 等后:0.0s) | ST10 全景/空调检查(开:54967.0s 加:0.0s 等前:0.0s 等后:0.0s) | ST11 气囊安装+绝缘(开:54967.0s 加:116.0s 等前:0.0s 等后:0.0s) | ST12 L2++(开:55083.0s 加:88.0s 等前:0.0s 等后:0.0s) | ST13 电检1(开:55171.0s 加:84.5s 等前:0.0s 等后:0.0s) | ST14 电检2(开:55255.5s 加:97.5s 等前:0.0s 等后:0.0s) | ST15 小跑道(开:55353.0s 加:50.0s 等前:0.0s 等后:0.0s)</t>
        </is>
      </c>
    </row>
    <row r="832">
      <c r="A832" s="13" t="n">
        <v>831</v>
      </c>
      <c r="B832" s="13" t="inlineStr">
        <is>
          <t>Car#831</t>
        </is>
      </c>
      <c r="C832" s="13" t="inlineStr">
        <is>
          <t>C</t>
        </is>
      </c>
      <c r="D832" s="14" t="n">
        <v>53978.5</v>
      </c>
      <c r="E832" s="14" t="n">
        <v>55453</v>
      </c>
      <c r="F832" s="14" t="n">
        <v>1474.5</v>
      </c>
      <c r="G832" s="14" t="n">
        <v>5889.5</v>
      </c>
      <c r="H832" s="13" t="inlineStr">
        <is>
          <t>Car#830</t>
        </is>
      </c>
      <c r="I832" s="14">
        <f>E832-E831</f>
        <v/>
      </c>
      <c r="J832" s="14">
        <f>I832-58</f>
        <v/>
      </c>
      <c r="K832" s="14">
        <f>MAX(0,J832)</f>
        <v/>
      </c>
      <c r="L832" s="14">
        <f>MAX(0,-J832)</f>
        <v/>
      </c>
      <c r="M832" s="14">
        <f>M831+I832</f>
        <v/>
      </c>
      <c r="N832" s="14">
        <f>D832+F832-E832</f>
        <v/>
      </c>
      <c r="O832" s="13" t="inlineStr">
        <is>
          <t>能力超目标：四轮定位上、下、ARHUD+慢充</t>
        </is>
      </c>
      <c r="P832" s="13" t="inlineStr">
        <is>
          <t>ST1 引取(开:53978.5s 加:56.0s 等前:5838.5s 等后:0.0s) | ST2 集约(开:54034.5s 加:111.0s 等前:0.0s 等后:0.0s) | ST3 空气悬挂+快充(开:54145.5s 加:108.5s 等前:0.0s 等后:18.5s) | ST4 四轮定位上、下(开:54272.5s 加:120.5s 等前:0.0s 等后:0.0s) | ST5 ADAS(开:54393.0s 加:107.0s 等前:0.0s 等后:1.5s) | ST6 ARHUD+慢充(开:54501.5s 加:143.5s 等前:0.0s 等后:0.0s) | ST7 转毂(开:54645.0s 加:114.5s 等前:0.0s 等后:0.0s) | ST8 制动(开:54759.5s 加:114.0s 等前:0.0s 等后:0.0s) | ST9 EG漏液/底盘漏液(开:54873.5s 加:112.5s 等前:0.0s 等后:0.0s) | ST10 全景/空调检查(开:54986.0s 加:0.0s 等前:0.0s 等后:0.0s) | ST11 气囊安装+绝缘(开:54986.0s 加:116.0s 等前:0.0s 等后:0.0s) | ST12 L2++(开:55102.0s 加:88.0s 等前:0.0s 等后:7.5s) | ST13 电检1(开:55197.5s 加:84.5s 等前:0.0s 等后:0.0s) | ST14 电检2(开:55282.0s 加:97.5s 等前:0.0s 等后:23.5s) | ST15 小跑道(开:55403.0s 加:50.0s 等前:0.0s 等后:0.0s)</t>
        </is>
      </c>
    </row>
    <row r="833">
      <c r="A833" s="15" t="n">
        <v>832</v>
      </c>
      <c r="B833" s="15" t="inlineStr">
        <is>
          <t>Car#832</t>
        </is>
      </c>
      <c r="C833" s="15" t="inlineStr">
        <is>
          <t>C</t>
        </is>
      </c>
      <c r="D833" s="16" t="n">
        <v>54034.5</v>
      </c>
      <c r="E833" s="16" t="n">
        <v>55546.5</v>
      </c>
      <c r="F833" s="16" t="n">
        <v>1512</v>
      </c>
      <c r="G833" s="16" t="n">
        <v>5925</v>
      </c>
      <c r="H833" s="15" t="inlineStr">
        <is>
          <t>Car#831</t>
        </is>
      </c>
      <c r="I833" s="16">
        <f>E833-E832</f>
        <v/>
      </c>
      <c r="J833" s="16">
        <f>I833-58</f>
        <v/>
      </c>
      <c r="K833" s="16">
        <f>MAX(0,J833)</f>
        <v/>
      </c>
      <c r="L833" s="16">
        <f>MAX(0,-J833)</f>
        <v/>
      </c>
      <c r="M833" s="16">
        <f>M832+I833</f>
        <v/>
      </c>
      <c r="N833" s="16">
        <f>D833+F833-E833</f>
        <v/>
      </c>
      <c r="O833" s="15" t="inlineStr">
        <is>
          <t>能力超目标：四轮定位上、下、ARHUD+慢充</t>
        </is>
      </c>
      <c r="P833" s="15" t="inlineStr">
        <is>
          <t>ST1 引取(开:54034.5s 加:56.0s 等前:5836.5s 等后:19.5s) | ST2 集约(开:54110.0s 加:111.0s 等前:0.0s 等后:32.5s) | ST3 空气悬挂+快充(开:54253.5s 加:108.5s 等前:0.0s 等后:12.0s) | ST4 四轮定位上、下(开:54374.0s 加:120.5s 等前:0.0s 等后:0.0s) | ST5 ADAS(开:54494.5s 加:107.0s 等前:0.0s 等后:24.5s) | ST6 ARHUD+慢充(开:54626.0s 加:143.5s 等前:0.0s 等后:0.0s) | ST7 转毂(开:54769.5s 加:114.5s 等前:0.0s 等后:0.0s) | ST8 制动(开:54884.0s 加:114.0s 等前:0.0s 等后:0.0s) | ST9 EG漏液/底盘漏液(开:54998.0s 加:112.5s 等前:0.0s 等后:0.0s) | ST10 全景/空调检查(开:55110.5s 加:0.0s 等前:0.0s 等后:0.0s) | ST11 气囊安装+绝缘(开:55110.5s 加:116.0s 等前:0.0s 等后:0.0s) | ST12 L2++(开:55226.5s 加:88.0s 等前:0.0s 等后:0.0s) | ST13 电检1(开:55314.5s 加:84.5s 等前:0.0s 等后:0.0s) | ST14 电检2(开:55399.0s 加:97.5s 等前:0.0s 等后:0.0s) | ST15 小跑道(开:55496.5s 加:50.0s 等前:0.0s 等后:0.0s)</t>
        </is>
      </c>
    </row>
    <row r="834">
      <c r="A834" s="13" t="n">
        <v>833</v>
      </c>
      <c r="B834" s="13" t="inlineStr">
        <is>
          <t>Car#833</t>
        </is>
      </c>
      <c r="C834" s="13" t="inlineStr">
        <is>
          <t>B</t>
        </is>
      </c>
      <c r="D834" s="14" t="n">
        <v>54110</v>
      </c>
      <c r="E834" s="14" t="n">
        <v>55596.5</v>
      </c>
      <c r="F834" s="14" t="n">
        <v>1486.5</v>
      </c>
      <c r="G834" s="14" t="n">
        <v>6009</v>
      </c>
      <c r="H834" s="13" t="inlineStr">
        <is>
          <t>Car#832</t>
        </is>
      </c>
      <c r="I834" s="14">
        <f>E834-E833</f>
        <v/>
      </c>
      <c r="J834" s="14">
        <f>I834-58</f>
        <v/>
      </c>
      <c r="K834" s="14">
        <f>MAX(0,J834)</f>
        <v/>
      </c>
      <c r="L834" s="14">
        <f>MAX(0,-J834)</f>
        <v/>
      </c>
      <c r="M834" s="14">
        <f>M833+I834</f>
        <v/>
      </c>
      <c r="N834" s="14">
        <f>D834+F834-E834</f>
        <v/>
      </c>
      <c r="O834" s="13" t="inlineStr">
        <is>
          <t>能力超目标：四轮定位上、下</t>
        </is>
      </c>
      <c r="P834" s="13" t="inlineStr">
        <is>
          <t>ST1 引取(开:54110.0s 加:56.0s 等前:5854.0s 等后:0.0s) | ST2 集约(开:54166.0s 加:111.0s 等前:0.0s 等后:0.0s) | ST3 空气悬挂+快充(开:54277.0s 加:108.5s 等前:0.0s 等后:7.5s) | ST4 四轮定位上、下(开:54393.0s 加:120.5s 等前:0.0s 等后:0.0s) | ST5 ADAS(开:54513.5s 加:107.0s 等前:0.0s 等后:24.5s) | ST6 ARHUD+慢充(开:54645.0s 加:51.5s 等前:0.0s 等后:63.0s) | ST7 转毂(开:54759.5s 加:114.5s 等前:0.0s 等后:0.0s) | ST8 制动(开:54874.0s 加:114.0s 等前:0.0s 等后:0.0s) | ST9 EG漏液/底盘漏液(开:54988.0s 加:112.5s 等前:0.0s 等后:0.0s) | ST10 全景/空调检查(开:55100.5s 加:0.0s 等前:0.0s 等后:1.5s) | ST11 气囊安装+绝缘(开:55102.0s 加:116.0s 等前:0.0s 等后:0.0s) | ST12 L2++(开:55218.0s 加:88.0s 等前:0.0s 等后:0.0s) | ST13 电检1(开:55306.0s 加:84.5s 等前:0.0s 等后:12.5s) | ST14 电检2(开:55403.0s 加:97.5s 等前:0.0s 等后:46.0s) | ST15 小跑道(开:55546.5s 加:50.0s 等前:0.0s 等后:0.0s)</t>
        </is>
      </c>
    </row>
    <row r="835">
      <c r="A835" s="15" t="n">
        <v>834</v>
      </c>
      <c r="B835" s="15" t="inlineStr">
        <is>
          <t>Car#834</t>
        </is>
      </c>
      <c r="C835" s="15" t="inlineStr">
        <is>
          <t>B</t>
        </is>
      </c>
      <c r="D835" s="16" t="n">
        <v>54166</v>
      </c>
      <c r="E835" s="16" t="n">
        <v>55662.5</v>
      </c>
      <c r="F835" s="16" t="n">
        <v>1496.5</v>
      </c>
      <c r="G835" s="16" t="n">
        <v>6017</v>
      </c>
      <c r="H835" s="15" t="inlineStr">
        <is>
          <t>Car#833</t>
        </is>
      </c>
      <c r="I835" s="16">
        <f>E835-E834</f>
        <v/>
      </c>
      <c r="J835" s="16">
        <f>I835-58</f>
        <v/>
      </c>
      <c r="K835" s="16">
        <f>MAX(0,J835)</f>
        <v/>
      </c>
      <c r="L835" s="16">
        <f>MAX(0,-J835)</f>
        <v/>
      </c>
      <c r="M835" s="16">
        <f>M834+I835</f>
        <v/>
      </c>
      <c r="N835" s="16">
        <f>D835+F835-E835</f>
        <v/>
      </c>
      <c r="O835" s="15" t="inlineStr">
        <is>
          <t>能力超目标：四轮定位上、下</t>
        </is>
      </c>
      <c r="P835" s="15" t="inlineStr">
        <is>
          <t>ST1 引取(开:54166.0s 加:56.0s 等前:5852.0s 等后:31.5s) | ST2 集约(开:54253.5s 加:111.0s 等前:0.0s 等后:9.5s) | ST3 空气悬挂+快充(开:54374.0s 加:108.5s 等前:0.0s 等后:12.0s) | ST4 四轮定位上、下(开:54494.5s 加:120.5s 等前:0.0s 等后:11.0s) | ST5 ADAS(开:54626.0s 加:107.0s 等前:0.0s 等后:36.5s) | ST6 ARHUD+慢充(开:54769.5s 加:51.5s 等前:0.0s 等后:63.0s) | ST7 转毂(开:54884.0s 加:114.5s 等前:0.0s 等后:0.0s) | ST8 制动(开:54998.5s 加:114.0s 等前:0.0s 等后:0.0s) | ST9 EG漏液/底盘漏液(开:55112.5s 加:112.5s 等前:0.0s 等后:0.0s) | ST10 全景/空调检查(开:55225.0s 加:0.0s 等前:0.0s 等后:1.5s) | ST11 气囊安装+绝缘(开:55226.5s 加:116.0s 等前:0.0s 等后:0.0s) | ST12 L2++(开:55342.5s 加:88.0s 等前:0.0s 等后:0.0s) | ST13 电检1(开:55430.5s 加:84.5s 等前:0.0s 等后:0.0s) | ST14 电检2(开:55515.0s 加:97.5s 等前:0.0s 等后:0.0s) | ST15 小跑道(开:55612.5s 加:50.0s 等前:0.0s 等后:0.0s)</t>
        </is>
      </c>
    </row>
    <row r="836">
      <c r="A836" s="13" t="n">
        <v>835</v>
      </c>
      <c r="B836" s="13" t="inlineStr">
        <is>
          <t>Car#835</t>
        </is>
      </c>
      <c r="C836" s="13" t="inlineStr">
        <is>
          <t>B</t>
        </is>
      </c>
      <c r="D836" s="14" t="n">
        <v>54253.5</v>
      </c>
      <c r="E836" s="14" t="n">
        <v>55712.5</v>
      </c>
      <c r="F836" s="14" t="n">
        <v>1459</v>
      </c>
      <c r="G836" s="14" t="n">
        <v>6009</v>
      </c>
      <c r="H836" s="13" t="inlineStr">
        <is>
          <t>Car#834</t>
        </is>
      </c>
      <c r="I836" s="14">
        <f>E836-E835</f>
        <v/>
      </c>
      <c r="J836" s="14">
        <f>I836-58</f>
        <v/>
      </c>
      <c r="K836" s="14">
        <f>MAX(0,J836)</f>
        <v/>
      </c>
      <c r="L836" s="14">
        <f>MAX(0,-J836)</f>
        <v/>
      </c>
      <c r="M836" s="14">
        <f>M835+I836</f>
        <v/>
      </c>
      <c r="N836" s="14">
        <f>D836+F836-E836</f>
        <v/>
      </c>
      <c r="O836" s="13" t="inlineStr">
        <is>
          <t>能力超目标：四轮定位上、下</t>
        </is>
      </c>
      <c r="P836" s="13" t="inlineStr">
        <is>
          <t>ST1 引取(开:54253.5s 加:56.0s 等前:5881.5s 等后:0.0s) | ST2 集约(开:54309.5s 加:111.0s 等前:0.0s 等后:0.0s) | ST3 空气悬挂+快充(开:54420.5s 加:108.5s 等前:0.0s 等后:0.0s) | ST4 四轮定位上、下(开:54529.0s 加:120.5s 等前:0.0s 等后:0.0s) | ST5 ADAS(开:54649.5s 加:107.0s 等前:0.0s 等后:3.0s) | ST6 ARHUD+慢充(开:54759.5s 加:51.5s 等前:0.0s 等后:63.0s) | ST7 转毂(开:54874.0s 加:114.5s 等前:0.0s 等后:0.0s) | ST8 制动(开:54988.5s 加:114.0s 等前:0.0s 等后:0.0s) | ST9 EG漏液/底盘漏液(开:55102.5s 加:112.5s 等前:0.0s 等后:0.0s) | ST10 全景/空调检查(开:55215.0s 加:0.0s 等前:0.0s 等后:3.0s) | ST11 气囊安装+绝缘(开:55218.0s 加:116.0s 等前:0.0s 等后:0.0s) | ST12 L2++(开:55334.0s 加:88.0s 等前:0.0s 等后:0.0s) | ST13 电检1(开:55422.0s 加:84.5s 等前:0.0s 等后:40.0s) | ST14 电检2(开:55546.5s 加:97.5s 等前:0.0s 等后:18.5s) | ST15 小跑道(开:55662.5s 加:50.0s 等前:0.0s 等后:0.0s)</t>
        </is>
      </c>
    </row>
    <row r="837">
      <c r="A837" s="15" t="n">
        <v>836</v>
      </c>
      <c r="B837" s="15" t="inlineStr">
        <is>
          <t>Car#837</t>
        </is>
      </c>
      <c r="C837" s="15" t="inlineStr">
        <is>
          <t>A</t>
        </is>
      </c>
      <c r="D837" s="16" t="n">
        <v>54374</v>
      </c>
      <c r="E837" s="16" t="n">
        <v>55763.5</v>
      </c>
      <c r="F837" s="16" t="n">
        <v>1389.5</v>
      </c>
      <c r="G837" s="16" t="n">
        <v>6414.5</v>
      </c>
      <c r="H837" s="15" t="inlineStr">
        <is>
          <t>Car#835</t>
        </is>
      </c>
      <c r="I837" s="16">
        <f>E837-E836</f>
        <v/>
      </c>
      <c r="J837" s="16">
        <f>I837-58</f>
        <v/>
      </c>
      <c r="K837" s="16">
        <f>MAX(0,J837)</f>
        <v/>
      </c>
      <c r="L837" s="16">
        <f>MAX(0,-J837)</f>
        <v/>
      </c>
      <c r="M837" s="16">
        <f>M836+I837</f>
        <v/>
      </c>
      <c r="N837" s="16">
        <f>D837+F837-E837</f>
        <v/>
      </c>
      <c r="O837" s="15" t="inlineStr">
        <is>
          <t>能力满足</t>
        </is>
      </c>
      <c r="P837" s="15" t="inlineStr">
        <is>
          <t>ST1 引取(开:54374.0s 加:55.0s 等前:5886.0s 等后:0.0s) | ST2 集约(开:54429.0s 加:106.0s 等前:0.0s 等后:0.0s) | ST3 空气悬挂+快充(开:54535.0s 加:0.0s 等前:0.0s 等后:114.5s) | ST4 四轮定位上、下(开:54649.5s 加:115.0s 等前:0.0s 等后:0.0s) | ST5 ADAS(开:54764.5s 加:97.0s 等前:0.0s 等后:12.5s) | ST6 ARHUD+慢充(开:54874.0s 加:0.0s 等前:0.0s 等后:114.5s) | ST7 转毂(开:54988.5s 加:116.0s 等前:0.0s 等后:0.0s) | ST8 制动(开:55104.5s 加:108.0s 等前:0.0s 等后:2.5s) | ST9 EG漏液/底盘漏液(开:55215.0s 加:115.0s 等前:0.0s 等后:0.0s) | ST10 全景/空调检查(开:55330.0s 加:98.0s 等前:0.0s 等后:0.0s) | ST11 气囊安装+绝缘(开:55428.0s 加:0.0s 等前:0.0s 等后:0.0s) | ST12 L2++(开:55428.0s 加:0.0s 等前:0.0s 等后:118.5s) | ST13 电检1(开:55546.5s 加:0.0s 等前:0.0s 等后:116.0s) | ST14 电检2(开:55662.5s 加:0.0s 等前:0.0s 等后:50.0s) | ST15 小跑道(开:55712.5s 加:51.0s 等前:0.0s 等后:0.0s)</t>
        </is>
      </c>
    </row>
    <row r="838">
      <c r="A838" s="13" t="n">
        <v>837</v>
      </c>
      <c r="B838" s="13" t="inlineStr">
        <is>
          <t>Car#836</t>
        </is>
      </c>
      <c r="C838" s="13" t="inlineStr">
        <is>
          <t>C</t>
        </is>
      </c>
      <c r="D838" s="14" t="n">
        <v>54309.5</v>
      </c>
      <c r="E838" s="14" t="n">
        <v>55813.5</v>
      </c>
      <c r="F838" s="14" t="n">
        <v>1504</v>
      </c>
      <c r="G838" s="14" t="n">
        <v>5960</v>
      </c>
      <c r="H838" s="13" t="inlineStr">
        <is>
          <t>Car#837</t>
        </is>
      </c>
      <c r="I838" s="14">
        <f>E838-E837</f>
        <v/>
      </c>
      <c r="J838" s="14">
        <f>I838-58</f>
        <v/>
      </c>
      <c r="K838" s="14">
        <f>MAX(0,J838)</f>
        <v/>
      </c>
      <c r="L838" s="14">
        <f>MAX(0,-J838)</f>
        <v/>
      </c>
      <c r="M838" s="14">
        <f>M837+I838</f>
        <v/>
      </c>
      <c r="N838" s="14">
        <f>D838+F838-E838</f>
        <v/>
      </c>
      <c r="O838" s="13" t="inlineStr">
        <is>
          <t>能力超目标：四轮定位上、下、ARHUD+慢充</t>
        </is>
      </c>
      <c r="P838" s="13" t="inlineStr">
        <is>
          <t>ST1 引取(开:54309.5s 加:56.0s 等前:5879.5s 等后:8.5s) | ST2 集约(开:54374.0s 加:111.0s 等前:0.0s 等后:9.5s) | ST3 空气悬挂+快充(开:54494.5s 加:108.5s 等前:0.0s 等后:23.0s) | ST4 四轮定位上、下(开:54626.0s 加:120.5s 等前:0.0s 等后:23.0s) | ST5 ADAS(开:54769.5s 加:107.0s 等前:0.0s 等后:7.5s) | ST6 ARHUD+慢充(开:54884.0s 加:143.5s 等前:0.0s 等后:0.0s) | ST7 转毂(开:55027.5s 加:114.5s 等前:0.0s 等后:0.0s) | ST8 制动(开:55142.0s 加:114.0s 等前:0.0s 等后:0.0s) | ST9 EG漏液/底盘漏液(开:55256.0s 加:112.5s 等前:0.0s 等后:0.0s) | ST10 全景/空调检查(开:55368.5s 加:0.0s 等前:0.0s 等后:0.0s) | ST11 气囊安装+绝缘(开:55368.5s 加:116.0s 等前:0.0s 等后:0.0s) | ST12 L2++(开:55484.5s 加:88.0s 等前:0.0s 等后:0.0s) | ST13 电检1(开:55572.5s 加:84.5s 等前:0.0s 等后:0.0s) | ST14 电检2(开:55657.0s 加:97.5s 等前:0.0s 等后:9.0s) | ST15 小跑道(开:55763.5s 加:50.0s 等前:0.0s 等后:0.0s)</t>
        </is>
      </c>
    </row>
    <row r="839">
      <c r="A839" s="15" t="n">
        <v>838</v>
      </c>
      <c r="B839" s="15" t="inlineStr">
        <is>
          <t>Car#839</t>
        </is>
      </c>
      <c r="C839" s="15" t="inlineStr">
        <is>
          <t>C</t>
        </is>
      </c>
      <c r="D839" s="16" t="n">
        <v>54494.5</v>
      </c>
      <c r="E839" s="16" t="n">
        <v>55918</v>
      </c>
      <c r="F839" s="16" t="n">
        <v>1423.5</v>
      </c>
      <c r="G839" s="16" t="n">
        <v>5890.5</v>
      </c>
      <c r="H839" s="15" t="inlineStr">
        <is>
          <t>Car#836</t>
        </is>
      </c>
      <c r="I839" s="16">
        <f>E839-E838</f>
        <v/>
      </c>
      <c r="J839" s="16">
        <f>I839-58</f>
        <v/>
      </c>
      <c r="K839" s="16">
        <f>MAX(0,J839)</f>
        <v/>
      </c>
      <c r="L839" s="16">
        <f>MAX(0,-J839)</f>
        <v/>
      </c>
      <c r="M839" s="16">
        <f>M838+I839</f>
        <v/>
      </c>
      <c r="N839" s="16">
        <f>D839+F839-E839</f>
        <v/>
      </c>
      <c r="O839" s="15" t="inlineStr">
        <is>
          <t>能力超目标：四轮定位上、下、ARHUD+慢充</t>
        </is>
      </c>
      <c r="P839" s="15" t="inlineStr">
        <is>
          <t>ST1 引取(开:54494.5s 加:56.0s 等前:5890.5s 等后:0.0s) | ST2 集约(开:54550.5s 加:111.0s 等前:0.0s 等后:0.0s) | ST3 空气悬挂+快充(开:54661.5s 加:108.5s 等前:0.0s 等后:0.0s) | ST4 四轮定位上、下(开:54770.0s 加:120.5s 等前:0.0s 等后:0.0s) | ST5 ADAS(开:54890.5s 加:107.0s 等前:0.0s 等后:0.0s) | ST6 ARHUD+慢充(开:54997.5s 加:143.5s 等前:0.0s 等后:0.0s) | ST7 转毂(开:55141.0s 加:114.5s 等前:0.0s 等后:0.0s) | ST8 制动(开:55255.5s 加:114.0s 等前:0.0s 等后:0.0s) | ST9 EG漏液/底盘漏液(开:55369.5s 加:112.5s 等前:0.0s 等后:0.0s) | ST10 全景/空调检查(开:55482.0s 加:0.0s 等前:0.0s 等后:0.0s) | ST11 气囊安装+绝缘(开:55482.0s 加:116.0s 等前:0.0s 等后:0.0s) | ST12 L2++(开:55598.0s 加:88.0s 等前:0.0s 等后:0.0s) | ST13 电检1(开:55686.0s 加:84.5s 等前:0.0s 等后:0.0s) | ST14 电检2(开:55770.5s 加:97.5s 等前:0.0s 等后:0.0s) | ST15 小跑道(开:55868.0s 加:50.0s 等前:0.0s 等后:0.0s)</t>
        </is>
      </c>
    </row>
    <row r="840">
      <c r="A840" s="13" t="n">
        <v>839</v>
      </c>
      <c r="B840" s="13" t="inlineStr">
        <is>
          <t>Car#841</t>
        </is>
      </c>
      <c r="C840" s="13" t="inlineStr">
        <is>
          <t>A</t>
        </is>
      </c>
      <c r="D840" s="14" t="n">
        <v>54626</v>
      </c>
      <c r="E840" s="14" t="n">
        <v>55969</v>
      </c>
      <c r="F840" s="14" t="n">
        <v>1343</v>
      </c>
      <c r="G840" s="14" t="n">
        <v>6388</v>
      </c>
      <c r="H840" s="13" t="inlineStr">
        <is>
          <t>Car#839</t>
        </is>
      </c>
      <c r="I840" s="14">
        <f>E840-E839</f>
        <v/>
      </c>
      <c r="J840" s="14">
        <f>I840-58</f>
        <v/>
      </c>
      <c r="K840" s="14">
        <f>MAX(0,J840)</f>
        <v/>
      </c>
      <c r="L840" s="14">
        <f>MAX(0,-J840)</f>
        <v/>
      </c>
      <c r="M840" s="14">
        <f>M839+I840</f>
        <v/>
      </c>
      <c r="N840" s="14">
        <f>D840+F840-E840</f>
        <v/>
      </c>
      <c r="O840" s="13" t="inlineStr">
        <is>
          <t>能力满足</t>
        </is>
      </c>
      <c r="P840" s="13" t="inlineStr">
        <is>
          <t>ST1 引取(开:54626.0s 加:55.0s 等前:5906.0s 等后:0.0s) | ST2 集约(开:54681.0s 加:106.0s 等前:0.0s 等后:0.0s) | ST3 空气悬挂+快充(开:54787.0s 加:0.0s 等前:0.0s 等后:103.5s) | ST4 四轮定位上、下(开:54890.5s 加:115.0s 等前:0.0s 等后:0.0s) | ST5 ADAS(开:55005.5s 加:97.0s 等前:0.0s 等后:38.5s) | ST6 ARHUD+慢充(开:55141.0s 加:0.0s 等前:0.0s 等后:114.5s) | ST7 转毂(开:55255.5s 加:116.0s 等前:0.0s 等后:0.0s) | ST8 制动(开:55371.5s 加:108.0s 等前:0.0s 等后:2.5s) | ST9 EG漏液/底盘漏液(开:55482.0s 加:115.0s 等前:0.0s 等后:0.0s) | ST10 全景/空调检查(开:55597.0s 加:98.0s 等前:0.0s 等后:0.0s) | ST11 气囊安装+绝缘(开:55695.0s 加:0.0s 等前:0.0s 等后:0.0s) | ST12 L2++(开:55695.0s 加:0.0s 等前:0.0s 等后:75.5s) | ST13 电检1(开:55770.5s 加:0.0s 等前:0.0s 等后:97.5s) | ST14 电检2(开:55868.0s 加:0.0s 等前:0.0s 等后:50.0s) | ST15 小跑道(开:55918.0s 加:51.0s 等前:0.0s 等后:0.0s)</t>
        </is>
      </c>
    </row>
    <row r="841">
      <c r="A841" s="15" t="n">
        <v>840</v>
      </c>
      <c r="B841" s="15" t="inlineStr">
        <is>
          <t>Car#838</t>
        </is>
      </c>
      <c r="C841" s="15" t="inlineStr">
        <is>
          <t>C</t>
        </is>
      </c>
      <c r="D841" s="16" t="n">
        <v>54429</v>
      </c>
      <c r="E841" s="16" t="n">
        <v>56019</v>
      </c>
      <c r="F841" s="16" t="n">
        <v>1590</v>
      </c>
      <c r="G841" s="16" t="n">
        <v>6049.5</v>
      </c>
      <c r="H841" s="15" t="inlineStr">
        <is>
          <t>Car#841</t>
        </is>
      </c>
      <c r="I841" s="16">
        <f>E841-E840</f>
        <v/>
      </c>
      <c r="J841" s="16">
        <f>I841-58</f>
        <v/>
      </c>
      <c r="K841" s="16">
        <f>MAX(0,J841)</f>
        <v/>
      </c>
      <c r="L841" s="16">
        <f>MAX(0,-J841)</f>
        <v/>
      </c>
      <c r="M841" s="16">
        <f>M840+I841</f>
        <v/>
      </c>
      <c r="N841" s="16">
        <f>D841+F841-E841</f>
        <v/>
      </c>
      <c r="O841" s="15" t="inlineStr">
        <is>
          <t>能力超目标：四轮定位上、下、ARHUD+慢充</t>
        </is>
      </c>
      <c r="P841" s="15" t="inlineStr">
        <is>
          <t>ST1 引取(开:54429.0s 加:56.0s 等前:5883.0s 等后:9.5s) | ST2 集约(开:54494.5s 加:111.0s 等前:0.0s 等后:20.5s) | ST3 空气悬挂+快充(开:54626.0s 加:108.5s 等前:0.0s 等后:35.0s) | ST4 四轮定位上、下(开:54769.5s 加:120.5s 等前:0.0s 等后:0.0s) | ST5 ADAS(开:54890.0s 加:107.0s 等前:0.0s 等后:30.5s) | ST6 ARHUD+慢充(开:55027.5s 加:143.5s 等前:0.0s 等后:0.0s) | ST7 转毂(开:55171.0s 加:114.5s 等前:0.0s 等后:0.0s) | ST8 制动(开:55285.5s 加:114.0s 等前:0.0s 等后:0.0s) | ST9 EG漏液/底盘漏液(开:55399.5s 加:112.5s 等前:0.0s 等后:0.0s) | ST10 全景/空调检查(开:55512.0s 加:0.0s 等前:0.0s 等后:0.0s) | ST11 气囊安装+绝缘(开:55512.0s 加:116.0s 等前:0.0s 等后:0.0s) | ST12 L2++(开:55628.0s 加:88.0s 等前:0.0s 等后:0.0s) | ST13 电检1(开:55716.0s 加:84.5s 等前:0.0s 等后:0.0s) | ST14 电检2(开:55800.5s 加:97.5s 等前:0.0s 等后:71.0s) | ST15 小跑道(开:55969.0s 加:50.0s 等前:0.0s 等后:0.0s)</t>
        </is>
      </c>
    </row>
    <row r="842">
      <c r="A842" s="13" t="n">
        <v>841</v>
      </c>
      <c r="B842" s="13" t="inlineStr">
        <is>
          <t>Car#843</t>
        </is>
      </c>
      <c r="C842" s="13" t="inlineStr">
        <is>
          <t>A</t>
        </is>
      </c>
      <c r="D842" s="14" t="n">
        <v>54769.5</v>
      </c>
      <c r="E842" s="14" t="n">
        <v>56070</v>
      </c>
      <c r="F842" s="14" t="n">
        <v>1300.5</v>
      </c>
      <c r="G842" s="14" t="n">
        <v>6373</v>
      </c>
      <c r="H842" s="13" t="inlineStr">
        <is>
          <t>Car#838</t>
        </is>
      </c>
      <c r="I842" s="14">
        <f>E842-E841</f>
        <v/>
      </c>
      <c r="J842" s="14">
        <f>I842-58</f>
        <v/>
      </c>
      <c r="K842" s="14">
        <f>MAX(0,J842)</f>
        <v/>
      </c>
      <c r="L842" s="14">
        <f>MAX(0,-J842)</f>
        <v/>
      </c>
      <c r="M842" s="14">
        <f>M841+I842</f>
        <v/>
      </c>
      <c r="N842" s="14">
        <f>D842+F842-E842</f>
        <v/>
      </c>
      <c r="O842" s="13" t="inlineStr">
        <is>
          <t>能力满足</t>
        </is>
      </c>
      <c r="P842" s="13" t="inlineStr">
        <is>
          <t>ST1 引取(开:54769.5s 加:55.0s 等前:5933.5s 等后:0.0s) | ST2 集约(开:54824.5s 加:106.0s 等前:0.0s 等后:0.0s) | ST3 空气悬挂+快充(开:54930.5s 加:0.0s 等前:0.0s 等后:75.0s) | ST4 四轮定位上、下(开:55005.5s 加:115.0s 等前:0.0s 等后:20.5s) | ST5 ADAS(开:55141.0s 加:97.0s 等前:0.0s 等后:17.5s) | ST6 ARHUD+慢充(开:55255.5s 加:0.0s 等前:0.0s 等后:116.0s) | ST7 转毂(开:55371.5s 加:116.0s 等前:0.0s 等后:0.0s) | ST8 制动(开:55487.5s 加:108.0s 等前:0.0s 等后:1.5s) | ST9 EG漏液/底盘漏液(开:55597.0s 加:115.0s 等前:0.0s 等后:0.0s) | ST10 全景/空调检查(开:55712.0s 加:98.0s 等前:0.0s 等后:0.0s) | ST11 气囊安装+绝缘(开:55810.0s 加:0.0s 等前:0.0s 等后:0.0s) | ST12 L2++(开:55810.0s 加:0.0s 等前:0.0s 等后:58.0s) | ST13 电检1(开:55868.0s 加:0.0s 等前:0.0s 等后:50.0s) | ST14 电检2(开:55918.0s 加:0.0s 等前:0.0s 等后:101.0s) | ST15 小跑道(开:56019.0s 加:51.0s 等前:0.0s 等后:0.0s)</t>
        </is>
      </c>
    </row>
    <row r="843">
      <c r="A843" s="15" t="n">
        <v>842</v>
      </c>
      <c r="B843" s="15" t="inlineStr">
        <is>
          <t>Car#840</t>
        </is>
      </c>
      <c r="C843" s="15" t="inlineStr">
        <is>
          <t>C</t>
        </is>
      </c>
      <c r="D843" s="16" t="n">
        <v>54550.5</v>
      </c>
      <c r="E843" s="16" t="n">
        <v>56120</v>
      </c>
      <c r="F843" s="16" t="n">
        <v>1569.5</v>
      </c>
      <c r="G843" s="16" t="n">
        <v>6034.5</v>
      </c>
      <c r="H843" s="15" t="inlineStr">
        <is>
          <t>Car#843</t>
        </is>
      </c>
      <c r="I843" s="16">
        <f>E843-E842</f>
        <v/>
      </c>
      <c r="J843" s="16">
        <f>I843-58</f>
        <v/>
      </c>
      <c r="K843" s="16">
        <f>MAX(0,J843)</f>
        <v/>
      </c>
      <c r="L843" s="16">
        <f>MAX(0,-J843)</f>
        <v/>
      </c>
      <c r="M843" s="16">
        <f>M842+I843</f>
        <v/>
      </c>
      <c r="N843" s="16">
        <f>D843+F843-E843</f>
        <v/>
      </c>
      <c r="O843" s="15" t="inlineStr">
        <is>
          <t>能力超目标：四轮定位上、下、ARHUD+慢充</t>
        </is>
      </c>
      <c r="P843" s="15" t="inlineStr">
        <is>
          <t>ST1 引取(开:54550.5s 加:56.0s 等前:5888.5s 等后:19.5s) | ST2 集约(开:54626.0s 加:111.0s 等前:0.0s 等后:32.5s) | ST3 空气悬挂+快充(开:54769.5s 加:108.5s 等前:0.0s 等后:12.0s) | ST4 四轮定位上、下(开:54890.0s 加:120.5s 等前:0.0s 等后:17.0s) | ST5 ADAS(开:55027.5s 加:107.0s 等前:0.0s 等后:36.5s) | ST6 ARHUD+慢充(开:55171.0s 加:143.5s 等前:0.0s 等后:0.0s) | ST7 转毂(开:55314.5s 加:114.5s 等前:0.0s 等后:0.0s) | ST8 制动(开:55429.0s 加:114.0s 等前:0.0s 等后:0.0s) | ST9 EG漏液/底盘漏液(开:55543.0s 加:112.5s 等前:0.0s 等后:0.0s) | ST10 全景/空调检查(开:55655.5s 加:0.0s 等前:0.0s 等后:0.0s) | ST11 气囊安装+绝缘(开:55655.5s 加:116.0s 等前:0.0s 等后:0.0s) | ST12 L2++(开:55771.5s 加:88.0s 等前:0.0s 等后:0.0s) | ST13 电检1(开:55859.5s 加:84.5s 等前:0.0s 等后:25.0s) | ST14 电检2(开:55969.0s 加:97.5s 等前:0.0s 等后:3.5s) | ST15 小跑道(开:56070.0s 加:50.0s 等前:0.0s 等后:0.0s)</t>
        </is>
      </c>
    </row>
    <row r="844">
      <c r="A844" s="13" t="n">
        <v>843</v>
      </c>
      <c r="B844" s="13" t="inlineStr">
        <is>
          <t>Car#842</t>
        </is>
      </c>
      <c r="C844" s="13" t="inlineStr">
        <is>
          <t>A</t>
        </is>
      </c>
      <c r="D844" s="14" t="n">
        <v>54681</v>
      </c>
      <c r="E844" s="14" t="n">
        <v>56171</v>
      </c>
      <c r="F844" s="14" t="n">
        <v>1490</v>
      </c>
      <c r="G844" s="14" t="n">
        <v>6532</v>
      </c>
      <c r="H844" s="13" t="inlineStr">
        <is>
          <t>Car#840</t>
        </is>
      </c>
      <c r="I844" s="14">
        <f>E844-E843</f>
        <v/>
      </c>
      <c r="J844" s="14">
        <f>I844-58</f>
        <v/>
      </c>
      <c r="K844" s="14">
        <f>MAX(0,J844)</f>
        <v/>
      </c>
      <c r="L844" s="14">
        <f>MAX(0,-J844)</f>
        <v/>
      </c>
      <c r="M844" s="14">
        <f>M843+I844</f>
        <v/>
      </c>
      <c r="N844" s="14">
        <f>D844+F844-E844</f>
        <v/>
      </c>
      <c r="O844" s="13" t="inlineStr">
        <is>
          <t>能力满足</t>
        </is>
      </c>
      <c r="P844" s="13" t="inlineStr">
        <is>
          <t>ST1 引取(开:54681.0s 加:55.0s 等前:5903.0s 等后:33.5s) | ST2 集约(开:54769.5s 加:106.0s 等前:0.0s 等后:14.5s) | ST3 空气悬挂+快充(开:54890.0s 加:0.0s 等前:0.0s 等后:137.5s) | ST4 四轮定位上、下(开:55027.5s 加:115.0s 等前:0.0s 等后:28.5s) | ST5 ADAS(开:55171.0s 加:97.0s 等前:0.0s 等后:46.5s) | ST6 ARHUD+慢充(开:55314.5s 加:0.0s 等前:0.0s 等后:114.5s) | ST7 转毂(开:55429.0s 加:116.0s 等前:0.0s 等后:0.0s) | ST8 制动(开:55545.0s 加:108.0s 等前:0.0s 等后:2.5s) | ST9 EG漏液/底盘漏液(开:55655.5s 加:115.0s 等前:0.0s 等后:0.0s) | ST10 全景/空调检查(开:55770.5s 加:98.0s 等前:0.0s 等后:0.0s) | ST11 气囊安装+绝缘(开:55868.5s 加:0.0s 等前:0.0s 等后:0.0s) | ST12 L2++(开:55868.5s 加:0.0s 等前:0.0s 等后:100.5s) | ST13 电检1(开:55969.0s 加:0.0s 等前:0.0s 等后:101.0s) | ST14 电检2(开:56070.0s 加:0.0s 等前:0.0s 等后:50.0s) | ST15 小跑道(开:56120.0s 加:51.0s 等前:0.0s 等后:0.0s)</t>
        </is>
      </c>
    </row>
    <row r="845">
      <c r="A845" s="15" t="n">
        <v>844</v>
      </c>
      <c r="B845" s="15" t="inlineStr">
        <is>
          <t>Car#845</t>
        </is>
      </c>
      <c r="C845" s="15" t="inlineStr">
        <is>
          <t>B</t>
        </is>
      </c>
      <c r="D845" s="16" t="n">
        <v>54890</v>
      </c>
      <c r="E845" s="16" t="n">
        <v>56264.5</v>
      </c>
      <c r="F845" s="16" t="n">
        <v>1374.5</v>
      </c>
      <c r="G845" s="16" t="n">
        <v>5981</v>
      </c>
      <c r="H845" s="15" t="inlineStr">
        <is>
          <t>Car#842</t>
        </is>
      </c>
      <c r="I845" s="16">
        <f>E845-E844</f>
        <v/>
      </c>
      <c r="J845" s="16">
        <f>I845-58</f>
        <v/>
      </c>
      <c r="K845" s="16">
        <f>MAX(0,J845)</f>
        <v/>
      </c>
      <c r="L845" s="16">
        <f>MAX(0,-J845)</f>
        <v/>
      </c>
      <c r="M845" s="16">
        <f>M844+I845</f>
        <v/>
      </c>
      <c r="N845" s="16">
        <f>D845+F845-E845</f>
        <v/>
      </c>
      <c r="O845" s="15" t="inlineStr">
        <is>
          <t>能力超目标：四轮定位上、下</t>
        </is>
      </c>
      <c r="P845" s="15" t="inlineStr">
        <is>
          <t>ST1 引取(开:54890.0s 加:56.0s 等前:5938.0s 等后:0.0s) | ST2 集约(开:54946.0s 加:111.0s 等前:0.0s 等后:0.0s) | ST3 空气悬挂+快充(开:55057.0s 加:108.5s 等前:0.0s 等后:0.0s) | ST4 四轮定位上、下(开:55165.5s 加:120.5s 等前:0.0s 等后:0.0s) | ST5 ADAS(开:55286.0s 加:107.0s 等前:0.0s 等后:0.0s) | ST6 ARHUD+慢充(开:55393.0s 加:51.5s 等前:0.0s 等后:43.0s) | ST7 转毂(开:55487.5s 加:114.5s 等前:0.0s 等后:0.0s) | ST8 制动(开:55602.0s 加:114.0s 等前:0.0s 等后:0.0s) | ST9 EG漏液/底盘漏液(开:55716.0s 加:112.5s 等前:0.0s 等后:0.0s) | ST10 全景/空调检查(开:55828.5s 加:0.0s 等前:0.0s 等后:0.0s) | ST11 气囊安装+绝缘(开:55828.5s 加:116.0s 等前:0.0s 等后:0.0s) | ST12 L2++(开:55944.5s 加:88.0s 等前:0.0s 等后:0.0s) | ST13 电检1(开:56032.5s 加:84.5s 等前:0.0s 等后:0.0s) | ST14 电检2(开:56117.0s 加:97.5s 等前:0.0s 等后:0.0s) | ST15 小跑道(开:56214.5s 加:50.0s 等前:0.0s 等后:0.0s)</t>
        </is>
      </c>
    </row>
    <row r="846">
      <c r="A846" s="13" t="n">
        <v>845</v>
      </c>
      <c r="B846" s="13" t="inlineStr">
        <is>
          <t>Car#844</t>
        </is>
      </c>
      <c r="C846" s="13" t="inlineStr">
        <is>
          <t>C</t>
        </is>
      </c>
      <c r="D846" s="14" t="n">
        <v>54824.5</v>
      </c>
      <c r="E846" s="14" t="n">
        <v>56349.5</v>
      </c>
      <c r="F846" s="14" t="n">
        <v>1525</v>
      </c>
      <c r="G846" s="14" t="n">
        <v>6032</v>
      </c>
      <c r="H846" s="13" t="inlineStr">
        <is>
          <t>Car#845</t>
        </is>
      </c>
      <c r="I846" s="14">
        <f>E846-E845</f>
        <v/>
      </c>
      <c r="J846" s="14">
        <f>I846-58</f>
        <v/>
      </c>
      <c r="K846" s="14">
        <f>MAX(0,J846)</f>
        <v/>
      </c>
      <c r="L846" s="14">
        <f>MAX(0,-J846)</f>
        <v/>
      </c>
      <c r="M846" s="14">
        <f>M845+I846</f>
        <v/>
      </c>
      <c r="N846" s="14">
        <f>D846+F846-E846</f>
        <v/>
      </c>
      <c r="O846" s="13" t="inlineStr">
        <is>
          <t>能力超目标：四轮定位上、下、ARHUD+慢充</t>
        </is>
      </c>
      <c r="P846" s="13" t="inlineStr">
        <is>
          <t>ST1 引取(开:54824.5s 加:56.0s 等前:5930.5s 等后:9.5s) | ST2 集约(开:54890.0s 加:111.0s 等前:0.0s 等后:26.5s) | ST3 空气悬挂+快充(开:55027.5s 加:108.5s 等前:0.0s 等后:35.0s) | ST4 四轮定位上、下(开:55171.0s 加:120.5s 等前:0.0s 等后:23.0s) | ST5 ADAS(开:55314.5s 加:107.0s 等前:0.0s 等后:7.5s) | ST6 ARHUD+慢充(开:55429.0s 加:143.5s 等前:0.0s 等后:0.0s) | ST7 转毂(开:55572.5s 加:114.5s 等前:0.0s 等后:0.0s) | ST8 制动(开:55687.0s 加:114.0s 等前:0.0s 等后:0.0s) | ST9 EG漏液/底盘漏液(开:55801.0s 加:112.5s 等前:0.0s 等后:0.0s) | ST10 全景/空调检查(开:55913.5s 加:0.0s 等前:0.0s 等后:0.0s) | ST11 气囊安装+绝缘(开:55913.5s 加:116.0s 等前:0.0s 等后:0.0s) | ST12 L2++(开:56029.5s 加:88.0s 等前:0.0s 等后:0.0s) | ST13 电检1(开:56117.5s 加:84.5s 等前:0.0s 等后:0.0s) | ST14 电检2(开:56202.0s 加:97.5s 等前:0.0s 等后:0.0s) | ST15 小跑道(开:56299.5s 加:50.0s 等前:0.0s 等后:0.0s)</t>
        </is>
      </c>
    </row>
    <row r="847">
      <c r="A847" s="15" t="n">
        <v>846</v>
      </c>
      <c r="B847" s="15" t="inlineStr">
        <is>
          <t>Car#847</t>
        </is>
      </c>
      <c r="C847" s="15" t="inlineStr">
        <is>
          <t>C</t>
        </is>
      </c>
      <c r="D847" s="16" t="n">
        <v>55027.5</v>
      </c>
      <c r="E847" s="16" t="n">
        <v>56451</v>
      </c>
      <c r="F847" s="16" t="n">
        <v>1423.5</v>
      </c>
      <c r="G847" s="16" t="n">
        <v>5959.5</v>
      </c>
      <c r="H847" s="15" t="inlineStr">
        <is>
          <t>Car#844</t>
        </is>
      </c>
      <c r="I847" s="16">
        <f>E847-E846</f>
        <v/>
      </c>
      <c r="J847" s="16">
        <f>I847-58</f>
        <v/>
      </c>
      <c r="K847" s="16">
        <f>MAX(0,J847)</f>
        <v/>
      </c>
      <c r="L847" s="16">
        <f>MAX(0,-J847)</f>
        <v/>
      </c>
      <c r="M847" s="16">
        <f>M846+I847</f>
        <v/>
      </c>
      <c r="N847" s="16">
        <f>D847+F847-E847</f>
        <v/>
      </c>
      <c r="O847" s="15" t="inlineStr">
        <is>
          <t>能力超目标：四轮定位上、下、ARHUD+慢充</t>
        </is>
      </c>
      <c r="P847" s="15" t="inlineStr">
        <is>
          <t>ST1 引取(开:55027.5s 加:56.0s 等前:5959.5s 等后:0.0s) | ST2 集约(开:55083.5s 加:111.0s 等前:0.0s 等后:0.0s) | ST3 空气悬挂+快充(开:55194.5s 加:108.5s 等前:0.0s 等后:0.0s) | ST4 四轮定位上、下(开:55303.0s 加:120.5s 等前:0.0s 等后:0.0s) | ST5 ADAS(开:55423.5s 加:107.0s 等前:0.0s 等后:0.0s) | ST6 ARHUD+慢充(开:55530.5s 加:143.5s 等前:0.0s 等后:0.0s) | ST7 转毂(开:55674.0s 加:114.5s 等前:0.0s 等后:0.0s) | ST8 制动(开:55788.5s 加:114.0s 等前:0.0s 等后:0.0s) | ST9 EG漏液/底盘漏液(开:55902.5s 加:112.5s 等前:0.0s 等后:0.0s) | ST10 全景/空调检查(开:56015.0s 加:0.0s 等前:0.0s 等后:0.0s) | ST11 气囊安装+绝缘(开:56015.0s 加:116.0s 等前:0.0s 等后:0.0s) | ST12 L2++(开:56131.0s 加:88.0s 等前:0.0s 等后:0.0s) | ST13 电检1(开:56219.0s 加:84.5s 等前:0.0s 等后:0.0s) | ST14 电检2(开:56303.5s 加:97.5s 等前:0.0s 等后:0.0s) | ST15 小跑道(开:56401.0s 加:50.0s 等前:0.0s 等后:0.0s)</t>
        </is>
      </c>
    </row>
    <row r="848">
      <c r="A848" s="13" t="n">
        <v>847</v>
      </c>
      <c r="B848" s="13" t="inlineStr">
        <is>
          <t>Car#846</t>
        </is>
      </c>
      <c r="C848" s="13" t="inlineStr">
        <is>
          <t>C</t>
        </is>
      </c>
      <c r="D848" s="14" t="n">
        <v>54946</v>
      </c>
      <c r="E848" s="14" t="n">
        <v>56501</v>
      </c>
      <c r="F848" s="14" t="n">
        <v>1555</v>
      </c>
      <c r="G848" s="14" t="n">
        <v>6067.5</v>
      </c>
      <c r="H848" s="13" t="inlineStr">
        <is>
          <t>Car#847</t>
        </is>
      </c>
      <c r="I848" s="14">
        <f>E848-E847</f>
        <v/>
      </c>
      <c r="J848" s="14">
        <f>I848-58</f>
        <v/>
      </c>
      <c r="K848" s="14">
        <f>MAX(0,J848)</f>
        <v/>
      </c>
      <c r="L848" s="14">
        <f>MAX(0,-J848)</f>
        <v/>
      </c>
      <c r="M848" s="14">
        <f>M847+I848</f>
        <v/>
      </c>
      <c r="N848" s="14">
        <f>D848+F848-E848</f>
        <v/>
      </c>
      <c r="O848" s="13" t="inlineStr">
        <is>
          <t>能力超目标：四轮定位上、下、ARHUD+慢充</t>
        </is>
      </c>
      <c r="P848" s="13" t="inlineStr">
        <is>
          <t>ST1 引取(开:54946.0s 加:56.0s 等前:5936.0s 等后:25.5s) | ST2 集约(开:55027.5s 加:111.0s 等前:0.0s 等后:32.5s) | ST3 空气悬挂+快充(开:55171.0s 加:108.5s 等前:0.0s 等后:35.0s) | ST4 四轮定位上、下(开:55314.5s 加:120.5s 等前:0.0s 等后:0.0s) | ST5 ADAS(开:55435.0s 加:107.0s 等前:0.0s 等后:30.5s) | ST6 ARHUD+慢充(开:55572.5s 加:143.5s 等前:0.0s 等后:0.0s) | ST7 转毂(开:55716.0s 加:114.5s 等前:0.0s 等后:0.0s) | ST8 制动(开:55830.5s 加:114.0s 等前:0.0s 等后:0.0s) | ST9 EG漏液/底盘漏液(开:55944.5s 加:112.5s 等前:0.0s 等后:0.0s) | ST10 全景/空调检查(开:56057.0s 加:0.0s 等前:0.0s 等后:0.0s) | ST11 气囊安装+绝缘(开:56057.0s 加:116.0s 等前:0.0s 等后:0.0s) | ST12 L2++(开:56173.0s 加:88.0s 等前:0.0s 等后:0.0s) | ST13 电检1(开:56261.0s 加:84.5s 等前:0.0s 等后:0.0s) | ST14 电检2(开:56345.5s 加:97.5s 等前:0.0s 等后:8.0s) | ST15 小跑道(开:56451.0s 加:50.0s 等前:0.0s 等后:0.0s)</t>
        </is>
      </c>
    </row>
    <row r="849">
      <c r="A849" s="15" t="n">
        <v>848</v>
      </c>
      <c r="B849" s="15" t="inlineStr">
        <is>
          <t>Car#849</t>
        </is>
      </c>
      <c r="C849" s="15" t="inlineStr">
        <is>
          <t>B</t>
        </is>
      </c>
      <c r="D849" s="16" t="n">
        <v>55171</v>
      </c>
      <c r="E849" s="16" t="n">
        <v>56567</v>
      </c>
      <c r="F849" s="16" t="n">
        <v>1396</v>
      </c>
      <c r="G849" s="16" t="n">
        <v>6051.5</v>
      </c>
      <c r="H849" s="15" t="inlineStr">
        <is>
          <t>Car#846</t>
        </is>
      </c>
      <c r="I849" s="16">
        <f>E849-E848</f>
        <v/>
      </c>
      <c r="J849" s="16">
        <f>I849-58</f>
        <v/>
      </c>
      <c r="K849" s="16">
        <f>MAX(0,J849)</f>
        <v/>
      </c>
      <c r="L849" s="16">
        <f>MAX(0,-J849)</f>
        <v/>
      </c>
      <c r="M849" s="16">
        <f>M848+I849</f>
        <v/>
      </c>
      <c r="N849" s="16">
        <f>D849+F849-E849</f>
        <v/>
      </c>
      <c r="O849" s="15" t="inlineStr">
        <is>
          <t>能力超目标：四轮定位上、下</t>
        </is>
      </c>
      <c r="P849" s="15" t="inlineStr">
        <is>
          <t>ST1 引取(开:55171.0s 加:56.0s 等前:5987.0s 等后:0.0s) | ST2 集约(开:55227.0s 加:111.0s 等前:0.0s 等后:0.0s) | ST3 空气悬挂+快充(开:55338.0s 加:108.5s 等前:0.0s 等后:0.0s) | ST4 四轮定位上、下(开:55446.5s 加:120.5s 等前:0.0s 等后:0.0s) | ST5 ADAS(开:55567.0s 加:107.0s 等前:0.0s 等后:0.0s) | ST6 ARHUD+慢充(开:55674.0s 加:51.5s 等前:0.0s 等后:63.0s) | ST7 转毂(开:55788.5s 加:114.5s 等前:0.0s 等后:0.0s) | ST8 制动(开:55903.0s 加:114.0s 等前:0.0s 等后:0.0s) | ST9 EG漏液/底盘漏液(开:56017.0s 加:112.5s 等前:0.0s 等后:0.0s) | ST10 全景/空调检查(开:56129.5s 加:0.0s 等前:0.0s 等后:1.5s) | ST11 气囊安装+绝缘(开:56131.0s 加:116.0s 等前:0.0s 等后:0.0s) | ST12 L2++(开:56247.0s 加:88.0s 等前:0.0s 等后:0.0s) | ST13 电检1(开:56335.0s 加:84.5s 等前:0.0s 等后:0.0s) | ST14 电检2(开:56419.5s 加:97.5s 等前:0.0s 等后:0.0s) | ST15 小跑道(开:56517.0s 加:50.0s 等前:0.0s 等后:0.0s)</t>
        </is>
      </c>
    </row>
    <row r="850">
      <c r="A850" s="13" t="n">
        <v>849</v>
      </c>
      <c r="B850" s="13" t="inlineStr">
        <is>
          <t>Car#848</t>
        </is>
      </c>
      <c r="C850" s="13" t="inlineStr">
        <is>
          <t>B</t>
        </is>
      </c>
      <c r="D850" s="14" t="n">
        <v>55083.5</v>
      </c>
      <c r="E850" s="14" t="n">
        <v>56617</v>
      </c>
      <c r="F850" s="14" t="n">
        <v>1533.5</v>
      </c>
      <c r="G850" s="14" t="n">
        <v>6159.5</v>
      </c>
      <c r="H850" s="13" t="inlineStr">
        <is>
          <t>Car#849</t>
        </is>
      </c>
      <c r="I850" s="14">
        <f>E850-E849</f>
        <v/>
      </c>
      <c r="J850" s="14">
        <f>I850-58</f>
        <v/>
      </c>
      <c r="K850" s="14">
        <f>MAX(0,J850)</f>
        <v/>
      </c>
      <c r="L850" s="14">
        <f>MAX(0,-J850)</f>
        <v/>
      </c>
      <c r="M850" s="14">
        <f>M849+I850</f>
        <v/>
      </c>
      <c r="N850" s="14">
        <f>D850+F850-E850</f>
        <v/>
      </c>
      <c r="O850" s="13" t="inlineStr">
        <is>
          <t>能力超目标：四轮定位上、下</t>
        </is>
      </c>
      <c r="P850" s="13" t="inlineStr">
        <is>
          <t>ST1 引取(开:55083.5s 加:56.0s 等前:5957.5s 等后:31.5s) | ST2 集约(开:55171.0s 加:111.0s 等前:0.0s 等后:32.5s) | ST3 空气悬挂+快充(开:55314.5s 加:108.5s 等前:0.0s 等后:12.0s) | ST4 四轮定位上、下(开:55435.0s 加:120.5s 等前:0.0s 等后:17.0s) | ST5 ADAS(开:55572.5s 加:107.0s 等前:0.0s 等后:36.5s) | ST6 ARHUD+慢充(开:55716.0s 加:51.5s 等前:0.0s 等后:63.0s) | ST7 转毂(开:55830.5s 加:114.5s 等前:0.0s 等后:0.0s) | ST8 制动(开:55945.0s 加:114.0s 等前:0.0s 等后:0.0s) | ST9 EG漏液/底盘漏液(开:56059.0s 加:112.5s 等前:0.0s 等后:0.0s) | ST10 全景/空调检查(开:56171.5s 加:0.0s 等前:0.0s 等后:1.5s) | ST11 气囊安装+绝缘(开:56173.0s 加:116.0s 等前:0.0s 等后:0.0s) | ST12 L2++(开:56289.0s 加:88.0s 等前:0.0s 等后:0.0s) | ST13 电检1(开:56377.0s 加:84.5s 等前:0.0s 等后:0.0s) | ST14 电检2(开:56461.5s 加:97.5s 等前:0.0s 等后:8.0s) | ST15 小跑道(开:56567.0s 加:50.0s 等前:0.0s 等后:0.0s)</t>
        </is>
      </c>
    </row>
    <row r="851">
      <c r="A851" s="15" t="n">
        <v>850</v>
      </c>
      <c r="B851" s="15" t="inlineStr">
        <is>
          <t>Car#851</t>
        </is>
      </c>
      <c r="C851" s="15" t="inlineStr">
        <is>
          <t>C</t>
        </is>
      </c>
      <c r="D851" s="16" t="n">
        <v>55314.5</v>
      </c>
      <c r="E851" s="16" t="n">
        <v>56738</v>
      </c>
      <c r="F851" s="16" t="n">
        <v>1423.5</v>
      </c>
      <c r="G851" s="16" t="n">
        <v>6014.5</v>
      </c>
      <c r="H851" s="15" t="inlineStr">
        <is>
          <t>Car#848</t>
        </is>
      </c>
      <c r="I851" s="16">
        <f>E851-E850</f>
        <v/>
      </c>
      <c r="J851" s="16">
        <f>I851-58</f>
        <v/>
      </c>
      <c r="K851" s="16">
        <f>MAX(0,J851)</f>
        <v/>
      </c>
      <c r="L851" s="16">
        <f>MAX(0,-J851)</f>
        <v/>
      </c>
      <c r="M851" s="16">
        <f>M850+I851</f>
        <v/>
      </c>
      <c r="N851" s="16">
        <f>D851+F851-E851</f>
        <v/>
      </c>
      <c r="O851" s="15" t="inlineStr">
        <is>
          <t>能力超目标：四轮定位上、下、ARHUD+慢充</t>
        </is>
      </c>
      <c r="P851" s="15" t="inlineStr">
        <is>
          <t>ST1 引取(开:55314.5s 加:56.0s 等前:6014.5s 等后:0.0s) | ST2 集约(开:55370.5s 加:111.0s 等前:0.0s 等后:0.0s) | ST3 空气悬挂+快充(开:55481.5s 加:108.5s 等前:0.0s 等后:0.0s) | ST4 四轮定位上、下(开:55590.0s 加:120.5s 等前:0.0s 等后:0.0s) | ST5 ADAS(开:55710.5s 加:107.0s 等前:0.0s 等后:0.0s) | ST6 ARHUD+慢充(开:55817.5s 加:143.5s 等前:0.0s 等后:0.0s) | ST7 转毂(开:55961.0s 加:114.5s 等前:0.0s 等后:0.0s) | ST8 制动(开:56075.5s 加:114.0s 等前:0.0s 等后:0.0s) | ST9 EG漏液/底盘漏液(开:56189.5s 加:112.5s 等前:0.0s 等后:0.0s) | ST10 全景/空调检查(开:56302.0s 加:0.0s 等前:0.0s 等后:0.0s) | ST11 气囊安装+绝缘(开:56302.0s 加:116.0s 等前:0.0s 等后:0.0s) | ST12 L2++(开:56418.0s 加:88.0s 等前:0.0s 等后:0.0s) | ST13 电检1(开:56506.0s 加:84.5s 等前:0.0s 等后:0.0s) | ST14 电检2(开:56590.5s 加:97.5s 等前:0.0s 等后:0.0s) | ST15 小跑道(开:56688.0s 加:50.0s 等前:0.0s 等后:0.0s)</t>
        </is>
      </c>
    </row>
    <row r="852">
      <c r="A852" s="13" t="n">
        <v>851</v>
      </c>
      <c r="B852" s="13" t="inlineStr">
        <is>
          <t>Car#853</t>
        </is>
      </c>
      <c r="C852" s="13" t="inlineStr">
        <is>
          <t>A</t>
        </is>
      </c>
      <c r="D852" s="14" t="n">
        <v>55435</v>
      </c>
      <c r="E852" s="14" t="n">
        <v>56789</v>
      </c>
      <c r="F852" s="14" t="n">
        <v>1354</v>
      </c>
      <c r="G852" s="14" t="n">
        <v>6512</v>
      </c>
      <c r="H852" s="13" t="inlineStr">
        <is>
          <t>Car#851</t>
        </is>
      </c>
      <c r="I852" s="14">
        <f>E852-E851</f>
        <v/>
      </c>
      <c r="J852" s="14">
        <f>I852-58</f>
        <v/>
      </c>
      <c r="K852" s="14">
        <f>MAX(0,J852)</f>
        <v/>
      </c>
      <c r="L852" s="14">
        <f>MAX(0,-J852)</f>
        <v/>
      </c>
      <c r="M852" s="14">
        <f>M851+I852</f>
        <v/>
      </c>
      <c r="N852" s="14">
        <f>D852+F852-E852</f>
        <v/>
      </c>
      <c r="O852" s="13" t="inlineStr">
        <is>
          <t>能力满足</t>
        </is>
      </c>
      <c r="P852" s="13" t="inlineStr">
        <is>
          <t>ST1 引取(开:55435.0s 加:55.0s 等前:6019.0s 等后:0.0s) | ST2 集约(开:55490.0s 加:106.0s 等前:0.0s 等后:0.0s) | ST3 空气悬挂+快充(开:55596.0s 加:0.0s 等前:0.0s 等后:114.5s) | ST4 四轮定位上、下(开:55710.5s 加:115.0s 等前:0.0s 等后:0.0s) | ST5 ADAS(开:55825.5s 加:97.0s 等前:0.0s 等后:38.5s) | ST6 ARHUD+慢充(开:55961.0s 加:0.0s 等前:0.0s 等后:114.5s) | ST7 转毂(开:56075.5s 加:116.0s 等前:0.0s 等后:0.0s) | ST8 制动(开:56191.5s 加:108.0s 等前:0.0s 等后:2.5s) | ST9 EG漏液/底盘漏液(开:56302.0s 加:115.0s 等前:0.0s 等后:0.0s) | ST10 全景/空调检查(开:56417.0s 加:98.0s 等前:0.0s 等后:0.0s) | ST11 气囊安装+绝缘(开:56515.0s 加:0.0s 等前:0.0s 等后:0.0s) | ST12 L2++(开:56515.0s 加:0.0s 等前:0.0s 等后:75.5s) | ST13 电检1(开:56590.5s 加:0.0s 等前:0.0s 等后:97.5s) | ST14 电检2(开:56688.0s 加:0.0s 等前:0.0s 等后:50.0s) | ST15 小跑道(开:56738.0s 加:51.0s 等前:0.0s 等后:0.0s)</t>
        </is>
      </c>
    </row>
    <row r="853">
      <c r="A853" s="15" t="n">
        <v>852</v>
      </c>
      <c r="B853" s="15" t="inlineStr">
        <is>
          <t>Car#850</t>
        </is>
      </c>
      <c r="C853" s="15" t="inlineStr">
        <is>
          <t>C</t>
        </is>
      </c>
      <c r="D853" s="16" t="n">
        <v>55227</v>
      </c>
      <c r="E853" s="16" t="n">
        <v>56839</v>
      </c>
      <c r="F853" s="16" t="n">
        <v>1612</v>
      </c>
      <c r="G853" s="16" t="n">
        <v>6173.5</v>
      </c>
      <c r="H853" s="15" t="inlineStr">
        <is>
          <t>Car#853</t>
        </is>
      </c>
      <c r="I853" s="16">
        <f>E853-E852</f>
        <v/>
      </c>
      <c r="J853" s="16">
        <f>I853-58</f>
        <v/>
      </c>
      <c r="K853" s="16">
        <f>MAX(0,J853)</f>
        <v/>
      </c>
      <c r="L853" s="16">
        <f>MAX(0,-J853)</f>
        <v/>
      </c>
      <c r="M853" s="16">
        <f>M852+I853</f>
        <v/>
      </c>
      <c r="N853" s="16">
        <f>D853+F853-E853</f>
        <v/>
      </c>
      <c r="O853" s="15" t="inlineStr">
        <is>
          <t>能力超目标：四轮定位上、下、ARHUD+慢充</t>
        </is>
      </c>
      <c r="P853" s="15" t="inlineStr">
        <is>
          <t>ST1 引取(开:55227.0s 加:56.0s 等前:5985.0s 等后:31.5s) | ST2 集约(开:55314.5s 加:111.0s 等前:0.0s 等后:9.5s) | ST3 空气悬挂+快充(开:55435.0s 加:108.5s 等前:0.0s 等后:29.0s) | ST4 四轮定位上、下(开:55572.5s 加:120.5s 等前:0.0s 等后:23.0s) | ST5 ADAS(开:55716.0s 加:107.0s 等前:0.0s 等后:7.5s) | ST6 ARHUD+慢充(开:55830.5s 加:143.5s 等前:0.0s 等后:0.0s) | ST7 转毂(开:55974.0s 加:114.5s 等前:0.0s 等后:0.0s) | ST8 制动(开:56088.5s 加:114.0s 等前:0.0s 等后:0.0s) | ST9 EG漏液/底盘漏液(开:56202.5s 加:112.5s 等前:0.0s 等后:0.0s) | ST10 全景/空调检查(开:56315.0s 加:0.0s 等前:0.0s 等后:0.0s) | ST11 气囊安装+绝缘(开:56315.0s 加:116.0s 等前:0.0s 等后:0.0s) | ST12 L2++(开:56431.0s 加:88.0s 等前:0.0s 等后:0.0s) | ST13 电检1(开:56519.0s 加:84.5s 等前:0.0s 等后:0.0s) | ST14 电检2(开:56603.5s 加:97.5s 等前:0.0s 等后:88.0s) | ST15 小跑道(开:56789.0s 加:50.0s 等前:0.0s 等后:0.0s)</t>
        </is>
      </c>
    </row>
    <row r="854">
      <c r="A854" s="13" t="n">
        <v>853</v>
      </c>
      <c r="B854" s="13" t="inlineStr">
        <is>
          <t>Car#855</t>
        </is>
      </c>
      <c r="C854" s="13" t="inlineStr">
        <is>
          <t>A</t>
        </is>
      </c>
      <c r="D854" s="14" t="n">
        <v>55572.5</v>
      </c>
      <c r="E854" s="14" t="n">
        <v>56890</v>
      </c>
      <c r="F854" s="14" t="n">
        <v>1317.5</v>
      </c>
      <c r="G854" s="14" t="n">
        <v>6497</v>
      </c>
      <c r="H854" s="13" t="inlineStr">
        <is>
          <t>Car#850</t>
        </is>
      </c>
      <c r="I854" s="14">
        <f>E854-E853</f>
        <v/>
      </c>
      <c r="J854" s="14">
        <f>I854-58</f>
        <v/>
      </c>
      <c r="K854" s="14">
        <f>MAX(0,J854)</f>
        <v/>
      </c>
      <c r="L854" s="14">
        <f>MAX(0,-J854)</f>
        <v/>
      </c>
      <c r="M854" s="14">
        <f>M853+I854</f>
        <v/>
      </c>
      <c r="N854" s="14">
        <f>D854+F854-E854</f>
        <v/>
      </c>
      <c r="O854" s="13" t="inlineStr">
        <is>
          <t>能力满足</t>
        </is>
      </c>
      <c r="P854" s="13" t="inlineStr">
        <is>
          <t>ST1 引取(开:55572.5s 加:55.0s 等前:6040.5s 等后:0.0s) | ST2 集约(开:55627.5s 加:106.0s 等前:0.0s 等后:0.0s) | ST3 空气悬挂+快充(开:55733.5s 加:0.0s 等前:0.0s 等后:92.0s) | ST4 四轮定位上、下(开:55825.5s 加:115.0s 等前:0.0s 等后:20.5s) | ST5 ADAS(开:55961.0s 加:97.0s 等前:0.0s 等后:17.5s) | ST6 ARHUD+慢充(开:56075.5s 加:0.0s 等前:0.0s 等后:116.0s) | ST7 转毂(开:56191.5s 加:116.0s 等前:0.0s 等后:0.0s) | ST8 制动(开:56307.5s 加:108.0s 等前:0.0s 等后:1.5s) | ST9 EG漏液/底盘漏液(开:56417.0s 加:115.0s 等前:0.0s 等后:0.0s) | ST10 全景/空调检查(开:56532.0s 加:98.0s 等前:0.0s 等后:0.0s) | ST11 气囊安装+绝缘(开:56630.0s 加:0.0s 等前:0.0s 等后:0.0s) | ST12 L2++(开:56630.0s 加:0.0s 等前:0.0s 等后:58.0s) | ST13 电检1(开:56688.0s 加:0.0s 等前:0.0s 等后:50.0s) | ST14 电检2(开:56738.0s 加:0.0s 等前:0.0s 等后:101.0s) | ST15 小跑道(开:56839.0s 加:51.0s 等前:0.0s 等后:0.0s)</t>
        </is>
      </c>
    </row>
    <row r="855">
      <c r="A855" s="15" t="n">
        <v>854</v>
      </c>
      <c r="B855" s="15" t="inlineStr">
        <is>
          <t>Car#852</t>
        </is>
      </c>
      <c r="C855" s="15" t="inlineStr">
        <is>
          <t>C</t>
        </is>
      </c>
      <c r="D855" s="16" t="n">
        <v>55370.5</v>
      </c>
      <c r="E855" s="16" t="n">
        <v>56940</v>
      </c>
      <c r="F855" s="16" t="n">
        <v>1569.5</v>
      </c>
      <c r="G855" s="16" t="n">
        <v>6158.5</v>
      </c>
      <c r="H855" s="15" t="inlineStr">
        <is>
          <t>Car#855</t>
        </is>
      </c>
      <c r="I855" s="16">
        <f>E855-E854</f>
        <v/>
      </c>
      <c r="J855" s="16">
        <f>I855-58</f>
        <v/>
      </c>
      <c r="K855" s="16">
        <f>MAX(0,J855)</f>
        <v/>
      </c>
      <c r="L855" s="16">
        <f>MAX(0,-J855)</f>
        <v/>
      </c>
      <c r="M855" s="16">
        <f>M854+I855</f>
        <v/>
      </c>
      <c r="N855" s="16">
        <f>D855+F855-E855</f>
        <v/>
      </c>
      <c r="O855" s="15" t="inlineStr">
        <is>
          <t>能力超目标：四轮定位上、下、ARHUD+慢充</t>
        </is>
      </c>
      <c r="P855" s="15" t="inlineStr">
        <is>
          <t>ST1 引取(开:55370.5s 加:56.0s 等前:6012.5s 等后:8.5s) | ST2 集约(开:55435.0s 加:111.0s 等前:0.0s 等后:26.5s) | ST3 空气悬挂+快充(开:55572.5s 加:108.5s 等前:0.0s 等后:35.0s) | ST4 四轮定位上、下(开:55716.0s 加:120.5s 等前:0.0s 等后:0.0s) | ST5 ADAS(开:55836.5s 加:107.0s 等前:0.0s 等后:30.5s) | ST6 ARHUD+慢充(开:55974.0s 加:143.5s 等前:0.0s 等后:0.0s) | ST7 转毂(开:56117.5s 加:114.5s 等前:0.0s 等后:0.0s) | ST8 制动(开:56232.0s 加:114.0s 等前:0.0s 等后:0.0s) | ST9 EG漏液/底盘漏液(开:56346.0s 加:112.5s 等前:0.0s 等后:0.0s) | ST10 全景/空调检查(开:56458.5s 加:0.0s 等前:0.0s 等后:0.0s) | ST11 气囊安装+绝缘(开:56458.5s 加:116.0s 等前:0.0s 等后:0.0s) | ST12 L2++(开:56574.5s 加:88.0s 等前:0.0s 等后:0.0s) | ST13 电检1(开:56662.5s 加:84.5s 等前:0.0s 等后:42.0s) | ST14 电检2(开:56789.0s 加:97.5s 等前:0.0s 等后:3.5s) | ST15 小跑道(开:56890.0s 加:50.0s 等前:0.0s 等后:0.0s)</t>
        </is>
      </c>
    </row>
    <row r="856">
      <c r="A856" s="13" t="n">
        <v>855</v>
      </c>
      <c r="B856" s="13" t="inlineStr">
        <is>
          <t>Car#854</t>
        </is>
      </c>
      <c r="C856" s="13" t="inlineStr">
        <is>
          <t>A</t>
        </is>
      </c>
      <c r="D856" s="14" t="n">
        <v>55490</v>
      </c>
      <c r="E856" s="14" t="n">
        <v>56991</v>
      </c>
      <c r="F856" s="14" t="n">
        <v>1501</v>
      </c>
      <c r="G856" s="14" t="n">
        <v>6656</v>
      </c>
      <c r="H856" s="13" t="inlineStr">
        <is>
          <t>Car#852</t>
        </is>
      </c>
      <c r="I856" s="14">
        <f>E856-E855</f>
        <v/>
      </c>
      <c r="J856" s="14">
        <f>I856-58</f>
        <v/>
      </c>
      <c r="K856" s="14">
        <f>MAX(0,J856)</f>
        <v/>
      </c>
      <c r="L856" s="14">
        <f>MAX(0,-J856)</f>
        <v/>
      </c>
      <c r="M856" s="14">
        <f>M855+I856</f>
        <v/>
      </c>
      <c r="N856" s="14">
        <f>D856+F856-E856</f>
        <v/>
      </c>
      <c r="O856" s="13" t="inlineStr">
        <is>
          <t>能力满足</t>
        </is>
      </c>
      <c r="P856" s="13" t="inlineStr">
        <is>
          <t>ST1 引取(开:55490.0s 加:55.0s 等前:6016.0s 等后:27.5s) | ST2 集约(开:55572.5s 加:106.0s 等前:0.0s 等后:37.5s) | ST3 空气悬挂+快充(开:55716.0s 加:0.0s 等前:0.0s 等后:120.5s) | ST4 四轮定位上、下(开:55836.5s 加:115.0s 等前:0.0s 等后:22.5s) | ST5 ADAS(开:55974.0s 加:97.0s 等前:0.0s 等后:46.5s) | ST6 ARHUD+慢充(开:56117.5s 加:0.0s 等前:0.0s 等后:114.5s) | ST7 转毂(开:56232.0s 加:116.0s 等前:0.0s 等后:0.0s) | ST8 制动(开:56348.0s 加:108.0s 等前:0.0s 等后:2.5s) | ST9 EG漏液/底盘漏液(开:56458.5s 加:115.0s 等前:0.0s 等后:0.0s) | ST10 全景/空调检查(开:56573.5s 加:98.0s 等前:0.0s 等后:0.0s) | ST11 气囊安装+绝缘(开:56671.5s 加:0.0s 等前:0.0s 等后:0.0s) | ST12 L2++(开:56671.5s 加:0.0s 等前:0.0s 等后:117.5s) | ST13 电检1(开:56789.0s 加:0.0s 等前:0.0s 等后:101.0s) | ST14 电检2(开:56890.0s 加:0.0s 等前:0.0s 等后:50.0s) | ST15 小跑道(开:56940.0s 加:51.0s 等前:0.0s 等后:0.0s)</t>
        </is>
      </c>
    </row>
    <row r="857">
      <c r="A857" s="15" t="n">
        <v>856</v>
      </c>
      <c r="B857" s="15" t="inlineStr">
        <is>
          <t>Car#856</t>
        </is>
      </c>
      <c r="C857" s="15" t="inlineStr">
        <is>
          <t>B</t>
        </is>
      </c>
      <c r="D857" s="16" t="n">
        <v>55627.5</v>
      </c>
      <c r="E857" s="16" t="n">
        <v>57125</v>
      </c>
      <c r="F857" s="16" t="n">
        <v>1497.5</v>
      </c>
      <c r="G857" s="16" t="n">
        <v>6203.5</v>
      </c>
      <c r="H857" s="15" t="inlineStr">
        <is>
          <t>Car#854</t>
        </is>
      </c>
      <c r="I857" s="16">
        <f>E857-E856</f>
        <v/>
      </c>
      <c r="J857" s="16">
        <f>I857-58</f>
        <v/>
      </c>
      <c r="K857" s="16">
        <f>MAX(0,J857)</f>
        <v/>
      </c>
      <c r="L857" s="16">
        <f>MAX(0,-J857)</f>
        <v/>
      </c>
      <c r="M857" s="16">
        <f>M856+I857</f>
        <v/>
      </c>
      <c r="N857" s="16">
        <f>D857+F857-E857</f>
        <v/>
      </c>
      <c r="O857" s="15" t="inlineStr">
        <is>
          <t>能力超目标：四轮定位上、下</t>
        </is>
      </c>
      <c r="P857" s="15" t="inlineStr">
        <is>
          <t>ST1 引取(开:55627.5s 加:56.0s 等前:6037.5s 等后:32.5s) | ST2 集约(开:55716.0s 加:111.0s 等前:0.0s 等后:9.5s) | ST3 空气悬挂+快充(开:55836.5s 加:108.5s 等前:0.0s 等后:29.0s) | ST4 四轮定位上、下(开:55974.0s 加:120.5s 等前:0.0s 等后:23.0s) | ST5 ADAS(开:56117.5s 加:107.0s 等前:0.0s 等后:7.5s) | ST6 ARHUD+慢充(开:56232.0s 加:51.5s 等前:0.0s 等后:64.5s) | ST7 转毂(开:56348.0s 加:114.5s 等前:0.0s 等后:0.0s) | ST8 制动(开:56462.5s 加:114.0s 等前:0.0s 等后:0.0s) | ST9 EG漏液/底盘漏液(开:56576.5s 加:112.5s 等前:0.0s 等后:0.0s) | ST10 全景/空调检查(开:56689.0s 加:0.0s 等前:0.0s 等后:0.0s) | ST11 气囊安装+绝缘(开:56689.0s 加:116.0s 等前:0.0s 等后:0.0s) | ST12 L2++(开:56805.0s 加:88.0s 等前:0.0s 等后:0.0s) | ST13 电检1(开:56893.0s 加:84.5s 等前:0.0s 等后:0.0s) | ST14 电检2(开:56977.5s 加:97.5s 等前:0.0s 等后:0.0s) | ST15 小跑道(开:57075.0s 加:50.0s 等前:0.0s 等后:0.0s)</t>
        </is>
      </c>
    </row>
    <row r="858">
      <c r="A858" s="13" t="n">
        <v>857</v>
      </c>
      <c r="B858" s="13" t="inlineStr">
        <is>
          <t>Car#857</t>
        </is>
      </c>
      <c r="C858" s="13" t="inlineStr">
        <is>
          <t>C</t>
        </is>
      </c>
      <c r="D858" s="14" t="n">
        <v>55716</v>
      </c>
      <c r="E858" s="14" t="n">
        <v>57175</v>
      </c>
      <c r="F858" s="14" t="n">
        <v>1459</v>
      </c>
      <c r="G858" s="14" t="n">
        <v>6103.5</v>
      </c>
      <c r="H858" s="13" t="inlineStr">
        <is>
          <t>Car#856</t>
        </is>
      </c>
      <c r="I858" s="14">
        <f>E858-E857</f>
        <v/>
      </c>
      <c r="J858" s="14">
        <f>I858-58</f>
        <v/>
      </c>
      <c r="K858" s="14">
        <f>MAX(0,J858)</f>
        <v/>
      </c>
      <c r="L858" s="14">
        <f>MAX(0,-J858)</f>
        <v/>
      </c>
      <c r="M858" s="14">
        <f>M857+I858</f>
        <v/>
      </c>
      <c r="N858" s="14">
        <f>D858+F858-E858</f>
        <v/>
      </c>
      <c r="O858" s="13" t="inlineStr">
        <is>
          <t>能力超目标：四轮定位上、下、ARHUD+慢充</t>
        </is>
      </c>
      <c r="P858" s="13" t="inlineStr">
        <is>
          <t>ST1 引取(开:55716.0s 加:56.0s 等前:6068.0s 等后:0.0s) | ST2 集约(开:55772.0s 加:111.0s 等前:0.0s 等后:0.0s) | ST3 空气悬挂+快充(开:55883.0s 加:108.5s 等前:0.0s 等后:0.0s) | ST4 四轮定位上、下(开:55991.5s 加:120.5s 等前:0.0s 等后:0.0s) | ST5 ADAS(开:56112.0s 加:107.0s 等前:0.0s 等后:0.0s) | ST6 ARHUD+慢充(开:56219.0s 加:143.5s 等前:0.0s 等后:0.0s) | ST7 转毂(开:56362.5s 加:114.5s 等前:0.0s 等后:0.0s) | ST8 制动(开:56477.0s 加:114.0s 等前:0.0s 等后:0.0s) | ST9 EG漏液/底盘漏液(开:56591.0s 加:112.5s 等前:0.0s 等后:0.0s) | ST10 全景/空调检查(开:56703.5s 加:0.0s 等前:0.0s 等后:0.0s) | ST11 气囊安装+绝缘(开:56703.5s 加:116.0s 等前:0.0s 等后:0.0s) | ST12 L2++(开:56819.5s 加:88.0s 等前:0.0s 等后:0.0s) | ST13 电检1(开:56907.5s 加:84.5s 等前:0.0s 等后:0.0s) | ST14 电检2(开:56992.0s 加:97.5s 等前:0.0s 等后:35.5s) | ST15 小跑道(开:57125.0s 加:50.0s 等前:0.0s 等后:0.0s)</t>
        </is>
      </c>
    </row>
    <row r="859">
      <c r="A859" s="15" t="n">
        <v>858</v>
      </c>
      <c r="B859" s="15" t="inlineStr">
        <is>
          <t>Car#858</t>
        </is>
      </c>
      <c r="C859" s="15" t="inlineStr">
        <is>
          <t>C</t>
        </is>
      </c>
      <c r="D859" s="16" t="n">
        <v>55772</v>
      </c>
      <c r="E859" s="16" t="n">
        <v>57268.5</v>
      </c>
      <c r="F859" s="16" t="n">
        <v>1496.5</v>
      </c>
      <c r="G859" s="16" t="n">
        <v>6139</v>
      </c>
      <c r="H859" s="15" t="inlineStr">
        <is>
          <t>Car#857</t>
        </is>
      </c>
      <c r="I859" s="16">
        <f>E859-E858</f>
        <v/>
      </c>
      <c r="J859" s="16">
        <f>I859-58</f>
        <v/>
      </c>
      <c r="K859" s="16">
        <f>MAX(0,J859)</f>
        <v/>
      </c>
      <c r="L859" s="16">
        <f>MAX(0,-J859)</f>
        <v/>
      </c>
      <c r="M859" s="16">
        <f>M858+I859</f>
        <v/>
      </c>
      <c r="N859" s="16">
        <f>D859+F859-E859</f>
        <v/>
      </c>
      <c r="O859" s="15" t="inlineStr">
        <is>
          <t>能力超目标：四轮定位上、下、ARHUD+慢充</t>
        </is>
      </c>
      <c r="P859" s="15" t="inlineStr">
        <is>
          <t>ST1 引取(开:55772.0s 加:56.0s 等前:6066.0s 等后:8.5s) | ST2 集约(开:55836.5s 加:111.0s 等前:0.0s 等后:26.5s) | ST3 空气悬挂+快充(开:55974.0s 加:108.5s 等前:0.0s 等后:35.0s) | ST4 四轮定位上、下(开:56117.5s 加:120.5s 等前:0.0s 等后:0.0s) | ST5 ADAS(开:56238.0s 加:107.0s 等前:0.0s 等后:3.0s) | ST6 ARHUD+慢充(开:56348.0s 加:143.5s 等前:0.0s 等后:0.0s) | ST7 转毂(开:56491.5s 加:114.5s 等前:0.0s 等后:0.0s) | ST8 制动(开:56606.0s 加:114.0s 等前:0.0s 等后:0.0s) | ST9 EG漏液/底盘漏液(开:56720.0s 加:112.5s 等前:0.0s 等后:0.0s) | ST10 全景/空调检查(开:56832.5s 加:0.0s 等前:0.0s 等后:0.0s) | ST11 气囊安装+绝缘(开:56832.5s 加:116.0s 等前:0.0s 等后:0.0s) | ST12 L2++(开:56948.5s 加:88.0s 等前:0.0s 等后:0.0s) | ST13 电检1(开:57036.5s 加:84.5s 等前:0.0s 等后:0.0s) | ST14 电检2(开:57121.0s 加:97.5s 等前:0.0s 等后:0.0s) | ST15 小跑道(开:57218.5s 加:50.0s 等前:0.0s 等后:0.0s)</t>
        </is>
      </c>
    </row>
    <row r="860">
      <c r="A860" s="13" t="n">
        <v>859</v>
      </c>
      <c r="B860" s="13" t="inlineStr">
        <is>
          <t>Car#859</t>
        </is>
      </c>
      <c r="C860" s="13" t="inlineStr">
        <is>
          <t>C</t>
        </is>
      </c>
      <c r="D860" s="14" t="n">
        <v>55836.5</v>
      </c>
      <c r="E860" s="14" t="n">
        <v>57318.5</v>
      </c>
      <c r="F860" s="14" t="n">
        <v>1482</v>
      </c>
      <c r="G860" s="14" t="n">
        <v>6131</v>
      </c>
      <c r="H860" s="13" t="inlineStr">
        <is>
          <t>Car#858</t>
        </is>
      </c>
      <c r="I860" s="14">
        <f>E860-E859</f>
        <v/>
      </c>
      <c r="J860" s="14">
        <f>I860-58</f>
        <v/>
      </c>
      <c r="K860" s="14">
        <f>MAX(0,J860)</f>
        <v/>
      </c>
      <c r="L860" s="14">
        <f>MAX(0,-J860)</f>
        <v/>
      </c>
      <c r="M860" s="14">
        <f>M859+I860</f>
        <v/>
      </c>
      <c r="N860" s="14">
        <f>D860+F860-E860</f>
        <v/>
      </c>
      <c r="O860" s="13" t="inlineStr">
        <is>
          <t>能力超目标：四轮定位上、下、ARHUD+慢充</t>
        </is>
      </c>
      <c r="P860" s="13" t="inlineStr">
        <is>
          <t>ST1 引取(开:55836.5s 加:56.0s 等前:6072.5s 等后:0.0s) | ST2 集约(开:55892.5s 加:111.0s 等前:0.0s 等后:0.0s) | ST3 空气悬挂+快充(开:56003.5s 加:108.5s 等前:0.0s 等后:0.0s) | ST4 四轮定位上、下(开:56112.0s 加:120.5s 等前:0.0s 等后:0.0s) | ST5 ADAS(开:56232.5s 加:107.0s 等前:0.0s 等后:23.0s) | ST6 ARHUD+慢充(开:56362.5s 加:143.5s 等前:0.0s 等后:0.0s) | ST7 转毂(开:56506.0s 加:114.5s 等前:0.0s 等后:0.0s) | ST8 制动(开:56620.5s 加:114.0s 等前:0.0s 等后:0.0s) | ST9 EG漏液/底盘漏液(开:56734.5s 加:112.5s 等前:0.0s 等后:0.0s) | ST10 全景/空调检查(开:56847.0s 加:0.0s 等前:0.0s 等后:0.0s) | ST11 气囊安装+绝缘(开:56847.0s 加:116.0s 等前:0.0s 等后:0.0s) | ST12 L2++(开:56963.0s 加:88.0s 等前:0.0s 等后:0.0s) | ST13 电检1(开:57051.0s 加:84.5s 等前:0.0s 等后:0.0s) | ST14 电检2(开:57135.5s 加:97.5s 等前:0.0s 等后:35.5s) | ST15 小跑道(开:57268.5s 加:50.0s 等前:0.0s 等后:0.0s)</t>
        </is>
      </c>
    </row>
    <row r="861">
      <c r="A861" s="15" t="n">
        <v>860</v>
      </c>
      <c r="B861" s="15" t="inlineStr">
        <is>
          <t>Car#860</t>
        </is>
      </c>
      <c r="C861" s="15" t="inlineStr">
        <is>
          <t>B</t>
        </is>
      </c>
      <c r="D861" s="16" t="n">
        <v>55892.5</v>
      </c>
      <c r="E861" s="16" t="n">
        <v>57384.5</v>
      </c>
      <c r="F861" s="16" t="n">
        <v>1492</v>
      </c>
      <c r="G861" s="16" t="n">
        <v>6231</v>
      </c>
      <c r="H861" s="15" t="inlineStr">
        <is>
          <t>Car#859</t>
        </is>
      </c>
      <c r="I861" s="16">
        <f>E861-E860</f>
        <v/>
      </c>
      <c r="J861" s="16">
        <f>I861-58</f>
        <v/>
      </c>
      <c r="K861" s="16">
        <f>MAX(0,J861)</f>
        <v/>
      </c>
      <c r="L861" s="16">
        <f>MAX(0,-J861)</f>
        <v/>
      </c>
      <c r="M861" s="16">
        <f>M860+I861</f>
        <v/>
      </c>
      <c r="N861" s="16">
        <f>D861+F861-E861</f>
        <v/>
      </c>
      <c r="O861" s="15" t="inlineStr">
        <is>
          <t>能力超目标：四轮定位上、下</t>
        </is>
      </c>
      <c r="P861" s="15" t="inlineStr">
        <is>
          <t>ST1 引取(开:55892.5s 加:56.0s 等前:6070.5s 等后:25.5s) | ST2 集约(开:55974.0s 加:111.0s 等前:0.0s 等后:32.5s) | ST3 空气悬挂+快充(开:56117.5s 加:108.5s 等前:0.0s 等后:12.0s) | ST4 四轮定位上、下(开:56238.0s 加:120.5s 等前:0.0s 等后:0.0s) | ST5 ADAS(开:56358.5s 加:107.0s 等前:0.0s 等后:26.0s) | ST6 ARHUD+慢充(开:56491.5s 加:51.5s 等前:0.0s 等后:63.0s) | ST7 转毂(开:56606.0s 加:114.5s 等前:0.0s 等后:0.0s) | ST8 制动(开:56720.5s 加:114.0s 等前:0.0s 等后:0.0s) | ST9 EG漏液/底盘漏液(开:56834.5s 加:112.5s 等前:0.0s 等后:0.0s) | ST10 全景/空调检查(开:56947.0s 加:0.0s 等前:0.0s 等后:1.5s) | ST11 气囊安装+绝缘(开:56948.5s 加:116.0s 等前:0.0s 等后:0.0s) | ST12 L2++(开:57064.5s 加:88.0s 等前:0.0s 等后:0.0s) | ST13 电检1(开:57152.5s 加:84.5s 等前:0.0s 等后:0.0s) | ST14 电检2(开:57237.0s 加:97.5s 等前:0.0s 等后:0.0s) | ST15 小跑道(开:57334.5s 加:50.0s 等前:0.0s 等后:0.0s)</t>
        </is>
      </c>
    </row>
    <row r="862">
      <c r="A862" s="13" t="n">
        <v>861</v>
      </c>
      <c r="B862" s="13" t="inlineStr">
        <is>
          <t>Car#861</t>
        </is>
      </c>
      <c r="C862" s="13" t="inlineStr">
        <is>
          <t>B</t>
        </is>
      </c>
      <c r="D862" s="14" t="n">
        <v>55974</v>
      </c>
      <c r="E862" s="14" t="n">
        <v>57434.5</v>
      </c>
      <c r="F862" s="14" t="n">
        <v>1460.5</v>
      </c>
      <c r="G862" s="14" t="n">
        <v>6223</v>
      </c>
      <c r="H862" s="13" t="inlineStr">
        <is>
          <t>Car#860</t>
        </is>
      </c>
      <c r="I862" s="14">
        <f>E862-E861</f>
        <v/>
      </c>
      <c r="J862" s="14">
        <f>I862-58</f>
        <v/>
      </c>
      <c r="K862" s="14">
        <f>MAX(0,J862)</f>
        <v/>
      </c>
      <c r="L862" s="14">
        <f>MAX(0,-J862)</f>
        <v/>
      </c>
      <c r="M862" s="14">
        <f>M861+I862</f>
        <v/>
      </c>
      <c r="N862" s="14">
        <f>D862+F862-E862</f>
        <v/>
      </c>
      <c r="O862" s="13" t="inlineStr">
        <is>
          <t>能力超目标：四轮定位上、下</t>
        </is>
      </c>
      <c r="P862" s="13" t="inlineStr">
        <is>
          <t>ST1 引取(开:55974.0s 加:56.0s 等前:6094.0s 等后:0.0s) | ST2 集约(开:56030.0s 加:111.0s 等前:0.0s 等后:0.0s) | ST3 空气悬挂+快充(开:56141.0s 加:108.5s 等前:0.0s 等后:0.0s) | ST4 四轮定位上、下(开:56249.5s 加:120.5s 等前:0.0s 等后:0.0s) | ST5 ADAS(开:56370.0s 加:107.0s 等前:0.0s 等后:29.0s) | ST6 ARHUD+慢充(开:56506.0s 加:51.5s 等前:0.0s 等后:63.0s) | ST7 转毂(开:56620.5s 加:114.5s 等前:0.0s 等后:0.0s) | ST8 制动(开:56735.0s 加:114.0s 等前:0.0s 等后:0.0s) | ST9 EG漏液/底盘漏液(开:56849.0s 加:112.5s 等前:0.0s 等后:0.0s) | ST10 全景/空调检查(开:56961.5s 加:0.0s 等前:0.0s 等后:1.5s) | ST11 气囊安装+绝缘(开:56963.0s 加:116.0s 等前:0.0s 等后:0.0s) | ST12 L2++(开:57079.0s 加:88.0s 等前:0.0s 等后:0.0s) | ST13 电检1(开:57167.0s 加:84.5s 等前:0.0s 等后:17.0s) | ST14 电检2(开:57268.5s 加:97.5s 等前:0.0s 等后:18.5s) | ST15 小跑道(开:57384.5s 加:50.0s 等前:0.0s 等后:0.0s)</t>
        </is>
      </c>
    </row>
    <row r="863">
      <c r="A863" s="15" t="n">
        <v>862</v>
      </c>
      <c r="B863" s="15" t="inlineStr">
        <is>
          <t>Car#862</t>
        </is>
      </c>
      <c r="C863" s="15" t="inlineStr">
        <is>
          <t>B</t>
        </is>
      </c>
      <c r="D863" s="16" t="n">
        <v>56030</v>
      </c>
      <c r="E863" s="16" t="n">
        <v>57500.5</v>
      </c>
      <c r="F863" s="16" t="n">
        <v>1470.5</v>
      </c>
      <c r="G863" s="16" t="n">
        <v>6231</v>
      </c>
      <c r="H863" s="15" t="inlineStr">
        <is>
          <t>Car#861</t>
        </is>
      </c>
      <c r="I863" s="16">
        <f>E863-E862</f>
        <v/>
      </c>
      <c r="J863" s="16">
        <f>I863-58</f>
        <v/>
      </c>
      <c r="K863" s="16">
        <f>MAX(0,J863)</f>
        <v/>
      </c>
      <c r="L863" s="16">
        <f>MAX(0,-J863)</f>
        <v/>
      </c>
      <c r="M863" s="16">
        <f>M862+I863</f>
        <v/>
      </c>
      <c r="N863" s="16">
        <f>D863+F863-E863</f>
        <v/>
      </c>
      <c r="O863" s="15" t="inlineStr">
        <is>
          <t>能力超目标：四轮定位上、下</t>
        </is>
      </c>
      <c r="P863" s="15" t="inlineStr">
        <is>
          <t>ST1 引取(开:56030.0s 加:56.0s 等前:6092.0s 等后:31.5s) | ST2 集约(开:56117.5s 加:111.0s 等前:0.0s 等后:9.5s) | ST3 空气悬挂+快充(开:56238.0s 加:108.5s 等前:0.0s 等后:12.0s) | ST4 四轮定位上、下(开:56358.5s 加:120.5s 等前:0.0s 等后:12.5s) | ST5 ADAS(开:56491.5s 加:107.0s 等前:0.0s 等后:7.5s) | ST6 ARHUD+慢充(开:56606.0s 加:51.5s 等前:0.0s 等后:63.0s) | ST7 转毂(开:56720.5s 加:114.5s 等前:0.0s 等后:0.0s) | ST8 制动(开:56835.0s 加:114.0s 等前:0.0s 等后:0.0s) | ST9 EG漏液/底盘漏液(开:56949.0s 加:112.5s 等前:0.0s 等后:0.0s) | ST10 全景/空调检查(开:57061.5s 加:0.0s 等前:0.0s 等后:3.0s) | ST11 气囊安装+绝缘(开:57064.5s 加:116.0s 等前:0.0s 等后:0.0s) | ST12 L2++(开:57180.5s 加:88.0s 等前:0.0s 等后:0.0s) | ST13 电检1(开:57268.5s 加:84.5s 等前:0.0s 等后:0.0s) | ST14 电检2(开:57353.0s 加:97.5s 等前:0.0s 等后:0.0s) | ST15 小跑道(开:57450.5s 加:50.0s 等前:0.0s 等后:0.0s)</t>
        </is>
      </c>
    </row>
    <row r="864">
      <c r="A864" s="13" t="n">
        <v>863</v>
      </c>
      <c r="B864" s="13" t="inlineStr">
        <is>
          <t>Car#863</t>
        </is>
      </c>
      <c r="C864" s="13" t="inlineStr">
        <is>
          <t>C</t>
        </is>
      </c>
      <c r="D864" s="14" t="n">
        <v>56117.5</v>
      </c>
      <c r="E864" s="14" t="n">
        <v>57550.5</v>
      </c>
      <c r="F864" s="14" t="n">
        <v>1433</v>
      </c>
      <c r="G864" s="14" t="n">
        <v>6131</v>
      </c>
      <c r="H864" s="13" t="inlineStr">
        <is>
          <t>Car#862</t>
        </is>
      </c>
      <c r="I864" s="14">
        <f>E864-E863</f>
        <v/>
      </c>
      <c r="J864" s="14">
        <f>I864-58</f>
        <v/>
      </c>
      <c r="K864" s="14">
        <f>MAX(0,J864)</f>
        <v/>
      </c>
      <c r="L864" s="14">
        <f>MAX(0,-J864)</f>
        <v/>
      </c>
      <c r="M864" s="14">
        <f>M863+I864</f>
        <v/>
      </c>
      <c r="N864" s="14">
        <f>D864+F864-E864</f>
        <v/>
      </c>
      <c r="O864" s="13" t="inlineStr">
        <is>
          <t>能力超目标：四轮定位上、下、ARHUD+慢充</t>
        </is>
      </c>
      <c r="P864" s="13" t="inlineStr">
        <is>
          <t>ST1 引取(开:56117.5s 加:56.0s 等前:6121.5s 等后:0.0s) | ST2 集约(开:56173.5s 加:111.0s 等前:0.0s 等后:0.0s) | ST3 空气悬挂+快充(开:56284.5s 加:108.5s 等前:0.0s 等后:0.0s) | ST4 四轮定位上、下(开:56393.0s 加:120.5s 等前:0.0s 等后:0.0s) | ST5 ADAS(开:56513.5s 加:107.0s 等前:0.0s 等后:0.0s) | ST6 ARHUD+慢充(开:56620.5s 加:143.5s 等前:0.0s 等后:0.0s) | ST7 转毂(开:56764.0s 加:114.5s 等前:0.0s 等后:0.0s) | ST8 制动(开:56878.5s 加:114.0s 等前:0.0s 等后:0.0s) | ST9 EG漏液/底盘漏液(开:56992.5s 加:112.5s 等前:0.0s 等后:0.0s) | ST10 全景/空调检查(开:57105.0s 加:0.0s 等前:0.0s 等后:0.0s) | ST11 气囊安装+绝缘(开:57105.0s 加:116.0s 等前:0.0s 等后:0.0s) | ST12 L2++(开:57221.0s 加:88.0s 等前:0.0s 等后:0.0s) | ST13 电检1(开:57309.0s 加:84.5s 等前:0.0s 等后:0.0s) | ST14 电检2(开:57393.5s 加:97.5s 等前:0.0s 等后:9.5s) | ST15 小跑道(开:57500.5s 加:50.0s 等前:0.0s 等后:0.0s)</t>
        </is>
      </c>
    </row>
    <row r="865">
      <c r="A865" s="15" t="n">
        <v>864</v>
      </c>
      <c r="B865" s="15" t="inlineStr">
        <is>
          <t>Car#864</t>
        </is>
      </c>
      <c r="C865" s="15" t="inlineStr">
        <is>
          <t>C</t>
        </is>
      </c>
      <c r="D865" s="16" t="n">
        <v>56173.5</v>
      </c>
      <c r="E865" s="16" t="n">
        <v>57641</v>
      </c>
      <c r="F865" s="16" t="n">
        <v>1467.5</v>
      </c>
      <c r="G865" s="16" t="n">
        <v>6163.5</v>
      </c>
      <c r="H865" s="15" t="inlineStr">
        <is>
          <t>Car#863</t>
        </is>
      </c>
      <c r="I865" s="16">
        <f>E865-E864</f>
        <v/>
      </c>
      <c r="J865" s="16">
        <f>I865-58</f>
        <v/>
      </c>
      <c r="K865" s="16">
        <f>MAX(0,J865)</f>
        <v/>
      </c>
      <c r="L865" s="16">
        <f>MAX(0,-J865)</f>
        <v/>
      </c>
      <c r="M865" s="16">
        <f>M864+I865</f>
        <v/>
      </c>
      <c r="N865" s="16">
        <f>D865+F865-E865</f>
        <v/>
      </c>
      <c r="O865" s="15" t="inlineStr">
        <is>
          <t>能力超目标：四轮定位上、下、ARHUD+慢充</t>
        </is>
      </c>
      <c r="P865" s="15" t="inlineStr">
        <is>
          <t>ST1 引取(开:56173.5s 加:56.0s 等前:6119.5s 等后:8.5s) | ST2 集约(开:56238.0s 加:111.0s 等前:0.0s 等后:9.5s) | ST3 空气悬挂+快充(开:56358.5s 加:108.5s 等前:0.0s 等后:24.5s) | ST4 四轮定位上、下(开:56491.5s 加:120.5s 等前:0.0s 等后:0.0s) | ST5 ADAS(开:56612.0s 加:107.0s 等前:0.0s 等后:1.5s) | ST6 ARHUD+慢充(开:56720.5s 加:143.5s 等前:0.0s 等后:0.0s) | ST7 转毂(开:56864.0s 加:114.5s 等前:0.0s 等后:0.0s) | ST8 制动(开:56978.5s 加:114.0s 等前:0.0s 等后:0.0s) | ST9 EG漏液/底盘漏液(开:57092.5s 加:112.5s 等前:0.0s 等后:0.0s) | ST10 全景/空调检查(开:57205.0s 加:0.0s 等前:0.0s 等后:0.0s) | ST11 气囊安装+绝缘(开:57205.0s 加:116.0s 等前:0.0s 等后:0.0s) | ST12 L2++(开:57321.0s 加:88.0s 等前:0.0s 等后:0.0s) | ST13 电检1(开:57409.0s 加:84.5s 等前:0.0s 等后:0.0s) | ST14 电检2(开:57493.5s 加:97.5s 等前:0.0s 等后:0.0s) | ST15 小跑道(开:57591.0s 加:50.0s 等前:0.0s 等后:0.0s)</t>
        </is>
      </c>
    </row>
    <row r="866">
      <c r="A866" s="13" t="n">
        <v>865</v>
      </c>
      <c r="B866" s="13" t="inlineStr">
        <is>
          <t>Car#866</t>
        </is>
      </c>
      <c r="C866" s="13" t="inlineStr">
        <is>
          <t>A</t>
        </is>
      </c>
      <c r="D866" s="14" t="n">
        <v>56294</v>
      </c>
      <c r="E866" s="14" t="n">
        <v>57692</v>
      </c>
      <c r="F866" s="14" t="n">
        <v>1398</v>
      </c>
      <c r="G866" s="14" t="n">
        <v>6661</v>
      </c>
      <c r="H866" s="13" t="inlineStr">
        <is>
          <t>Car#864</t>
        </is>
      </c>
      <c r="I866" s="14">
        <f>E866-E865</f>
        <v/>
      </c>
      <c r="J866" s="14">
        <f>I866-58</f>
        <v/>
      </c>
      <c r="K866" s="14">
        <f>MAX(0,J866)</f>
        <v/>
      </c>
      <c r="L866" s="14">
        <f>MAX(0,-J866)</f>
        <v/>
      </c>
      <c r="M866" s="14">
        <f>M865+I866</f>
        <v/>
      </c>
      <c r="N866" s="14">
        <f>D866+F866-E866</f>
        <v/>
      </c>
      <c r="O866" s="13" t="inlineStr">
        <is>
          <t>能力满足</t>
        </is>
      </c>
      <c r="P866" s="13" t="inlineStr">
        <is>
          <t>ST1 引取(开:56294.0s 加:55.0s 等前:6124.0s 等后:9.5s) | ST2 集约(开:56358.5s 加:106.0s 等前:0.0s 等后:27.0s) | ST3 空气悬挂+快充(开:56491.5s 加:0.0s 等前:0.0s 等后:120.5s) | ST4 四轮定位上、下(开:56612.0s 加:115.0s 等前:0.0s 等后:0.0s) | ST5 ADAS(开:56727.0s 加:97.0s 等前:0.0s 等后:40.0s) | ST6 ARHUD+慢充(开:56864.0s 加:0.0s 等前:0.0s 等后:114.5s) | ST7 转毂(开:56978.5s 加:116.0s 等前:0.0s 等后:0.0s) | ST8 制动(开:57094.5s 加:108.0s 等前:0.0s 等后:2.5s) | ST9 EG漏液/底盘漏液(开:57205.0s 加:115.0s 等前:0.0s 等后:0.0s) | ST10 全景/空调检查(开:57320.0s 加:98.0s 等前:0.0s 等后:0.0s) | ST11 气囊安装+绝缘(开:57418.0s 加:0.0s 等前:0.0s 等后:0.0s) | ST12 L2++(开:57418.0s 加:0.0s 等前:0.0s 等后:75.5s) | ST13 电检1(开:57493.5s 加:0.0s 等前:0.0s 等后:97.5s) | ST14 电检2(开:57591.0s 加:0.0s 等前:0.0s 等后:50.0s) | ST15 小跑道(开:57641.0s 加:51.0s 等前:0.0s 等后:0.0s)</t>
        </is>
      </c>
    </row>
    <row r="867">
      <c r="A867" s="15" t="n">
        <v>866</v>
      </c>
      <c r="B867" s="15" t="inlineStr">
        <is>
          <t>Car#865</t>
        </is>
      </c>
      <c r="C867" s="15" t="inlineStr">
        <is>
          <t>C</t>
        </is>
      </c>
      <c r="D867" s="16" t="n">
        <v>56238</v>
      </c>
      <c r="E867" s="16" t="n">
        <v>57742</v>
      </c>
      <c r="F867" s="16" t="n">
        <v>1504</v>
      </c>
      <c r="G867" s="16" t="n">
        <v>6206.5</v>
      </c>
      <c r="H867" s="15" t="inlineStr">
        <is>
          <t>Car#866</t>
        </is>
      </c>
      <c r="I867" s="16">
        <f>E867-E866</f>
        <v/>
      </c>
      <c r="J867" s="16">
        <f>I867-58</f>
        <v/>
      </c>
      <c r="K867" s="16">
        <f>MAX(0,J867)</f>
        <v/>
      </c>
      <c r="L867" s="16">
        <f>MAX(0,-J867)</f>
        <v/>
      </c>
      <c r="M867" s="16">
        <f>M866+I867</f>
        <v/>
      </c>
      <c r="N867" s="16">
        <f>D867+F867-E867</f>
        <v/>
      </c>
      <c r="O867" s="15" t="inlineStr">
        <is>
          <t>能力超目标：四轮定位上、下、ARHUD+慢充</t>
        </is>
      </c>
      <c r="P867" s="15" t="inlineStr">
        <is>
          <t>ST1 引取(开:56238.0s 加:56.0s 等前:6126.0s 等后:0.0s) | ST2 集约(开:56294.0s 加:111.0s 等前:0.0s 等后:0.0s) | ST3 空气悬挂+快充(开:56405.0s 加:108.5s 等前:0.0s 等后:0.0s) | ST4 四轮定位上、下(开:56513.5s 加:120.5s 等前:0.0s 等后:0.0s) | ST5 ADAS(开:56634.0s 加:107.0s 等前:0.0s 等后:23.0s) | ST6 ARHUD+慢充(开:56764.0s 加:143.5s 等前:0.0s 等后:0.0s) | ST7 转毂(开:56907.5s 加:114.5s 等前:0.0s 等后:0.0s) | ST8 制动(开:57022.0s 加:114.0s 等前:0.0s 等后:0.0s) | ST9 EG漏液/底盘漏液(开:57136.0s 加:112.5s 等前:0.0s 等后:0.0s) | ST10 全景/空调检查(开:57248.5s 加:0.0s 等前:0.0s 等后:0.0s) | ST11 气囊安装+绝缘(开:57248.5s 加:116.0s 等前:0.0s 等后:0.0s) | ST12 L2++(开:57364.5s 加:88.0s 等前:0.0s 等后:0.0s) | ST13 电检1(开:57452.5s 加:84.5s 等前:0.0s 等后:0.0s) | ST14 电检2(开:57537.0s 加:97.5s 等前:0.0s 等后:57.5s) | ST15 小跑道(开:57692.0s 加:50.0s 等前:0.0s 等后:0.0s)</t>
        </is>
      </c>
    </row>
    <row r="868">
      <c r="A868" s="13" t="n">
        <v>867</v>
      </c>
      <c r="B868" s="13" t="inlineStr">
        <is>
          <t>Car#868</t>
        </is>
      </c>
      <c r="C868" s="13" t="inlineStr">
        <is>
          <t>A</t>
        </is>
      </c>
      <c r="D868" s="14" t="n">
        <v>56413.5</v>
      </c>
      <c r="E868" s="14" t="n">
        <v>57793</v>
      </c>
      <c r="F868" s="14" t="n">
        <v>1379.5</v>
      </c>
      <c r="G868" s="14" t="n">
        <v>6646</v>
      </c>
      <c r="H868" s="13" t="inlineStr">
        <is>
          <t>Car#865</t>
        </is>
      </c>
      <c r="I868" s="14">
        <f>E868-E867</f>
        <v/>
      </c>
      <c r="J868" s="14">
        <f>I868-58</f>
        <v/>
      </c>
      <c r="K868" s="14">
        <f>MAX(0,J868)</f>
        <v/>
      </c>
      <c r="L868" s="14">
        <f>MAX(0,-J868)</f>
        <v/>
      </c>
      <c r="M868" s="14">
        <f>M867+I868</f>
        <v/>
      </c>
      <c r="N868" s="14">
        <f>D868+F868-E868</f>
        <v/>
      </c>
      <c r="O868" s="13" t="inlineStr">
        <is>
          <t>能力满足</t>
        </is>
      </c>
      <c r="P868" s="13" t="inlineStr">
        <is>
          <t>ST1 引取(开:56413.5s 加:55.0s 等前:6127.5s 等后:23.0s) | ST2 集约(开:56491.5s 加:106.0s 等前:0.0s 等后:14.5s) | ST3 空气悬挂+快充(开:56612.0s 加:0.0s 等前:0.0s 等后:115.0s) | ST4 四轮定位上、下(开:56727.0s 加:115.0s 等前:0.0s 等后:22.0s) | ST5 ADAS(开:56864.0s 加:97.0s 等前:0.0s 等后:17.5s) | ST6 ARHUD+慢充(开:56978.5s 加:0.0s 等前:0.0s 等后:116.0s) | ST7 转毂(开:57094.5s 加:116.0s 等前:0.0s 等后:0.0s) | ST8 制动(开:57210.5s 加:108.0s 等前:0.0s 等后:1.5s) | ST9 EG漏液/底盘漏液(开:57320.0s 加:115.0s 等前:0.0s 等后:0.0s) | ST10 全景/空调检查(开:57435.0s 加:98.0s 等前:0.0s 等后:0.0s) | ST11 气囊安装+绝缘(开:57533.0s 加:0.0s 等前:0.0s 等后:0.0s) | ST12 L2++(开:57533.0s 加:0.0s 等前:0.0s 等后:58.0s) | ST13 电检1(开:57591.0s 加:0.0s 等前:0.0s 等后:50.0s) | ST14 电检2(开:57641.0s 加:0.0s 等前:0.0s 等后:101.0s) | ST15 小跑道(开:57742.0s 加:51.0s 等前:0.0s 等后:0.0s)</t>
        </is>
      </c>
    </row>
    <row r="869">
      <c r="A869" s="15" t="n">
        <v>868</v>
      </c>
      <c r="B869" s="15" t="inlineStr">
        <is>
          <t>Car#867</t>
        </is>
      </c>
      <c r="C869" s="15" t="inlineStr">
        <is>
          <t>A</t>
        </is>
      </c>
      <c r="D869" s="16" t="n">
        <v>56358.5</v>
      </c>
      <c r="E869" s="16" t="n">
        <v>57844</v>
      </c>
      <c r="F869" s="16" t="n">
        <v>1485.5</v>
      </c>
      <c r="G869" s="16" t="n">
        <v>6755</v>
      </c>
      <c r="H869" s="15" t="inlineStr">
        <is>
          <t>Car#868</t>
        </is>
      </c>
      <c r="I869" s="16">
        <f>E869-E868</f>
        <v/>
      </c>
      <c r="J869" s="16">
        <f>I869-58</f>
        <v/>
      </c>
      <c r="K869" s="16">
        <f>MAX(0,J869)</f>
        <v/>
      </c>
      <c r="L869" s="16">
        <f>MAX(0,-J869)</f>
        <v/>
      </c>
      <c r="M869" s="16">
        <f>M868+I869</f>
        <v/>
      </c>
      <c r="N869" s="16">
        <f>D869+F869-E869</f>
        <v/>
      </c>
      <c r="O869" s="15" t="inlineStr">
        <is>
          <t>能力满足</t>
        </is>
      </c>
      <c r="P869" s="15" t="inlineStr">
        <is>
          <t>ST1 引取(开:56358.5s 加:55.0s 等前:6130.5s 等后:0.0s) | ST2 集约(开:56413.5s 加:106.0s 等前:0.0s 等后:0.0s) | ST3 空气悬挂+快充(开:56519.5s 加:0.0s 等前:0.0s 等后:114.5s) | ST4 四轮定位上、下(开:56634.0s 加:115.0s 等前:0.0s 等后:15.0s) | ST5 ADAS(开:56764.0s 加:97.0s 等前:0.0s 等后:46.5s) | ST6 ARHUD+慢充(开:56907.5s 加:0.0s 等前:0.0s 等后:114.5s) | ST7 转毂(开:57022.0s 加:116.0s 等前:0.0s 等后:0.0s) | ST8 制动(开:57138.0s 加:108.0s 等前:0.0s 等后:2.5s) | ST9 EG漏液/底盘漏液(开:57248.5s 加:115.0s 等前:0.0s 等后:0.0s) | ST10 全景/空调检查(开:57363.5s 加:98.0s 等前:0.0s 等后:0.0s) | ST11 气囊安装+绝缘(开:57461.5s 加:0.0s 等前:0.0s 等后:0.0s) | ST12 L2++(开:57461.5s 加:0.0s 等前:0.0s 等后:75.5s) | ST13 电检1(开:57537.0s 加:0.0s 等前:0.0s 等后:155.0s) | ST14 电检2(开:57692.0s 加:0.0s 等前:0.0s 等后:101.0s) | ST15 小跑道(开:57793.0s 加:51.0s 等前:0.0s 等后:0.0s)</t>
        </is>
      </c>
    </row>
    <row r="870">
      <c r="A870" s="13" t="n">
        <v>869</v>
      </c>
      <c r="B870" s="13" t="inlineStr">
        <is>
          <t>Car#869</t>
        </is>
      </c>
      <c r="C870" s="13" t="inlineStr">
        <is>
          <t>C</t>
        </is>
      </c>
      <c r="D870" s="14" t="n">
        <v>56491.5</v>
      </c>
      <c r="E870" s="14" t="n">
        <v>57942.5</v>
      </c>
      <c r="F870" s="14" t="n">
        <v>1451</v>
      </c>
      <c r="G870" s="14" t="n">
        <v>6175</v>
      </c>
      <c r="H870" s="13" t="inlineStr">
        <is>
          <t>Car#867</t>
        </is>
      </c>
      <c r="I870" s="14">
        <f>E870-E869</f>
        <v/>
      </c>
      <c r="J870" s="14">
        <f>I870-58</f>
        <v/>
      </c>
      <c r="K870" s="14">
        <f>MAX(0,J870)</f>
        <v/>
      </c>
      <c r="L870" s="14">
        <f>MAX(0,-J870)</f>
        <v/>
      </c>
      <c r="M870" s="14">
        <f>M869+I870</f>
        <v/>
      </c>
      <c r="N870" s="14">
        <f>D870+F870-E870</f>
        <v/>
      </c>
      <c r="O870" s="13" t="inlineStr">
        <is>
          <t>能力超目标：四轮定位上、下、ARHUD+慢充</t>
        </is>
      </c>
      <c r="P870" s="13" t="inlineStr">
        <is>
          <t>ST1 引取(开:56491.5s 加:56.0s 等前:6147.5s 等后:0.0s) | ST2 集约(开:56547.5s 加:111.0s 等前:0.0s 等后:0.0s) | ST3 空气悬挂+快充(开:56658.5s 加:108.5s 等前:0.0s 等后:0.0s) | ST4 四轮定位上、下(开:56767.0s 加:120.5s 等前:0.0s 等后:20.0s) | ST5 ADAS(开:56907.5s 加:107.0s 等前:0.0s 等后:7.5s) | ST6 ARHUD+慢充(开:57022.0s 加:143.5s 等前:0.0s 等后:0.0s) | ST7 转毂(开:57165.5s 加:114.5s 等前:0.0s 等后:0.0s) | ST8 制动(开:57280.0s 加:114.0s 等前:0.0s 等后:0.0s) | ST9 EG漏液/底盘漏液(开:57394.0s 加:112.5s 等前:0.0s 等后:0.0s) | ST10 全景/空调检查(开:57506.5s 加:0.0s 等前:0.0s 等后:0.0s) | ST11 气囊安装+绝缘(开:57506.5s 加:116.0s 等前:0.0s 等后:0.0s) | ST12 L2++(开:57622.5s 加:88.0s 等前:0.0s 等后:0.0s) | ST13 电检1(开:57710.5s 加:84.5s 等前:0.0s 等后:0.0s) | ST14 电检2(开:57795.0s 加:97.5s 等前:0.0s 等后:0.0s) | ST15 小跑道(开:57892.5s 加:50.0s 等前:0.0s 等后:0.0s)</t>
        </is>
      </c>
    </row>
    <row r="871">
      <c r="A871" s="15" t="n">
        <v>870</v>
      </c>
      <c r="B871" s="15" t="inlineStr">
        <is>
          <t>Car#870</t>
        </is>
      </c>
      <c r="C871" s="15" t="inlineStr">
        <is>
          <t>C</t>
        </is>
      </c>
      <c r="D871" s="16" t="n">
        <v>56547.5</v>
      </c>
      <c r="E871" s="16" t="n">
        <v>58015</v>
      </c>
      <c r="F871" s="16" t="n">
        <v>1467.5</v>
      </c>
      <c r="G871" s="16" t="n">
        <v>6189.5</v>
      </c>
      <c r="H871" s="15" t="inlineStr">
        <is>
          <t>Car#869</t>
        </is>
      </c>
      <c r="I871" s="16">
        <f>E871-E870</f>
        <v/>
      </c>
      <c r="J871" s="16">
        <f>I871-58</f>
        <v/>
      </c>
      <c r="K871" s="16">
        <f>MAX(0,J871)</f>
        <v/>
      </c>
      <c r="L871" s="16">
        <f>MAX(0,-J871)</f>
        <v/>
      </c>
      <c r="M871" s="16">
        <f>M870+I871</f>
        <v/>
      </c>
      <c r="N871" s="16">
        <f>D871+F871-E871</f>
        <v/>
      </c>
      <c r="O871" s="15" t="inlineStr">
        <is>
          <t>能力超目标：四轮定位上、下、ARHUD+慢充</t>
        </is>
      </c>
      <c r="P871" s="15" t="inlineStr">
        <is>
          <t>ST1 引取(开:56547.5s 加:56.0s 等前:6145.5s 等后:8.5s) | ST2 集约(开:56612.0s 加:111.0s 等前:0.0s 等后:4.0s) | ST3 空气悬挂+快充(开:56727.0s 加:108.5s 等前:0.0s 等后:28.5s) | ST4 四轮定位上、下(开:56864.0s 加:120.5s 等前:0.0s 等后:0.0s) | ST5 ADAS(开:56984.5s 加:107.0s 等前:0.0s 等后:3.0s) | ST6 ARHUD+慢充(开:57094.5s 加:143.5s 等前:0.0s 等后:0.0s) | ST7 转毂(开:57238.0s 加:114.5s 等前:0.0s 等后:0.0s) | ST8 制动(开:57352.5s 加:114.0s 等前:0.0s 等后:0.0s) | ST9 EG漏液/底盘漏液(开:57466.5s 加:112.5s 等前:0.0s 等后:0.0s) | ST10 全景/空调检查(开:57579.0s 加:0.0s 等前:0.0s 等后:0.0s) | ST11 气囊安装+绝缘(开:57579.0s 加:116.0s 等前:0.0s 等后:0.0s) | ST12 L2++(开:57695.0s 加:88.0s 等前:0.0s 等后:0.0s) | ST13 电检1(开:57783.0s 加:84.5s 等前:0.0s 等后:0.0s) | ST14 电检2(开:57867.5s 加:97.5s 等前:0.0s 等后:0.0s) | ST15 小跑道(开:57965.0s 加:50.0s 等前:0.0s 等后:0.0s)</t>
        </is>
      </c>
    </row>
    <row r="872">
      <c r="A872" s="13" t="n">
        <v>871</v>
      </c>
      <c r="B872" s="13" t="inlineStr">
        <is>
          <t>Car#871</t>
        </is>
      </c>
      <c r="C872" s="13" t="inlineStr">
        <is>
          <t>B</t>
        </is>
      </c>
      <c r="D872" s="14" t="n">
        <v>56612</v>
      </c>
      <c r="E872" s="14" t="n">
        <v>58065</v>
      </c>
      <c r="F872" s="14" t="n">
        <v>1453</v>
      </c>
      <c r="G872" s="14" t="n">
        <v>6273.5</v>
      </c>
      <c r="H872" s="13" t="inlineStr">
        <is>
          <t>Car#870</t>
        </is>
      </c>
      <c r="I872" s="14">
        <f>E872-E871</f>
        <v/>
      </c>
      <c r="J872" s="14">
        <f>I872-58</f>
        <v/>
      </c>
      <c r="K872" s="14">
        <f>MAX(0,J872)</f>
        <v/>
      </c>
      <c r="L872" s="14">
        <f>MAX(0,-J872)</f>
        <v/>
      </c>
      <c r="M872" s="14">
        <f>M871+I872</f>
        <v/>
      </c>
      <c r="N872" s="14">
        <f>D872+F872-E872</f>
        <v/>
      </c>
      <c r="O872" s="13" t="inlineStr">
        <is>
          <t>能力超目标：四轮定位上、下</t>
        </is>
      </c>
      <c r="P872" s="13" t="inlineStr">
        <is>
          <t>ST1 引取(开:56612.0s 加:56.0s 等前:6152.0s 等后:0.0s) | ST2 集约(开:56668.0s 加:111.0s 等前:0.0s 等后:0.0s) | ST3 空气悬挂+快充(开:56779.0s 加:108.5s 等前:0.0s 等后:20.0s) | ST4 四轮定位上、下(开:56907.5s 加:120.5s 等前:0.0s 等后:0.0s) | ST5 ADAS(开:57028.0s 加:107.0s 等前:0.0s 等后:30.5s) | ST6 ARHUD+慢充(开:57165.5s 加:51.5s 等前:0.0s 等后:63.0s) | ST7 转毂(开:57280.0s 加:114.5s 等前:0.0s 等后:0.0s) | ST8 制动(开:57394.5s 加:114.0s 等前:0.0s 等后:0.0s) | ST9 EG漏液/底盘漏液(开:57508.5s 加:112.5s 等前:0.0s 等后:0.0s) | ST10 全景/空调检查(开:57621.0s 加:0.0s 等前:0.0s 等后:1.5s) | ST11 气囊安装+绝缘(开:57622.5s 加:116.0s 等前:0.0s 等后:0.0s) | ST12 L2++(开:57738.5s 加:88.0s 等前:0.0s 等后:0.0s) | ST13 电检1(开:57826.5s 加:84.5s 等前:0.0s 等后:0.0s) | ST14 电检2(开:57911.0s 加:97.5s 等前:0.0s 等后:6.5s) | ST15 小跑道(开:58015.0s 加:50.0s 等前:0.0s 等后:0.0s)</t>
        </is>
      </c>
    </row>
    <row r="873">
      <c r="A873" s="15" t="n">
        <v>872</v>
      </c>
      <c r="B873" s="15" t="inlineStr">
        <is>
          <t>Car#872</t>
        </is>
      </c>
      <c r="C873" s="15" t="inlineStr">
        <is>
          <t>B</t>
        </is>
      </c>
      <c r="D873" s="16" t="n">
        <v>56668</v>
      </c>
      <c r="E873" s="16" t="n">
        <v>58131</v>
      </c>
      <c r="F873" s="16" t="n">
        <v>1463</v>
      </c>
      <c r="G873" s="16" t="n">
        <v>6281.5</v>
      </c>
      <c r="H873" s="15" t="inlineStr">
        <is>
          <t>Car#871</t>
        </is>
      </c>
      <c r="I873" s="16">
        <f>E873-E872</f>
        <v/>
      </c>
      <c r="J873" s="16">
        <f>I873-58</f>
        <v/>
      </c>
      <c r="K873" s="16">
        <f>MAX(0,J873)</f>
        <v/>
      </c>
      <c r="L873" s="16">
        <f>MAX(0,-J873)</f>
        <v/>
      </c>
      <c r="M873" s="16">
        <f>M872+I873</f>
        <v/>
      </c>
      <c r="N873" s="16">
        <f>D873+F873-E873</f>
        <v/>
      </c>
      <c r="O873" s="15" t="inlineStr">
        <is>
          <t>能力超目标：四轮定位上、下</t>
        </is>
      </c>
      <c r="P873" s="15" t="inlineStr">
        <is>
          <t>ST1 引取(开:56668.0s 加:56.0s 等前:6150.0s 等后:3.0s) | ST2 集约(开:56727.0s 加:111.0s 等前:0.0s 等后:26.0s) | ST3 空气悬挂+快充(开:56864.0s 加:108.5s 等前:0.0s 等后:12.0s) | ST4 四轮定位上、下(开:56984.5s 加:120.5s 等前:0.0s 等后:0.0s) | ST5 ADAS(开:57105.0s 加:107.0s 等前:0.0s 等后:26.0s) | ST6 ARHUD+慢充(开:57238.0s 加:51.5s 等前:0.0s 等后:63.0s) | ST7 转毂(开:57352.5s 加:114.5s 等前:0.0s 等后:0.0s) | ST8 制动(开:57467.0s 加:114.0s 等前:0.0s 等后:0.0s) | ST9 EG漏液/底盘漏液(开:57581.0s 加:112.5s 等前:0.0s 等后:0.0s) | ST10 全景/空调检查(开:57693.5s 加:0.0s 等前:0.0s 等后:1.5s) | ST11 气囊安装+绝缘(开:57695.0s 加:116.0s 等前:0.0s 等后:0.0s) | ST12 L2++(开:57811.0s 加:88.0s 等前:0.0s 等后:0.0s) | ST13 电检1(开:57899.0s 加:84.5s 等前:0.0s 等后:0.0s) | ST14 电检2(开:57983.5s 加:97.5s 等前:0.0s 等后:0.0s) | ST15 小跑道(开:58081.0s 加:50.0s 等前:0.0s 等后:0.0s)</t>
        </is>
      </c>
    </row>
    <row r="874">
      <c r="A874" s="13" t="n">
        <v>873</v>
      </c>
      <c r="B874" s="13" t="inlineStr">
        <is>
          <t>Car#873</t>
        </is>
      </c>
      <c r="C874" s="13" t="inlineStr">
        <is>
          <t>C</t>
        </is>
      </c>
      <c r="D874" s="14" t="n">
        <v>56727</v>
      </c>
      <c r="E874" s="14" t="n">
        <v>58200.5</v>
      </c>
      <c r="F874" s="14" t="n">
        <v>1473.5</v>
      </c>
      <c r="G874" s="14" t="n">
        <v>6201</v>
      </c>
      <c r="H874" s="13" t="inlineStr">
        <is>
          <t>Car#872</t>
        </is>
      </c>
      <c r="I874" s="14">
        <f>E874-E873</f>
        <v/>
      </c>
      <c r="J874" s="14">
        <f>I874-58</f>
        <v/>
      </c>
      <c r="K874" s="14">
        <f>MAX(0,J874)</f>
        <v/>
      </c>
      <c r="L874" s="14">
        <f>MAX(0,-J874)</f>
        <v/>
      </c>
      <c r="M874" s="14">
        <f>M873+I874</f>
        <v/>
      </c>
      <c r="N874" s="14">
        <f>D874+F874-E874</f>
        <v/>
      </c>
      <c r="O874" s="13" t="inlineStr">
        <is>
          <t>能力超目标：四轮定位上、下、ARHUD+慢充</t>
        </is>
      </c>
      <c r="P874" s="13" t="inlineStr">
        <is>
          <t>ST1 引取(开:56727.0s 加:56.0s 等前:6151.0s 等后:0.0s) | ST2 集约(开:56783.0s 加:111.0s 等前:0.0s 等后:13.5s) | ST3 空气悬挂+快充(开:56907.5s 加:108.5s 等前:0.0s 等后:12.0s) | ST4 四轮定位上、下(开:57028.0s 加:120.5s 等前:0.0s 等后:17.0s) | ST5 ADAS(开:57165.5s 加:107.0s 等前:0.0s 等后:7.5s) | ST6 ARHUD+慢充(开:57280.0s 加:143.5s 等前:0.0s 等后:0.0s) | ST7 转毂(开:57423.5s 加:114.5s 等前:0.0s 等后:0.0s) | ST8 制动(开:57538.0s 加:114.0s 等前:0.0s 等后:0.0s) | ST9 EG漏液/底盘漏液(开:57652.0s 加:112.5s 等前:0.0s 等后:0.0s) | ST10 全景/空调检查(开:57764.5s 加:0.0s 等前:0.0s 等后:0.0s) | ST11 气囊安装+绝缘(开:57764.5s 加:116.0s 等前:0.0s 等后:0.0s) | ST12 L2++(开:57880.5s 加:88.0s 等前:0.0s 等后:0.0s) | ST13 电检1(开:57968.5s 加:84.5s 等前:0.0s 等后:0.0s) | ST14 电检2(开:58053.0s 加:97.5s 等前:0.0s 等后:0.0s) | ST15 小跑道(开:58150.5s 加:50.0s 等前:0.0s 等后:0.0s)</t>
        </is>
      </c>
    </row>
    <row r="875">
      <c r="A875" s="15" t="n">
        <v>874</v>
      </c>
      <c r="B875" s="15" t="inlineStr">
        <is>
          <t>Car#874</t>
        </is>
      </c>
      <c r="C875" s="15" t="inlineStr">
        <is>
          <t>C</t>
        </is>
      </c>
      <c r="D875" s="16" t="n">
        <v>56783</v>
      </c>
      <c r="E875" s="16" t="n">
        <v>58273</v>
      </c>
      <c r="F875" s="16" t="n">
        <v>1490</v>
      </c>
      <c r="G875" s="16" t="n">
        <v>6215.5</v>
      </c>
      <c r="H875" s="15" t="inlineStr">
        <is>
          <t>Car#873</t>
        </is>
      </c>
      <c r="I875" s="16">
        <f>E875-E874</f>
        <v/>
      </c>
      <c r="J875" s="16">
        <f>I875-58</f>
        <v/>
      </c>
      <c r="K875" s="16">
        <f>MAX(0,J875)</f>
        <v/>
      </c>
      <c r="L875" s="16">
        <f>MAX(0,-J875)</f>
        <v/>
      </c>
      <c r="M875" s="16">
        <f>M874+I875</f>
        <v/>
      </c>
      <c r="N875" s="16">
        <f>D875+F875-E875</f>
        <v/>
      </c>
      <c r="O875" s="15" t="inlineStr">
        <is>
          <t>能力超目标：四轮定位上、下、ARHUD+慢充</t>
        </is>
      </c>
      <c r="P875" s="15" t="inlineStr">
        <is>
          <t>ST1 引取(开:56783.0s 加:56.0s 等前:6149.0s 等后:25.0s) | ST2 集约(开:56864.0s 加:111.0s 等前:0.0s 等后:9.5s) | ST3 空气悬挂+快充(开:56984.5s 加:108.5s 等前:0.0s 等后:12.0s) | ST4 四轮定位上、下(开:57105.0s 加:120.5s 等前:0.0s 等后:12.5s) | ST5 ADAS(开:57238.0s 加:107.0s 等前:0.0s 等后:7.5s) | ST6 ARHUD+慢充(开:57352.5s 加:143.5s 等前:0.0s 等后:0.0s) | ST7 转毂(开:57496.0s 加:114.5s 等前:0.0s 等后:0.0s) | ST8 制动(开:57610.5s 加:114.0s 等前:0.0s 等后:0.0s) | ST9 EG漏液/底盘漏液(开:57724.5s 加:112.5s 等前:0.0s 等后:0.0s) | ST10 全景/空调检查(开:57837.0s 加:0.0s 等前:0.0s 等后:0.0s) | ST11 气囊安装+绝缘(开:57837.0s 加:116.0s 等前:0.0s 等后:0.0s) | ST12 L2++(开:57953.0s 加:88.0s 等前:0.0s 等后:0.0s) | ST13 电检1(开:58041.0s 加:84.5s 等前:0.0s 等后:0.0s) | ST14 电检2(开:58125.5s 加:97.5s 等前:0.0s 等后:0.0s) | ST15 小跑道(开:58223.0s 加:50.0s 等前:0.0s 等后:0.0s)</t>
        </is>
      </c>
    </row>
    <row r="876">
      <c r="A876" s="13" t="n">
        <v>875</v>
      </c>
      <c r="B876" s="13" t="inlineStr">
        <is>
          <t>Car#875</t>
        </is>
      </c>
      <c r="C876" s="13" t="inlineStr">
        <is>
          <t>C</t>
        </is>
      </c>
      <c r="D876" s="14" t="n">
        <v>56864</v>
      </c>
      <c r="E876" s="14" t="n">
        <v>58344</v>
      </c>
      <c r="F876" s="14" t="n">
        <v>1480</v>
      </c>
      <c r="G876" s="14" t="n">
        <v>6228.5</v>
      </c>
      <c r="H876" s="13" t="inlineStr">
        <is>
          <t>Car#874</t>
        </is>
      </c>
      <c r="I876" s="14">
        <f>E876-E875</f>
        <v/>
      </c>
      <c r="J876" s="14">
        <f>I876-58</f>
        <v/>
      </c>
      <c r="K876" s="14">
        <f>MAX(0,J876)</f>
        <v/>
      </c>
      <c r="L876" s="14">
        <f>MAX(0,-J876)</f>
        <v/>
      </c>
      <c r="M876" s="14">
        <f>M875+I876</f>
        <v/>
      </c>
      <c r="N876" s="14">
        <f>D876+F876-E876</f>
        <v/>
      </c>
      <c r="O876" s="13" t="inlineStr">
        <is>
          <t>能力超目标：四轮定位上、下、ARHUD+慢充</t>
        </is>
      </c>
      <c r="P876" s="13" t="inlineStr">
        <is>
          <t>ST1 引取(开:56864.0s 加:56.0s 等前:6172.0s 等后:0.0s) | ST2 集约(开:56920.0s 加:111.0s 等前:0.0s 等后:0.0s) | ST3 空气悬挂+快充(开:57031.0s 加:108.5s 等前:0.0s 等后:26.0s) | ST4 四轮定位上、下(开:57165.5s 加:120.5s 等前:0.0s 等后:0.0s) | ST5 ADAS(开:57286.0s 加:107.0s 等前:0.0s 等后:30.5s) | ST6 ARHUD+慢充(开:57423.5s 加:143.5s 等前:0.0s 等后:0.0s) | ST7 转毂(开:57567.0s 加:114.5s 等前:0.0s 等后:0.0s) | ST8 制动(开:57681.5s 加:114.0s 等前:0.0s 等后:0.0s) | ST9 EG漏液/底盘漏液(开:57795.5s 加:112.5s 等前:0.0s 等后:0.0s) | ST10 全景/空调检查(开:57908.0s 加:0.0s 等前:0.0s 等后:0.0s) | ST11 气囊安装+绝缘(开:57908.0s 加:116.0s 等前:0.0s 等后:0.0s) | ST12 L2++(开:58024.0s 加:88.0s 等前:0.0s 等后:0.0s) | ST13 电检1(开:58112.0s 加:84.5s 等前:0.0s 等后:0.0s) | ST14 电检2(开:58196.5s 加:97.5s 等前:0.0s 等后:0.0s) | ST15 小跑道(开:58294.0s 加:50.0s 等前:0.0s 等后:0.0s)</t>
        </is>
      </c>
    </row>
    <row r="877">
      <c r="A877" s="15" t="n">
        <v>876</v>
      </c>
      <c r="B877" s="15" t="inlineStr">
        <is>
          <t>Car#876</t>
        </is>
      </c>
      <c r="C877" s="15" t="inlineStr">
        <is>
          <t>C</t>
        </is>
      </c>
      <c r="D877" s="16" t="n">
        <v>56920</v>
      </c>
      <c r="E877" s="16" t="n">
        <v>58416.5</v>
      </c>
      <c r="F877" s="16" t="n">
        <v>1496.5</v>
      </c>
      <c r="G877" s="16" t="n">
        <v>6243</v>
      </c>
      <c r="H877" s="15" t="inlineStr">
        <is>
          <t>Car#875</t>
        </is>
      </c>
      <c r="I877" s="16">
        <f>E877-E876</f>
        <v/>
      </c>
      <c r="J877" s="16">
        <f>I877-58</f>
        <v/>
      </c>
      <c r="K877" s="16">
        <f>MAX(0,J877)</f>
        <v/>
      </c>
      <c r="L877" s="16">
        <f>MAX(0,-J877)</f>
        <v/>
      </c>
      <c r="M877" s="16">
        <f>M876+I877</f>
        <v/>
      </c>
      <c r="N877" s="16">
        <f>D877+F877-E877</f>
        <v/>
      </c>
      <c r="O877" s="15" t="inlineStr">
        <is>
          <t>能力超目标：四轮定位上、下、ARHUD+慢充</t>
        </is>
      </c>
      <c r="P877" s="15" t="inlineStr">
        <is>
          <t>ST1 引取(开:56920.0s 加:56.0s 等前:6170.0s 等后:8.5s) | ST2 集约(开:56984.5s 加:111.0s 等前:0.0s 等后:9.5s) | ST3 空气悬挂+快充(开:57105.0s 加:108.5s 等前:0.0s 等后:24.5s) | ST4 四轮定位上、下(开:57238.0s 加:120.5s 等前:0.0s 等后:0.0s) | ST5 ADAS(开:57358.5s 加:107.0s 等前:0.0s 等后:30.5s) | ST6 ARHUD+慢充(开:57496.0s 加:143.5s 等前:0.0s 等后:0.0s) | ST7 转毂(开:57639.5s 加:114.5s 等前:0.0s 等后:0.0s) | ST8 制动(开:57754.0s 加:114.0s 等前:0.0s 等后:0.0s) | ST9 EG漏液/底盘漏液(开:57868.0s 加:112.5s 等前:0.0s 等后:0.0s) | ST10 全景/空调检查(开:57980.5s 加:0.0s 等前:0.0s 等后:0.0s) | ST11 气囊安装+绝缘(开:57980.5s 加:116.0s 等前:0.0s 等后:0.0s) | ST12 L2++(开:58096.5s 加:88.0s 等前:0.0s 等后:0.0s) | ST13 电检1(开:58184.5s 加:84.5s 等前:0.0s 等后:0.0s) | ST14 电检2(开:58269.0s 加:97.5s 等前:0.0s 等后:0.0s) | ST15 小跑道(开:58366.5s 加:50.0s 等前:0.0s 等后:0.0s)</t>
        </is>
      </c>
    </row>
    <row r="878">
      <c r="A878" s="13" t="n">
        <v>877</v>
      </c>
      <c r="B878" s="13" t="inlineStr">
        <is>
          <t>Car#878</t>
        </is>
      </c>
      <c r="C878" s="13" t="inlineStr">
        <is>
          <t>A</t>
        </is>
      </c>
      <c r="D878" s="14" t="n">
        <v>57040.5</v>
      </c>
      <c r="E878" s="14" t="n">
        <v>58467.5</v>
      </c>
      <c r="F878" s="14" t="n">
        <v>1427</v>
      </c>
      <c r="G878" s="14" t="n">
        <v>6740.5</v>
      </c>
      <c r="H878" s="13" t="inlineStr">
        <is>
          <t>Car#876</t>
        </is>
      </c>
      <c r="I878" s="14">
        <f>E878-E877</f>
        <v/>
      </c>
      <c r="J878" s="14">
        <f>I878-58</f>
        <v/>
      </c>
      <c r="K878" s="14">
        <f>MAX(0,J878)</f>
        <v/>
      </c>
      <c r="L878" s="14">
        <f>MAX(0,-J878)</f>
        <v/>
      </c>
      <c r="M878" s="14">
        <f>M877+I878</f>
        <v/>
      </c>
      <c r="N878" s="14">
        <f>D878+F878-E878</f>
        <v/>
      </c>
      <c r="O878" s="13" t="inlineStr">
        <is>
          <t>能力满足</t>
        </is>
      </c>
      <c r="P878" s="13" t="inlineStr">
        <is>
          <t>ST1 引取(开:57040.5s 加:55.0s 等前:6174.5s 等后:9.5s) | ST2 集约(开:57105.0s 加:106.0s 等前:0.0s 等后:27.0s) | ST3 空气悬挂+快充(开:57238.0s 加:0.0s 等前:0.0s 等后:120.5s) | ST4 四轮定位上、下(开:57358.5s 加:115.0s 等前:0.0s 等后:22.5s) | ST5 ADAS(开:57496.0s 加:97.0s 等前:0.0s 等后:46.5s) | ST6 ARHUD+慢充(开:57639.5s 加:0.0s 等前:0.0s 等后:114.5s) | ST7 转毂(开:57754.0s 加:116.0s 等前:0.0s 等后:0.0s) | ST8 制动(开:57870.0s 加:108.0s 等前:0.0s 等后:2.5s) | ST9 EG漏液/底盘漏液(开:57980.5s 加:115.0s 等前:0.0s 等后:0.0s) | ST10 全景/空调检查(开:58095.5s 加:98.0s 等前:0.0s 等后:0.0s) | ST11 气囊安装+绝缘(开:58193.5s 加:0.0s 等前:0.0s 等后:0.0s) | ST12 L2++(开:58193.5s 加:0.0s 等前:0.0s 等后:75.5s) | ST13 电检1(开:58269.0s 加:0.0s 等前:0.0s 等后:97.5s) | ST14 电检2(开:58366.5s 加:0.0s 等前:0.0s 等后:50.0s) | ST15 小跑道(开:58416.5s 加:51.0s 等前:0.0s 等后:0.0s)</t>
        </is>
      </c>
    </row>
    <row r="879">
      <c r="A879" s="15" t="n">
        <v>878</v>
      </c>
      <c r="B879" s="15" t="inlineStr">
        <is>
          <t>Car#877</t>
        </is>
      </c>
      <c r="C879" s="15" t="inlineStr">
        <is>
          <t>C</t>
        </is>
      </c>
      <c r="D879" s="16" t="n">
        <v>56984.5</v>
      </c>
      <c r="E879" s="16" t="n">
        <v>58517.5</v>
      </c>
      <c r="F879" s="16" t="n">
        <v>1533</v>
      </c>
      <c r="G879" s="16" t="n">
        <v>6286</v>
      </c>
      <c r="H879" s="15" t="inlineStr">
        <is>
          <t>Car#878</t>
        </is>
      </c>
      <c r="I879" s="16">
        <f>E879-E878</f>
        <v/>
      </c>
      <c r="J879" s="16">
        <f>I879-58</f>
        <v/>
      </c>
      <c r="K879" s="16">
        <f>MAX(0,J879)</f>
        <v/>
      </c>
      <c r="L879" s="16">
        <f>MAX(0,-J879)</f>
        <v/>
      </c>
      <c r="M879" s="16">
        <f>M878+I879</f>
        <v/>
      </c>
      <c r="N879" s="16">
        <f>D879+F879-E879</f>
        <v/>
      </c>
      <c r="O879" s="15" t="inlineStr">
        <is>
          <t>能力超目标：四轮定位上、下、ARHUD+慢充</t>
        </is>
      </c>
      <c r="P879" s="15" t="inlineStr">
        <is>
          <t>ST1 引取(开:56984.5s 加:56.0s 等前:6176.5s 等后:0.0s) | ST2 集约(开:57040.5s 加:111.0s 等前:0.0s 等后:14.0s) | ST3 空气悬挂+快充(开:57165.5s 加:108.5s 等前:0.0s 等后:12.0s) | ST4 四轮定位上、下(开:57286.0s 加:120.5s 等前:0.0s 等后:17.0s) | ST5 ADAS(开:57423.5s 加:107.0s 等前:0.0s 等后:36.5s) | ST6 ARHUD+慢充(开:57567.0s 加:143.5s 等前:0.0s 等后:0.0s) | ST7 转毂(开:57710.5s 加:114.5s 等前:0.0s 等后:0.0s) | ST8 制动(开:57825.0s 加:114.0s 等前:0.0s 等后:0.0s) | ST9 EG漏液/底盘漏液(开:57939.0s 加:112.5s 等前:0.0s 等后:0.0s) | ST10 全景/空调检查(开:58051.5s 加:0.0s 等前:0.0s 等后:0.0s) | ST11 气囊安装+绝缘(开:58051.5s 加:116.0s 等前:0.0s 等后:0.0s) | ST12 L2++(开:58167.5s 加:88.0s 等前:0.0s 等后:0.0s) | ST13 电检1(开:58255.5s 加:84.5s 等前:0.0s 等后:0.0s) | ST14 电检2(开:58340.0s 加:97.5s 等前:0.0s 等后:30.0s) | ST15 小跑道(开:58467.5s 加:50.0s 等前:0.0s 等后:0.0s)</t>
        </is>
      </c>
    </row>
    <row r="880">
      <c r="A880" s="13" t="n">
        <v>879</v>
      </c>
      <c r="B880" s="13" t="inlineStr">
        <is>
          <t>Car#879</t>
        </is>
      </c>
      <c r="C880" s="13" t="inlineStr">
        <is>
          <t>B</t>
        </is>
      </c>
      <c r="D880" s="14" t="n">
        <v>57105</v>
      </c>
      <c r="E880" s="14" t="n">
        <v>58615</v>
      </c>
      <c r="F880" s="14" t="n">
        <v>1510</v>
      </c>
      <c r="G880" s="14" t="n">
        <v>6359.5</v>
      </c>
      <c r="H880" s="13" t="inlineStr">
        <is>
          <t>Car#877</t>
        </is>
      </c>
      <c r="I880" s="14">
        <f>E880-E879</f>
        <v/>
      </c>
      <c r="J880" s="14">
        <f>I880-58</f>
        <v/>
      </c>
      <c r="K880" s="14">
        <f>MAX(0,J880)</f>
        <v/>
      </c>
      <c r="L880" s="14">
        <f>MAX(0,-J880)</f>
        <v/>
      </c>
      <c r="M880" s="14">
        <f>M879+I880</f>
        <v/>
      </c>
      <c r="N880" s="14">
        <f>D880+F880-E880</f>
        <v/>
      </c>
      <c r="O880" s="13" t="inlineStr">
        <is>
          <t>能力超目标：四轮定位上、下</t>
        </is>
      </c>
      <c r="P880" s="13" t="inlineStr">
        <is>
          <t>ST1 引取(开:57105.0s 加:56.0s 等前:6181.0s 等后:4.5s) | ST2 集约(开:57165.5s 加:111.0s 等前:0.0s 等后:9.5s) | ST3 空气悬挂+快充(开:57286.0s 加:108.5s 等前:0.0s 等后:29.0s) | ST4 四轮定位上、下(开:57423.5s 加:120.5s 等前:0.0s 等后:23.0s) | ST5 ADAS(开:57567.0s 加:107.0s 等前:0.0s 等后:36.5s) | ST6 ARHUD+慢充(开:57710.5s 加:51.5s 等前:0.0s 等后:63.0s) | ST7 转毂(开:57825.0s 加:114.5s 等前:0.0s 等后:0.0s) | ST8 制动(开:57939.5s 加:114.0s 等前:0.0s 等后:0.0s) | ST9 EG漏液/底盘漏液(开:58053.5s 加:112.5s 等前:0.0s 等后:0.0s) | ST10 全景/空调检查(开:58166.0s 加:0.0s 等前:0.0s 等后:1.5s) | ST11 气囊安装+绝缘(开:58167.5s 加:116.0s 等前:0.0s 等后:0.0s) | ST12 L2++(开:58283.5s 加:88.0s 等前:0.0s 等后:0.0s) | ST13 电检1(开:58371.5s 加:84.5s 等前:0.0s 等后:11.5s) | ST14 电检2(开:58467.5s 加:97.5s 等前:0.0s 等后:0.0s) | ST15 小跑道(开:58565.0s 加:50.0s 等前:0.0s 等后:0.0s)</t>
        </is>
      </c>
    </row>
    <row r="881">
      <c r="A881" s="15" t="n">
        <v>880</v>
      </c>
      <c r="B881" s="15" t="inlineStr">
        <is>
          <t>Car#880</t>
        </is>
      </c>
      <c r="C881" s="15" t="inlineStr">
        <is>
          <t>B</t>
        </is>
      </c>
      <c r="D881" s="16" t="n">
        <v>57165.5</v>
      </c>
      <c r="E881" s="16" t="n">
        <v>58665</v>
      </c>
      <c r="F881" s="16" t="n">
        <v>1499.5</v>
      </c>
      <c r="G881" s="16" t="n">
        <v>6351.5</v>
      </c>
      <c r="H881" s="15" t="inlineStr">
        <is>
          <t>Car#879</t>
        </is>
      </c>
      <c r="I881" s="16">
        <f>E881-E880</f>
        <v/>
      </c>
      <c r="J881" s="16">
        <f>I881-58</f>
        <v/>
      </c>
      <c r="K881" s="16">
        <f>MAX(0,J881)</f>
        <v/>
      </c>
      <c r="L881" s="16">
        <f>MAX(0,-J881)</f>
        <v/>
      </c>
      <c r="M881" s="16">
        <f>M880+I881</f>
        <v/>
      </c>
      <c r="N881" s="16">
        <f>D881+F881-E881</f>
        <v/>
      </c>
      <c r="O881" s="15" t="inlineStr">
        <is>
          <t>能力超目标：四轮定位上、下</t>
        </is>
      </c>
      <c r="P881" s="15" t="inlineStr">
        <is>
          <t>ST1 引取(开:57165.5s 加:56.0s 等前:6183.5s 等后:16.5s) | ST2 集约(开:57238.0s 加:111.0s 等前:0.0s 等后:9.5s) | ST3 空气悬挂+快充(开:57358.5s 加:108.5s 等前:0.0s 等后:29.0s) | ST4 四轮定位上、下(开:57496.0s 加:120.5s 等前:0.0s 等后:23.0s) | ST5 ADAS(开:57639.5s 加:107.0s 等前:0.0s 等后:7.5s) | ST6 ARHUD+慢充(开:57754.0s 加:51.5s 等前:0.0s 等后:64.5s) | ST7 转毂(开:57870.0s 加:114.5s 等前:0.0s 等后:0.0s) | ST8 制动(开:57984.5s 加:114.0s 等前:0.0s 等后:0.0s) | ST9 EG漏液/底盘漏液(开:58098.5s 加:112.5s 等前:0.0s 等后:0.0s) | ST10 全景/空调检查(开:58211.0s 加:0.0s 等前:0.0s 等后:0.0s) | ST11 气囊安装+绝缘(开:58211.0s 加:116.0s 等前:0.0s 等后:0.0s) | ST12 L2++(开:58327.0s 加:88.0s 等前:0.0s 等后:0.0s) | ST13 电检1(开:58415.0s 加:84.5s 等前:0.0s 等后:0.0s) | ST14 电检2(开:58499.5s 加:97.5s 等前:0.0s 等后:18.0s) | ST15 小跑道(开:58615.0s 加:50.0s 等前:0.0s 等后:0.0s)</t>
        </is>
      </c>
    </row>
    <row r="882">
      <c r="A882" s="13" t="n">
        <v>881</v>
      </c>
      <c r="B882" s="13" t="inlineStr">
        <is>
          <t>Car#882</t>
        </is>
      </c>
      <c r="C882" s="13" t="inlineStr">
        <is>
          <t>A</t>
        </is>
      </c>
      <c r="D882" s="14" t="n">
        <v>57294</v>
      </c>
      <c r="E882" s="14" t="n">
        <v>58716</v>
      </c>
      <c r="F882" s="14" t="n">
        <v>1422</v>
      </c>
      <c r="G882" s="14" t="n">
        <v>6757</v>
      </c>
      <c r="H882" s="13" t="inlineStr">
        <is>
          <t>Car#880</t>
        </is>
      </c>
      <c r="I882" s="14">
        <f>E882-E881</f>
        <v/>
      </c>
      <c r="J882" s="14">
        <f>I882-58</f>
        <v/>
      </c>
      <c r="K882" s="14">
        <f>MAX(0,J882)</f>
        <v/>
      </c>
      <c r="L882" s="14">
        <f>MAX(0,-J882)</f>
        <v/>
      </c>
      <c r="M882" s="14">
        <f>M881+I882</f>
        <v/>
      </c>
      <c r="N882" s="14">
        <f>D882+F882-E882</f>
        <v/>
      </c>
      <c r="O882" s="13" t="inlineStr">
        <is>
          <t>能力满足</t>
        </is>
      </c>
      <c r="P882" s="13" t="inlineStr">
        <is>
          <t>ST1 引取(开:57294.0s 加:55.0s 等前:6196.0s 等后:9.5s) | ST2 集约(开:57358.5s 加:106.0s 等前:0.0s 等后:31.5s) | ST3 空气悬挂+快充(开:57496.0s 加:0.0s 等前:0.0s 等后:143.5s) | ST4 四轮定位上、下(开:57639.5s 加:115.0s 等前:0.0s 等后:0.0s) | ST5 ADAS(开:57754.5s 加:97.0s 等前:0.0s 等后:18.5s) | ST6 ARHUD+慢充(开:57870.0s 加:0.0s 等前:0.0s 等后:114.5s) | ST7 转毂(开:57984.5s 加:116.0s 等前:0.0s 等后:0.0s) | ST8 制动(开:58100.5s 加:108.0s 等前:0.0s 等后:2.5s) | ST9 EG漏液/底盘漏液(开:58211.0s 加:115.0s 等前:0.0s 等后:0.0s) | ST10 全景/空调检查(开:58326.0s 加:98.0s 等前:0.0s 等后:0.0s) | ST11 气囊安装+绝缘(开:58424.0s 加:0.0s 等前:0.0s 等后:0.0s) | ST12 L2++(开:58424.0s 加:0.0s 等前:0.0s 等后:75.5s) | ST13 电检1(开:58499.5s 加:0.0s 等前:0.0s 等后:115.5s) | ST14 电检2(开:58615.0s 加:0.0s 等前:0.0s 等后:50.0s) | ST15 小跑道(开:58665.0s 加:51.0s 等前:0.0s 等后:0.0s)</t>
        </is>
      </c>
    </row>
    <row r="883">
      <c r="A883" s="15" t="n">
        <v>882</v>
      </c>
      <c r="B883" s="15" t="inlineStr">
        <is>
          <t>Car#881</t>
        </is>
      </c>
      <c r="C883" s="15" t="inlineStr">
        <is>
          <t>B</t>
        </is>
      </c>
      <c r="D883" s="16" t="n">
        <v>57238</v>
      </c>
      <c r="E883" s="16" t="n">
        <v>58766</v>
      </c>
      <c r="F883" s="16" t="n">
        <v>1528</v>
      </c>
      <c r="G883" s="16" t="n">
        <v>6394.5</v>
      </c>
      <c r="H883" s="15" t="inlineStr">
        <is>
          <t>Car#882</t>
        </is>
      </c>
      <c r="I883" s="16">
        <f>E883-E882</f>
        <v/>
      </c>
      <c r="J883" s="16">
        <f>I883-58</f>
        <v/>
      </c>
      <c r="K883" s="16">
        <f>MAX(0,J883)</f>
        <v/>
      </c>
      <c r="L883" s="16">
        <f>MAX(0,-J883)</f>
        <v/>
      </c>
      <c r="M883" s="16">
        <f>M882+I883</f>
        <v/>
      </c>
      <c r="N883" s="16">
        <f>D883+F883-E883</f>
        <v/>
      </c>
      <c r="O883" s="15" t="inlineStr">
        <is>
          <t>能力超目标：四轮定位上、下</t>
        </is>
      </c>
      <c r="P883" s="15" t="inlineStr">
        <is>
          <t>ST1 引取(开:57238.0s 加:56.0s 等前:6198.0s 等后:0.0s) | ST2 集约(开:57294.0s 加:111.0s 等前:0.0s 等后:18.5s) | ST3 空气悬挂+快充(开:57423.5s 加:108.5s 等前:0.0s 等后:35.0s) | ST4 四轮定位上、下(开:57567.0s 加:120.5s 等前:0.0s 等后:23.0s) | ST5 ADAS(开:57710.5s 加:107.0s 等前:0.0s 等后:7.5s) | ST6 ARHUD+慢充(开:57825.0s 加:51.5s 等前:0.0s 等后:63.0s) | ST7 转毂(开:57939.5s 加:114.5s 等前:0.0s 等后:0.0s) | ST8 制动(开:58054.0s 加:114.0s 等前:0.0s 等后:0.0s) | ST9 EG漏液/底盘漏液(开:58168.0s 加:112.5s 等前:0.0s 等后:0.0s) | ST10 全景/空调检查(开:58280.5s 加:0.0s 等前:0.0s 等后:3.0s) | ST11 气囊安装+绝缘(开:58283.5s 加:116.0s 等前:0.0s 等后:0.0s) | ST12 L2++(开:58399.5s 加:88.0s 等前:0.0s 等后:0.0s) | ST13 电检1(开:58487.5s 加:84.5s 等前:0.0s 等后:0.0s) | ST14 电检2(开:58572.0s 加:97.5s 等前:0.0s 等后:46.5s) | ST15 小跑道(开:58716.0s 加:50.0s 等前:0.0s 等后:0.0s)</t>
        </is>
      </c>
    </row>
    <row r="884">
      <c r="A884" s="13" t="n">
        <v>883</v>
      </c>
      <c r="B884" s="13" t="inlineStr">
        <is>
          <t>Car#883</t>
        </is>
      </c>
      <c r="C884" s="13" t="inlineStr">
        <is>
          <t>C</t>
        </is>
      </c>
      <c r="D884" s="14" t="n">
        <v>57358.5</v>
      </c>
      <c r="E884" s="14" t="n">
        <v>58863.5</v>
      </c>
      <c r="F884" s="14" t="n">
        <v>1505</v>
      </c>
      <c r="G884" s="14" t="n">
        <v>6284</v>
      </c>
      <c r="H884" s="13" t="inlineStr">
        <is>
          <t>Car#881</t>
        </is>
      </c>
      <c r="I884" s="14">
        <f>E884-E883</f>
        <v/>
      </c>
      <c r="J884" s="14">
        <f>I884-58</f>
        <v/>
      </c>
      <c r="K884" s="14">
        <f>MAX(0,J884)</f>
        <v/>
      </c>
      <c r="L884" s="14">
        <f>MAX(0,-J884)</f>
        <v/>
      </c>
      <c r="M884" s="14">
        <f>M883+I884</f>
        <v/>
      </c>
      <c r="N884" s="14">
        <f>D884+F884-E884</f>
        <v/>
      </c>
      <c r="O884" s="13" t="inlineStr">
        <is>
          <t>能力超目标：四轮定位上、下、ARHUD+慢充</t>
        </is>
      </c>
      <c r="P884" s="13" t="inlineStr">
        <is>
          <t>ST1 引取(开:57358.5s 加:56.0s 等前:6202.5s 等后:9.0s) | ST2 集约(开:57423.5s 加:111.0s 等前:0.0s 等后:32.5s) | ST3 空气悬挂+快充(开:57567.0s 加:108.5s 等前:0.0s 等后:35.0s) | ST4 四轮定位上、下(开:57710.5s 加:120.5s 等前:0.0s 等后:0.0s) | ST5 ADAS(开:57831.0s 加:107.0s 等前:0.0s 等后:1.5s) | ST6 ARHUD+慢充(开:57939.5s 加:143.5s 等前:0.0s 等后:0.0s) | ST7 转毂(开:58083.0s 加:114.5s 等前:0.0s 等后:0.0s) | ST8 制动(开:58197.5s 加:114.0s 等前:0.0s 等后:0.0s) | ST9 EG漏液/底盘漏液(开:58311.5s 加:112.5s 等前:0.0s 等后:0.0s) | ST10 全景/空调检查(开:58424.0s 加:0.0s 等前:0.0s 等后:0.0s) | ST11 气囊安装+绝缘(开:58424.0s 加:116.0s 等前:0.0s 等后:0.0s) | ST12 L2++(开:58540.0s 加:88.0s 等前:0.0s 等后:0.0s) | ST13 电检1(开:58628.0s 加:84.5s 等前:0.0s 等后:3.5s) | ST14 电检2(开:58716.0s 加:97.5s 等前:0.0s 等后:0.0s) | ST15 小跑道(开:58813.5s 加:50.0s 等前:0.0s 等后:0.0s)</t>
        </is>
      </c>
    </row>
    <row r="885">
      <c r="A885" s="15" t="n">
        <v>884</v>
      </c>
      <c r="B885" s="15" t="inlineStr">
        <is>
          <t>Car#884</t>
        </is>
      </c>
      <c r="C885" s="15" t="inlineStr">
        <is>
          <t>C</t>
        </is>
      </c>
      <c r="D885" s="16" t="n">
        <v>57423.5</v>
      </c>
      <c r="E885" s="16" t="n">
        <v>58913.5</v>
      </c>
      <c r="F885" s="16" t="n">
        <v>1490</v>
      </c>
      <c r="G885" s="16" t="n">
        <v>6276</v>
      </c>
      <c r="H885" s="15" t="inlineStr">
        <is>
          <t>Car#883</t>
        </is>
      </c>
      <c r="I885" s="16">
        <f>E885-E884</f>
        <v/>
      </c>
      <c r="J885" s="16">
        <f>I885-58</f>
        <v/>
      </c>
      <c r="K885" s="16">
        <f>MAX(0,J885)</f>
        <v/>
      </c>
      <c r="L885" s="16">
        <f>MAX(0,-J885)</f>
        <v/>
      </c>
      <c r="M885" s="16">
        <f>M884+I885</f>
        <v/>
      </c>
      <c r="N885" s="16">
        <f>D885+F885-E885</f>
        <v/>
      </c>
      <c r="O885" s="15" t="inlineStr">
        <is>
          <t>能力超目标：四轮定位上、下、ARHUD+慢充</t>
        </is>
      </c>
      <c r="P885" s="15" t="inlineStr">
        <is>
          <t>ST1 引取(开:57423.5s 加:56.0s 等前:6209.5s 等后:16.5s) | ST2 集约(开:57496.0s 加:111.0s 等前:0.0s 等后:32.5s) | ST3 空气悬挂+快充(开:57639.5s 加:108.5s 等前:0.0s 等后:6.5s) | ST4 四轮定位上、下(开:57754.5s 加:120.5s 等前:0.0s 等后:0.0s) | ST5 ADAS(开:57875.0s 加:107.0s 等前:0.0s 等后:2.5s) | ST6 ARHUD+慢充(开:57984.5s 加:143.5s 等前:0.0s 等后:0.0s) | ST7 转毂(开:58128.0s 加:114.5s 等前:0.0s 等后:0.0s) | ST8 制动(开:58242.5s 加:114.0s 等前:0.0s 等后:0.0s) | ST9 EG漏液/底盘漏液(开:58356.5s 加:112.5s 等前:0.0s 等后:0.0s) | ST10 全景/空调检查(开:58469.0s 加:0.0s 等前:0.0s 等后:0.0s) | ST11 气囊安装+绝缘(开:58469.0s 加:116.0s 等前:0.0s 等后:0.0s) | ST12 L2++(开:58585.0s 加:88.0s 等前:0.0s 等后:0.0s) | ST13 电检1(开:58673.0s 加:84.5s 等前:0.0s 等后:0.0s) | ST14 电检2(开:58757.5s 加:97.5s 等前:0.0s 等后:8.5s) | ST15 小跑道(开:58863.5s 加:50.0s 等前:0.0s 等后:0.0s)</t>
        </is>
      </c>
    </row>
    <row r="886">
      <c r="A886" s="13" t="n">
        <v>885</v>
      </c>
      <c r="B886" s="13" t="inlineStr">
        <is>
          <t>Car#886</t>
        </is>
      </c>
      <c r="C886" s="13" t="inlineStr">
        <is>
          <t>A</t>
        </is>
      </c>
      <c r="D886" s="14" t="n">
        <v>57567</v>
      </c>
      <c r="E886" s="14" t="n">
        <v>58964.5</v>
      </c>
      <c r="F886" s="14" t="n">
        <v>1397.5</v>
      </c>
      <c r="G886" s="14" t="n">
        <v>6773.5</v>
      </c>
      <c r="H886" s="13" t="inlineStr">
        <is>
          <t>Car#884</t>
        </is>
      </c>
      <c r="I886" s="14">
        <f>E886-E885</f>
        <v/>
      </c>
      <c r="J886" s="14">
        <f>I886-58</f>
        <v/>
      </c>
      <c r="K886" s="14">
        <f>MAX(0,J886)</f>
        <v/>
      </c>
      <c r="L886" s="14">
        <f>MAX(0,-J886)</f>
        <v/>
      </c>
      <c r="M886" s="14">
        <f>M885+I886</f>
        <v/>
      </c>
      <c r="N886" s="14">
        <f>D886+F886-E886</f>
        <v/>
      </c>
      <c r="O886" s="13" t="inlineStr">
        <is>
          <t>能力满足</t>
        </is>
      </c>
      <c r="P886" s="13" t="inlineStr">
        <is>
          <t>ST1 引取(开:57567.0s 加:55.0s 等前:6237.0s 等后:17.5s) | ST2 集约(开:57639.5s 加:106.0s 等前:0.0s 等后:9.0s) | ST3 空气悬挂+快充(开:57754.5s 加:0.0s 等前:0.0s 等后:120.5s) | ST4 四轮定位上、下(开:57875.0s 加:115.0s 等前:0.0s 等后:0.0s) | ST5 ADAS(开:57990.0s 加:97.0s 等前:0.0s 等后:41.0s) | ST6 ARHUD+慢充(开:58128.0s 加:0.0s 等前:0.0s 等后:114.5s) | ST7 转毂(开:58242.5s 加:116.0s 等前:0.0s 等后:0.0s) | ST8 制动(开:58358.5s 加:108.0s 等前:0.0s 等后:2.5s) | ST9 EG漏液/底盘漏液(开:58469.0s 加:115.0s 等前:0.0s 等后:0.0s) | ST10 全景/空调检查(开:58584.0s 加:98.0s 等前:0.0s 等后:0.0s) | ST11 气囊安装+绝缘(开:58682.0s 加:0.0s 等前:0.0s 等后:0.0s) | ST12 L2++(开:58682.0s 加:0.0s 等前:0.0s 等后:75.5s) | ST13 电检1(开:58757.5s 加:0.0s 等前:0.0s 等后:106.0s) | ST14 电检2(开:58863.5s 加:0.0s 等前:0.0s 等后:50.0s) | ST15 小跑道(开:58913.5s 加:51.0s 等前:0.0s 等后:0.0s)</t>
        </is>
      </c>
    </row>
    <row r="887">
      <c r="A887" s="15" t="n">
        <v>886</v>
      </c>
      <c r="B887" s="15" t="inlineStr">
        <is>
          <t>Car#888</t>
        </is>
      </c>
      <c r="C887" s="15" t="inlineStr">
        <is>
          <t>A</t>
        </is>
      </c>
      <c r="D887" s="16" t="n">
        <v>57710.5</v>
      </c>
      <c r="E887" s="16" t="n">
        <v>59015.5</v>
      </c>
      <c r="F887" s="16" t="n">
        <v>1305</v>
      </c>
      <c r="G887" s="16" t="n">
        <v>6708.5</v>
      </c>
      <c r="H887" s="15" t="inlineStr">
        <is>
          <t>Car#886</t>
        </is>
      </c>
      <c r="I887" s="16">
        <f>E887-E886</f>
        <v/>
      </c>
      <c r="J887" s="16">
        <f>I887-58</f>
        <v/>
      </c>
      <c r="K887" s="16">
        <f>MAX(0,J887)</f>
        <v/>
      </c>
      <c r="L887" s="16">
        <f>MAX(0,-J887)</f>
        <v/>
      </c>
      <c r="M887" s="16">
        <f>M886+I887</f>
        <v/>
      </c>
      <c r="N887" s="16">
        <f>D887+F887-E887</f>
        <v/>
      </c>
      <c r="O887" s="15" t="inlineStr">
        <is>
          <t>能力满足</t>
        </is>
      </c>
      <c r="P887" s="15" t="inlineStr">
        <is>
          <t>ST1 引取(开:57710.5s 加:55.0s 等前:6264.5s 等后:0.0s) | ST2 集约(开:57765.5s 加:106.0s 等前:0.0s 等后:3.5s) | ST3 空气悬挂+快充(开:57875.0s 加:0.0s 等前:0.0s 等后:115.0s) | ST4 四轮定位上、下(开:57990.0s 加:115.0s 等前:0.0s 等后:23.0s) | ST5 ADAS(开:58128.0s 加:97.0s 等前:0.0s 等后:17.5s) | ST6 ARHUD+慢充(开:58242.5s 加:0.0s 等前:0.0s 等后:116.0s) | ST7 转毂(开:58358.5s 加:116.0s 等前:0.0s 等后:0.0s) | ST8 制动(开:58474.5s 加:108.0s 等前:0.0s 等后:1.5s) | ST9 EG漏液/底盘漏液(开:58584.0s 加:115.0s 等前:0.0s 等后:0.0s) | ST10 全景/空调检查(开:58699.0s 加:98.0s 等前:0.0s 等后:0.0s) | ST11 气囊安装+绝缘(开:58797.0s 加:0.0s 等前:0.0s 等后:0.0s) | ST12 L2++(开:58797.0s 加:0.0s 等前:0.0s 等后:66.5s) | ST13 电检1(开:58863.5s 加:0.0s 等前:0.0s 等后:50.0s) | ST14 电检2(开:58913.5s 加:0.0s 等前:0.0s 等后:51.0s) | ST15 小跑道(开:58964.5s 加:51.0s 等前:0.0s 等后:0.0s)</t>
        </is>
      </c>
    </row>
    <row r="888">
      <c r="A888" s="13" t="n">
        <v>887</v>
      </c>
      <c r="B888" s="13" t="inlineStr">
        <is>
          <t>Car#885</t>
        </is>
      </c>
      <c r="C888" s="13" t="inlineStr">
        <is>
          <t>C</t>
        </is>
      </c>
      <c r="D888" s="14" t="n">
        <v>57496</v>
      </c>
      <c r="E888" s="14" t="n">
        <v>59065.5</v>
      </c>
      <c r="F888" s="14" t="n">
        <v>1569.5</v>
      </c>
      <c r="G888" s="14" t="n">
        <v>6370</v>
      </c>
      <c r="H888" s="13" t="inlineStr">
        <is>
          <t>Car#888</t>
        </is>
      </c>
      <c r="I888" s="14">
        <f>E888-E887</f>
        <v/>
      </c>
      <c r="J888" s="14">
        <f>I888-58</f>
        <v/>
      </c>
      <c r="K888" s="14">
        <f>MAX(0,J888)</f>
        <v/>
      </c>
      <c r="L888" s="14">
        <f>MAX(0,-J888)</f>
        <v/>
      </c>
      <c r="M888" s="14">
        <f>M887+I888</f>
        <v/>
      </c>
      <c r="N888" s="14">
        <f>D888+F888-E888</f>
        <v/>
      </c>
      <c r="O888" s="13" t="inlineStr">
        <is>
          <t>能力超目标：四轮定位上、下、ARHUD+慢充</t>
        </is>
      </c>
      <c r="P888" s="13" t="inlineStr">
        <is>
          <t>ST1 引取(开:57496.0s 加:56.0s 等前:6224.0s 等后:15.0s) | ST2 集约(开:57567.0s 加:111.0s 等前:0.0s 等后:32.5s) | ST3 空气悬挂+快充(开:57710.5s 加:108.5s 等前:0.0s 等后:12.0s) | ST4 四轮定位上、下(开:57831.0s 加:120.5s 等前:0.0s 等后:0.0s) | ST5 ADAS(开:57951.5s 加:107.0s 等前:0.0s 等后:24.5s) | ST6 ARHUD+慢充(开:58083.0s 加:143.5s 等前:0.0s 等后:0.0s) | ST7 转毂(开:58226.5s 加:114.5s 等前:0.0s 等后:0.0s) | ST8 制动(开:58341.0s 加:114.0s 等前:0.0s 等后:0.0s) | ST9 EG漏液/底盘漏液(开:58455.0s 加:112.5s 等前:0.0s 等后:0.0s) | ST10 全景/空调检查(开:58567.5s 加:0.0s 等前:0.0s 等后:0.0s) | ST11 气囊安装+绝缘(开:58567.5s 加:116.0s 等前:0.0s 等后:0.0s) | ST12 L2++(开:58683.5s 加:88.0s 等前:0.0s 等后:0.0s) | ST13 电检1(开:58771.5s 加:84.5s 等前:0.0s 等后:0.0s) | ST14 电检2(开:58856.0s 加:97.5s 等前:0.0s 等后:62.0s) | ST15 小跑道(开:59015.5s 加:50.0s 等前:0.0s 等后:0.0s)</t>
        </is>
      </c>
    </row>
    <row r="889">
      <c r="A889" s="15" t="n">
        <v>888</v>
      </c>
      <c r="B889" s="15" t="inlineStr">
        <is>
          <t>Car#887</t>
        </is>
      </c>
      <c r="C889" s="15" t="inlineStr">
        <is>
          <t>A</t>
        </is>
      </c>
      <c r="D889" s="16" t="n">
        <v>57639.5</v>
      </c>
      <c r="E889" s="16" t="n">
        <v>59116.5</v>
      </c>
      <c r="F889" s="16" t="n">
        <v>1477</v>
      </c>
      <c r="G889" s="16" t="n">
        <v>6867.5</v>
      </c>
      <c r="H889" s="15" t="inlineStr">
        <is>
          <t>Car#885</t>
        </is>
      </c>
      <c r="I889" s="16">
        <f>E889-E888</f>
        <v/>
      </c>
      <c r="J889" s="16">
        <f>I889-58</f>
        <v/>
      </c>
      <c r="K889" s="16">
        <f>MAX(0,J889)</f>
        <v/>
      </c>
      <c r="L889" s="16">
        <f>MAX(0,-J889)</f>
        <v/>
      </c>
      <c r="M889" s="16">
        <f>M888+I889</f>
        <v/>
      </c>
      <c r="N889" s="16">
        <f>D889+F889-E889</f>
        <v/>
      </c>
      <c r="O889" s="15" t="inlineStr">
        <is>
          <t>能力满足</t>
        </is>
      </c>
      <c r="P889" s="15" t="inlineStr">
        <is>
          <t>ST1 引取(开:57639.5s 加:55.0s 等前:6251.5s 等后:16.0s) | ST2 集约(开:57710.5s 加:106.0s 等前:0.0s 等后:14.5s) | ST3 空气悬挂+快充(开:57831.0s 加:0.0s 等前:0.0s 等后:120.5s) | ST4 四轮定位上、下(开:57951.5s 加:115.0s 等前:0.0s 等后:16.5s) | ST5 ADAS(开:58083.0s 加:97.0s 等前:0.0s 等后:46.5s) | ST6 ARHUD+慢充(开:58226.5s 加:0.0s 等前:0.0s 等后:114.5s) | ST7 转毂(开:58341.0s 加:116.0s 等前:0.0s 等后:0.0s) | ST8 制动(开:58457.0s 加:108.0s 等前:0.0s 等后:2.5s) | ST9 EG漏液/底盘漏液(开:58567.5s 加:115.0s 等前:0.0s 等后:0.0s) | ST10 全景/空调检查(开:58682.5s 加:98.0s 等前:0.0s 等后:0.0s) | ST11 气囊安装+绝缘(开:58780.5s 加:0.0s 等前:0.0s 等后:0.0s) | ST12 L2++(开:58780.5s 加:0.0s 等前:0.0s 等后:75.5s) | ST13 电检1(开:58856.0s 加:0.0s 等前:0.0s 等后:159.5s) | ST14 电检2(开:59015.5s 加:0.0s 等前:0.0s 等后:50.0s) | ST15 小跑道(开:59065.5s 加:51.0s 等前:0.0s 等后:0.0s)</t>
        </is>
      </c>
    </row>
    <row r="890">
      <c r="A890" s="13" t="n">
        <v>889</v>
      </c>
      <c r="B890" s="13" t="inlineStr">
        <is>
          <t>Car#890</t>
        </is>
      </c>
      <c r="C890" s="13" t="inlineStr">
        <is>
          <t>B</t>
        </is>
      </c>
      <c r="D890" s="14" t="n">
        <v>57831</v>
      </c>
      <c r="E890" s="14" t="n">
        <v>59251.5</v>
      </c>
      <c r="F890" s="14" t="n">
        <v>1420.5</v>
      </c>
      <c r="G890" s="14" t="n">
        <v>6358</v>
      </c>
      <c r="H890" s="13" t="inlineStr">
        <is>
          <t>Car#887</t>
        </is>
      </c>
      <c r="I890" s="14">
        <f>E890-E889</f>
        <v/>
      </c>
      <c r="J890" s="14">
        <f>I890-58</f>
        <v/>
      </c>
      <c r="K890" s="14">
        <f>MAX(0,J890)</f>
        <v/>
      </c>
      <c r="L890" s="14">
        <f>MAX(0,-J890)</f>
        <v/>
      </c>
      <c r="M890" s="14">
        <f>M889+I890</f>
        <v/>
      </c>
      <c r="N890" s="14">
        <f>D890+F890-E890</f>
        <v/>
      </c>
      <c r="O890" s="13" t="inlineStr">
        <is>
          <t>能力超目标：四轮定位上、下</t>
        </is>
      </c>
      <c r="P890" s="13" t="inlineStr">
        <is>
          <t>ST1 引取(开:57831.0s 加:56.0s 等前:6269.0s 等后:0.0s) | ST2 集约(开:57887.0s 加:111.0s 等前:0.0s 等后:0.0s) | ST3 空气悬挂+快充(开:57998.0s 加:108.5s 等前:0.0s 等后:21.5s) | ST4 四轮定位上、下(开:58128.0s 加:120.5s 等前:0.0s 等后:0.0s) | ST5 ADAS(开:58248.5s 加:107.0s 等前:0.0s 等后:3.0s) | ST6 ARHUD+慢充(开:58358.5s 加:51.5s 等前:0.0s 等后:64.5s) | ST7 转毂(开:58474.5s 加:114.5s 等前:0.0s 等后:0.0s) | ST8 制动(开:58589.0s 加:114.0s 等前:0.0s 等后:0.0s) | ST9 EG漏液/底盘漏液(开:58703.0s 加:112.5s 等前:0.0s 等后:0.0s) | ST10 全景/空调检查(开:58815.5s 加:0.0s 等前:0.0s 等后:0.0s) | ST11 气囊安装+绝缘(开:58815.5s 加:116.0s 等前:0.0s 等后:0.0s) | ST12 L2++(开:58931.5s 加:88.0s 等前:0.0s 等后:0.0s) | ST13 电检1(开:59019.5s 加:84.5s 等前:0.0s 等后:0.0s) | ST14 电检2(开:59104.0s 加:97.5s 等前:0.0s 等后:0.0s) | ST15 小跑道(开:59201.5s 加:50.0s 等前:0.0s 等后:0.0s)</t>
        </is>
      </c>
    </row>
    <row r="891">
      <c r="A891" s="15" t="n">
        <v>890</v>
      </c>
      <c r="B891" s="15" t="inlineStr">
        <is>
          <t>Car#889</t>
        </is>
      </c>
      <c r="C891" s="15" t="inlineStr">
        <is>
          <t>C</t>
        </is>
      </c>
      <c r="D891" s="16" t="n">
        <v>57765.5</v>
      </c>
      <c r="E891" s="16" t="n">
        <v>59301.5</v>
      </c>
      <c r="F891" s="16" t="n">
        <v>1536</v>
      </c>
      <c r="G891" s="16" t="n">
        <v>6374</v>
      </c>
      <c r="H891" s="15" t="inlineStr">
        <is>
          <t>Car#890</t>
        </is>
      </c>
      <c r="I891" s="16">
        <f>E891-E890</f>
        <v/>
      </c>
      <c r="J891" s="16">
        <f>I891-58</f>
        <v/>
      </c>
      <c r="K891" s="16">
        <f>MAX(0,J891)</f>
        <v/>
      </c>
      <c r="L891" s="16">
        <f>MAX(0,-J891)</f>
        <v/>
      </c>
      <c r="M891" s="16">
        <f>M890+I891</f>
        <v/>
      </c>
      <c r="N891" s="16">
        <f>D891+F891-E891</f>
        <v/>
      </c>
      <c r="O891" s="15" t="inlineStr">
        <is>
          <t>能力超目标：四轮定位上、下、ARHUD+慢充</t>
        </is>
      </c>
      <c r="P891" s="15" t="inlineStr">
        <is>
          <t>ST1 引取(开:57765.5s 加:56.0s 等前:6261.5s 等后:9.5s) | ST2 集约(开:57831.0s 加:111.0s 等前:0.0s 等后:9.5s) | ST3 空气悬挂+快充(开:57951.5s 加:108.5s 等前:0.0s 等后:23.0s) | ST4 四轮定位上、下(开:58083.0s 加:120.5s 等前:0.0s 等后:23.0s) | ST5 ADAS(开:58226.5s 加:107.0s 等前:0.0s 等后:7.5s) | ST6 ARHUD+慢充(开:58341.0s 加:143.5s 等前:0.0s 等后:0.0s) | ST7 转毂(开:58484.5s 加:114.5s 等前:0.0s 等后:0.0s) | ST8 制动(开:58599.0s 加:114.0s 等前:0.0s 等后:0.0s) | ST9 EG漏液/底盘漏液(开:58713.0s 加:112.5s 等前:0.0s 等后:0.0s) | ST10 全景/空调检查(开:58825.5s 加:0.0s 等前:0.0s 等后:0.0s) | ST11 气囊安装+绝缘(开:58825.5s 加:116.0s 等前:0.0s 等后:0.0s) | ST12 L2++(开:58941.5s 加:88.0s 等前:0.0s 等后:0.0s) | ST13 电检1(开:59029.5s 加:84.5s 等前:0.0s 等后:0.0s) | ST14 电检2(开:59114.0s 加:97.5s 等前:0.0s 等后:40.0s) | ST15 小跑道(开:59251.5s 加:50.0s 等前:0.0s 等后:0.0s)</t>
        </is>
      </c>
    </row>
    <row r="892">
      <c r="A892" s="13" t="n">
        <v>891</v>
      </c>
      <c r="B892" s="13" t="inlineStr">
        <is>
          <t>Car#892</t>
        </is>
      </c>
      <c r="C892" s="13" t="inlineStr">
        <is>
          <t>C</t>
        </is>
      </c>
      <c r="D892" s="14" t="n">
        <v>57951.5</v>
      </c>
      <c r="E892" s="14" t="n">
        <v>59396.5</v>
      </c>
      <c r="F892" s="14" t="n">
        <v>1445</v>
      </c>
      <c r="G892" s="14" t="n">
        <v>6295</v>
      </c>
      <c r="H892" s="13" t="inlineStr">
        <is>
          <t>Car#889</t>
        </is>
      </c>
      <c r="I892" s="14">
        <f>E892-E891</f>
        <v/>
      </c>
      <c r="J892" s="14">
        <f>I892-58</f>
        <v/>
      </c>
      <c r="K892" s="14">
        <f>MAX(0,J892)</f>
        <v/>
      </c>
      <c r="L892" s="14">
        <f>MAX(0,-J892)</f>
        <v/>
      </c>
      <c r="M892" s="14">
        <f>M891+I892</f>
        <v/>
      </c>
      <c r="N892" s="14">
        <f>D892+F892-E892</f>
        <v/>
      </c>
      <c r="O892" s="13" t="inlineStr">
        <is>
          <t>能力超目标：四轮定位上、下、ARHUD+慢充</t>
        </is>
      </c>
      <c r="P892" s="13" t="inlineStr">
        <is>
          <t>ST1 引取(开:57951.5s 加:56.0s 等前:6273.5s 等后:0.0s) | ST2 集约(开:58007.5s 加:111.0s 等前:0.0s 等后:9.5s) | ST3 空气悬挂+快充(开:58128.0s 加:108.5s 等前:0.0s 等后:12.0s) | ST4 四轮定位上、下(开:58248.5s 加:120.5s 等前:0.0s 等后:0.0s) | ST5 ADAS(开:58369.0s 加:107.0s 等前:0.0s 等后:0.0s) | ST6 ARHUD+慢充(开:58476.0s 加:143.5s 等前:0.0s 等后:0.0s) | ST7 转毂(开:58619.5s 加:114.5s 等前:0.0s 等后:0.0s) | ST8 制动(开:58734.0s 加:114.0s 等前:0.0s 等后:0.0s) | ST9 EG漏液/底盘漏液(开:58848.0s 加:112.5s 等前:0.0s 等后:0.0s) | ST10 全景/空调检查(开:58960.5s 加:0.0s 等前:0.0s 等后:0.0s) | ST11 气囊安装+绝缘(开:58960.5s 加:116.0s 等前:0.0s 等后:0.0s) | ST12 L2++(开:59076.5s 加:88.0s 等前:0.0s 等后:0.0s) | ST13 电检1(开:59164.5s 加:84.5s 等前:0.0s 等后:0.0s) | ST14 电检2(开:59249.0s 加:97.5s 等前:0.0s 等后:0.0s) | ST15 小跑道(开:59346.5s 加:50.0s 等前:0.0s 等后:0.0s)</t>
        </is>
      </c>
    </row>
    <row r="893">
      <c r="A893" s="15" t="n">
        <v>892</v>
      </c>
      <c r="B893" s="15" t="inlineStr">
        <is>
          <t>Car#891</t>
        </is>
      </c>
      <c r="C893" s="15" t="inlineStr">
        <is>
          <t>C</t>
        </is>
      </c>
      <c r="D893" s="16" t="n">
        <v>57887</v>
      </c>
      <c r="E893" s="16" t="n">
        <v>59446.5</v>
      </c>
      <c r="F893" s="16" t="n">
        <v>1559.5</v>
      </c>
      <c r="G893" s="16" t="n">
        <v>6403</v>
      </c>
      <c r="H893" s="15" t="inlineStr">
        <is>
          <t>Car#892</t>
        </is>
      </c>
      <c r="I893" s="16">
        <f>E893-E892</f>
        <v/>
      </c>
      <c r="J893" s="16">
        <f>I893-58</f>
        <v/>
      </c>
      <c r="K893" s="16">
        <f>MAX(0,J893)</f>
        <v/>
      </c>
      <c r="L893" s="16">
        <f>MAX(0,-J893)</f>
        <v/>
      </c>
      <c r="M893" s="16">
        <f>M892+I893</f>
        <v/>
      </c>
      <c r="N893" s="16">
        <f>D893+F893-E893</f>
        <v/>
      </c>
      <c r="O893" s="15" t="inlineStr">
        <is>
          <t>能力超目标：四轮定位上、下、ARHUD+慢充</t>
        </is>
      </c>
      <c r="P893" s="15" t="inlineStr">
        <is>
          <t>ST1 引取(开:57887.0s 加:56.0s 等前:6267.0s 等后:8.5s) | ST2 集约(开:57951.5s 加:111.0s 等前:0.0s 等后:20.5s) | ST3 空气悬挂+快充(开:58083.0s 加:108.5s 等前:0.0s 等后:35.0s) | ST4 四轮定位上、下(开:58226.5s 加:120.5s 等前:0.0s 等后:0.0s) | ST5 ADAS(开:58347.0s 加:107.0s 等前:0.0s 等后:30.5s) | ST6 ARHUD+慢充(开:58484.5s 加:143.5s 等前:0.0s 等后:0.0s) | ST7 转毂(开:58628.0s 加:114.5s 等前:0.0s 等后:0.0s) | ST8 制动(开:58742.5s 加:114.0s 等前:0.0s 等后:0.0s) | ST9 EG漏液/底盘漏液(开:58856.5s 加:112.5s 等前:0.0s 等后:0.0s) | ST10 全景/空调检查(开:58969.0s 加:0.0s 等前:0.0s 等后:0.0s) | ST11 气囊安装+绝缘(开:58969.0s 加:116.0s 等前:0.0s 等后:0.0s) | ST12 L2++(开:59085.0s 加:88.0s 等前:0.0s 等后:0.0s) | ST13 电检1(开:59173.0s 加:84.5s 等前:0.0s 等后:0.0s) | ST14 电检2(开:59257.5s 加:97.5s 等前:0.0s 等后:41.5s) | ST15 小跑道(开:59396.5s 加:50.0s 等前:0.0s 等后:0.0s)</t>
        </is>
      </c>
    </row>
    <row r="894">
      <c r="A894" s="13" t="n">
        <v>893</v>
      </c>
      <c r="B894" s="13" t="inlineStr">
        <is>
          <t>Car#894</t>
        </is>
      </c>
      <c r="C894" s="13" t="inlineStr">
        <is>
          <t>B</t>
        </is>
      </c>
      <c r="D894" s="14" t="n">
        <v>58083</v>
      </c>
      <c r="E894" s="14" t="n">
        <v>59512.5</v>
      </c>
      <c r="F894" s="14" t="n">
        <v>1429.5</v>
      </c>
      <c r="G894" s="14" t="n">
        <v>6387</v>
      </c>
      <c r="H894" s="13" t="inlineStr">
        <is>
          <t>Car#891</t>
        </is>
      </c>
      <c r="I894" s="14">
        <f>E894-E893</f>
        <v/>
      </c>
      <c r="J894" s="14">
        <f>I894-58</f>
        <v/>
      </c>
      <c r="K894" s="14">
        <f>MAX(0,J894)</f>
        <v/>
      </c>
      <c r="L894" s="14">
        <f>MAX(0,-J894)</f>
        <v/>
      </c>
      <c r="M894" s="14">
        <f>M893+I894</f>
        <v/>
      </c>
      <c r="N894" s="14">
        <f>D894+F894-E894</f>
        <v/>
      </c>
      <c r="O894" s="13" t="inlineStr">
        <is>
          <t>能力超目标：四轮定位上、下</t>
        </is>
      </c>
      <c r="P894" s="13" t="inlineStr">
        <is>
          <t>ST1 引取(开:58083.0s 加:56.0s 等前:6289.0s 等后:0.0s) | ST2 集约(开:58139.0s 加:111.0s 等前:0.0s 等后:0.0s) | ST3 空气悬挂+快充(开:58250.0s 加:108.5s 等前:0.0s 等后:10.5s) | ST4 四轮定位上、下(开:58369.0s 加:120.5s 等前:0.0s 等后:0.0s) | ST5 ADAS(开:58489.5s 加:107.0s 等前:0.0s 等后:23.0s) | ST6 ARHUD+慢充(开:58619.5s 加:51.5s 等前:0.0s 等后:63.0s) | ST7 转毂(开:58734.0s 加:114.5s 等前:0.0s 等后:0.0s) | ST8 制动(开:58848.5s 加:114.0s 等前:0.0s 等后:0.0s) | ST9 EG漏液/底盘漏液(开:58962.5s 加:112.5s 等前:0.0s 等后:0.0s) | ST10 全景/空调检查(开:59075.0s 加:0.0s 等前:0.0s 等后:1.5s) | ST11 气囊安装+绝缘(开:59076.5s 加:116.0s 等前:0.0s 等后:0.0s) | ST12 L2++(开:59192.5s 加:88.0s 等前:0.0s 等后:0.0s) | ST13 电检1(开:59280.5s 加:84.5s 等前:0.0s 等后:0.0s) | ST14 电检2(开:59365.0s 加:97.5s 等前:0.0s 等后:0.0s) | ST15 小跑道(开:59462.5s 加:50.0s 等前:0.0s 等后:0.0s)</t>
        </is>
      </c>
    </row>
    <row r="895">
      <c r="A895" s="15" t="n">
        <v>894</v>
      </c>
      <c r="B895" s="15" t="inlineStr">
        <is>
          <t>Car#893</t>
        </is>
      </c>
      <c r="C895" s="15" t="inlineStr">
        <is>
          <t>B</t>
        </is>
      </c>
      <c r="D895" s="16" t="n">
        <v>58007.5</v>
      </c>
      <c r="E895" s="16" t="n">
        <v>59562.5</v>
      </c>
      <c r="F895" s="16" t="n">
        <v>1555</v>
      </c>
      <c r="G895" s="16" t="n">
        <v>6495</v>
      </c>
      <c r="H895" s="15" t="inlineStr">
        <is>
          <t>Car#894</t>
        </is>
      </c>
      <c r="I895" s="16">
        <f>E895-E894</f>
        <v/>
      </c>
      <c r="J895" s="16">
        <f>I895-58</f>
        <v/>
      </c>
      <c r="K895" s="16">
        <f>MAX(0,J895)</f>
        <v/>
      </c>
      <c r="L895" s="16">
        <f>MAX(0,-J895)</f>
        <v/>
      </c>
      <c r="M895" s="16">
        <f>M894+I895</f>
        <v/>
      </c>
      <c r="N895" s="16">
        <f>D895+F895-E895</f>
        <v/>
      </c>
      <c r="O895" s="15" t="inlineStr">
        <is>
          <t>能力超目标：四轮定位上、下</t>
        </is>
      </c>
      <c r="P895" s="15" t="inlineStr">
        <is>
          <t>ST1 引取(开:58007.5s 加:56.0s 等前:6271.5s 等后:19.5s) | ST2 集约(开:58083.0s 加:111.0s 等前:0.0s 等后:32.5s) | ST3 空气悬挂+快充(开:58226.5s 加:108.5s 等前:0.0s 等后:12.0s) | ST4 四轮定位上、下(开:58347.0s 加:120.5s 等前:0.0s 等后:17.0s) | ST5 ADAS(开:58484.5s 加:107.0s 等前:0.0s 等后:36.5s) | ST6 ARHUD+慢充(开:58628.0s 加:51.5s 等前:0.0s 等后:63.0s) | ST7 转毂(开:58742.5s 加:114.5s 等前:0.0s 等后:0.0s) | ST8 制动(开:58857.0s 加:114.0s 等前:0.0s 等后:0.0s) | ST9 EG漏液/底盘漏液(开:58971.0s 加:112.5s 等前:0.0s 等后:0.0s) | ST10 全景/空调检查(开:59083.5s 加:0.0s 等前:0.0s 等后:1.5s) | ST11 气囊安装+绝缘(开:59085.0s 加:116.0s 等前:0.0s 等后:0.0s) | ST12 L2++(开:59201.0s 加:88.0s 等前:0.0s 等后:0.0s) | ST13 电检1(开:59289.0s 加:84.5s 等前:0.0s 等后:23.0s) | ST14 电检2(开:59396.5s 加:97.5s 等前:0.0s 等后:18.5s) | ST15 小跑道(开:59512.5s 加:50.0s 等前:0.0s 等后:0.0s)</t>
        </is>
      </c>
    </row>
    <row r="896">
      <c r="A896" s="13" t="n">
        <v>895</v>
      </c>
      <c r="B896" s="13" t="inlineStr">
        <is>
          <t>Car#896</t>
        </is>
      </c>
      <c r="C896" s="13" t="inlineStr">
        <is>
          <t>C</t>
        </is>
      </c>
      <c r="D896" s="14" t="n">
        <v>58226.5</v>
      </c>
      <c r="E896" s="14" t="n">
        <v>59654.5</v>
      </c>
      <c r="F896" s="14" t="n">
        <v>1428</v>
      </c>
      <c r="G896" s="14" t="n">
        <v>6321</v>
      </c>
      <c r="H896" s="13" t="inlineStr">
        <is>
          <t>Car#893</t>
        </is>
      </c>
      <c r="I896" s="14">
        <f>E896-E895</f>
        <v/>
      </c>
      <c r="J896" s="14">
        <f>I896-58</f>
        <v/>
      </c>
      <c r="K896" s="14">
        <f>MAX(0,J896)</f>
        <v/>
      </c>
      <c r="L896" s="14">
        <f>MAX(0,-J896)</f>
        <v/>
      </c>
      <c r="M896" s="14">
        <f>M895+I896</f>
        <v/>
      </c>
      <c r="N896" s="14">
        <f>D896+F896-E896</f>
        <v/>
      </c>
      <c r="O896" s="13" t="inlineStr">
        <is>
          <t>能力超目标：四轮定位上、下、ARHUD+慢充</t>
        </is>
      </c>
      <c r="P896" s="13" t="inlineStr">
        <is>
          <t>ST1 引取(开:58226.5s 加:56.0s 等前:6316.5s 等后:0.0s) | ST2 集约(开:58282.5s 加:111.0s 等前:0.0s 等后:0.0s) | ST3 空气悬挂+快充(开:58393.5s 加:108.5s 等前:0.0s 等后:0.0s) | ST4 四轮定位上、下(开:58502.0s 加:120.5s 等前:0.0s 等后:0.0s) | ST5 ADAS(开:58622.5s 加:107.0s 等前:0.0s 等后:4.5s) | ST6 ARHUD+慢充(开:58734.0s 加:143.5s 等前:0.0s 等后:0.0s) | ST7 转毂(开:58877.5s 加:114.5s 等前:0.0s 等后:0.0s) | ST8 制动(开:58992.0s 加:114.0s 等前:0.0s 等后:0.0s) | ST9 EG漏液/底盘漏液(开:59106.0s 加:112.5s 等前:0.0s 等后:0.0s) | ST10 全景/空调检查(开:59218.5s 加:0.0s 等前:0.0s 等后:0.0s) | ST11 气囊安装+绝缘(开:59218.5s 加:116.0s 等前:0.0s 等后:0.0s) | ST12 L2++(开:59334.5s 加:88.0s 等前:0.0s 等后:0.0s) | ST13 电检1(开:59422.5s 加:84.5s 等前:0.0s 等后:0.0s) | ST14 电检2(开:59507.0s 加:97.5s 等前:0.0s 等后:0.0s) | ST15 小跑道(开:59604.5s 加:50.0s 等前:0.0s 等后:0.0s)</t>
        </is>
      </c>
    </row>
    <row r="897">
      <c r="A897" s="15" t="n">
        <v>896</v>
      </c>
      <c r="B897" s="15" t="inlineStr">
        <is>
          <t>Car#895</t>
        </is>
      </c>
      <c r="C897" s="15" t="inlineStr">
        <is>
          <t>C</t>
        </is>
      </c>
      <c r="D897" s="16" t="n">
        <v>58139</v>
      </c>
      <c r="E897" s="16" t="n">
        <v>59704.5</v>
      </c>
      <c r="F897" s="16" t="n">
        <v>1565.5</v>
      </c>
      <c r="G897" s="16" t="n">
        <v>6429</v>
      </c>
      <c r="H897" s="15" t="inlineStr">
        <is>
          <t>Car#896</t>
        </is>
      </c>
      <c r="I897" s="16">
        <f>E897-E896</f>
        <v/>
      </c>
      <c r="J897" s="16">
        <f>I897-58</f>
        <v/>
      </c>
      <c r="K897" s="16">
        <f>MAX(0,J897)</f>
        <v/>
      </c>
      <c r="L897" s="16">
        <f>MAX(0,-J897)</f>
        <v/>
      </c>
      <c r="M897" s="16">
        <f>M896+I897</f>
        <v/>
      </c>
      <c r="N897" s="16">
        <f>D897+F897-E897</f>
        <v/>
      </c>
      <c r="O897" s="15" t="inlineStr">
        <is>
          <t>能力超目标：四轮定位上、下、ARHUD+慢充</t>
        </is>
      </c>
      <c r="P897" s="15" t="inlineStr">
        <is>
          <t>ST1 引取(开:58139.0s 加:56.0s 等前:6287.0s 等后:31.5s) | ST2 集约(开:58226.5s 加:111.0s 等前:0.0s 等后:9.5s) | ST3 空气悬挂+快充(开:58347.0s 加:108.5s 等前:0.0s 等后:29.0s) | ST4 四轮定位上、下(开:58484.5s 加:120.5s 等前:0.0s 等后:23.0s) | ST5 ADAS(开:58628.0s 加:107.0s 等前:0.0s 等后:7.5s) | ST6 ARHUD+慢充(开:58742.5s 加:143.5s 等前:0.0s 等后:0.0s) | ST7 转毂(开:58886.0s 加:114.5s 等前:0.0s 等后:0.0s) | ST8 制动(开:59000.5s 加:114.0s 等前:0.0s 等后:0.0s) | ST9 EG漏液/底盘漏液(开:59114.5s 加:112.5s 等前:0.0s 等后:0.0s) | ST10 全景/空调检查(开:59227.0s 加:0.0s 等前:0.0s 等后:0.0s) | ST11 气囊安装+绝缘(开:59227.0s 加:116.0s 等前:0.0s 等后:0.0s) | ST12 L2++(开:59343.0s 加:88.0s 等前:0.0s 等后:0.0s) | ST13 电检1(开:59431.0s 加:84.5s 等前:0.0s 等后:0.0s) | ST14 电检2(开:59515.5s 加:97.5s 等前:0.0s 等后:41.5s) | ST15 小跑道(开:59654.5s 加:50.0s 等前:0.0s 等后:0.0s)</t>
        </is>
      </c>
    </row>
    <row r="898">
      <c r="A898" s="13" t="n">
        <v>897</v>
      </c>
      <c r="B898" s="13" t="inlineStr">
        <is>
          <t>Car#898</t>
        </is>
      </c>
      <c r="C898" s="13" t="inlineStr">
        <is>
          <t>C</t>
        </is>
      </c>
      <c r="D898" s="14" t="n">
        <v>58347</v>
      </c>
      <c r="E898" s="14" t="n">
        <v>59798</v>
      </c>
      <c r="F898" s="14" t="n">
        <v>1451</v>
      </c>
      <c r="G898" s="14" t="n">
        <v>6348.5</v>
      </c>
      <c r="H898" s="13" t="inlineStr">
        <is>
          <t>Car#895</t>
        </is>
      </c>
      <c r="I898" s="14">
        <f>E898-E897</f>
        <v/>
      </c>
      <c r="J898" s="14">
        <f>I898-58</f>
        <v/>
      </c>
      <c r="K898" s="14">
        <f>MAX(0,J898)</f>
        <v/>
      </c>
      <c r="L898" s="14">
        <f>MAX(0,-J898)</f>
        <v/>
      </c>
      <c r="M898" s="14">
        <f>M897+I898</f>
        <v/>
      </c>
      <c r="N898" s="14">
        <f>D898+F898-E898</f>
        <v/>
      </c>
      <c r="O898" s="13" t="inlineStr">
        <is>
          <t>能力超目标：四轮定位上、下、ARHUD+慢充</t>
        </is>
      </c>
      <c r="P898" s="13" t="inlineStr">
        <is>
          <t>ST1 引取(开:58347.0s 加:56.0s 等前:6321.0s 等后:0.0s) | ST2 集约(开:58403.0s 加:111.0s 等前:0.0s 等后:0.0s) | ST3 空气悬挂+快充(开:58514.0s 加:108.5s 等前:0.0s 等后:0.0s) | ST4 四轮定位上、下(开:58622.5s 加:120.5s 等前:0.0s 等后:0.0s) | ST5 ADAS(开:58743.0s 加:107.0s 等前:0.0s 等后:27.5s) | ST6 ARHUD+慢充(开:58877.5s 加:143.5s 等前:0.0s 等后:0.0s) | ST7 转毂(开:59021.0s 加:114.5s 等前:0.0s 等后:0.0s) | ST8 制动(开:59135.5s 加:114.0s 等前:0.0s 等后:0.0s) | ST9 EG漏液/底盘漏液(开:59249.5s 加:112.5s 等前:0.0s 等后:0.0s) | ST10 全景/空调检查(开:59362.0s 加:0.0s 等前:0.0s 等后:0.0s) | ST11 气囊安装+绝缘(开:59362.0s 加:116.0s 等前:0.0s 等后:0.0s) | ST12 L2++(开:59478.0s 加:88.0s 等前:0.0s 等后:0.0s) | ST13 电检1(开:59566.0s 加:84.5s 等前:0.0s 等后:0.0s) | ST14 电检2(开:59650.5s 加:97.5s 等前:0.0s 等后:0.0s) | ST15 小跑道(开:59748.0s 加:50.0s 等前:0.0s 等后:0.0s)</t>
        </is>
      </c>
    </row>
    <row r="899">
      <c r="A899" s="15" t="n">
        <v>898</v>
      </c>
      <c r="B899" s="15" t="inlineStr">
        <is>
          <t>Car#900</t>
        </is>
      </c>
      <c r="C899" s="15" t="inlineStr">
        <is>
          <t>A</t>
        </is>
      </c>
      <c r="D899" s="16" t="n">
        <v>58484.5</v>
      </c>
      <c r="E899" s="16" t="n">
        <v>59849</v>
      </c>
      <c r="F899" s="16" t="n">
        <v>1364.5</v>
      </c>
      <c r="G899" s="16" t="n">
        <v>6846</v>
      </c>
      <c r="H899" s="15" t="inlineStr">
        <is>
          <t>Car#898</t>
        </is>
      </c>
      <c r="I899" s="16">
        <f>E899-E898</f>
        <v/>
      </c>
      <c r="J899" s="16">
        <f>I899-58</f>
        <v/>
      </c>
      <c r="K899" s="16">
        <f>MAX(0,J899)</f>
        <v/>
      </c>
      <c r="L899" s="16">
        <f>MAX(0,-J899)</f>
        <v/>
      </c>
      <c r="M899" s="16">
        <f>M898+I899</f>
        <v/>
      </c>
      <c r="N899" s="16">
        <f>D899+F899-E899</f>
        <v/>
      </c>
      <c r="O899" s="15" t="inlineStr">
        <is>
          <t>能力满足</t>
        </is>
      </c>
      <c r="P899" s="15" t="inlineStr">
        <is>
          <t>ST1 引取(开:58484.5s 加:55.0s 等前:6342.5s 等后:0.0s) | ST2 集约(开:58539.5s 加:106.0s 等前:0.0s 等后:0.0s) | ST3 空气悬挂+快充(开:58645.5s 加:0.0s 等前:0.0s 等后:97.5s) | ST4 四轮定位上、下(开:58743.0s 加:115.0s 等前:0.0s 等后:19.5s) | ST5 ADAS(开:58877.5s 加:97.0s 等前:0.0s 等后:46.5s) | ST6 ARHUD+慢充(开:59021.0s 加:0.0s 等前:0.0s 等后:114.5s) | ST7 转毂(开:59135.5s 加:116.0s 等前:0.0s 等后:0.0s) | ST8 制动(开:59251.5s 加:108.0s 等前:0.0s 等后:2.5s) | ST9 EG漏液/底盘漏液(开:59362.0s 加:115.0s 等前:0.0s 等后:0.0s) | ST10 全景/空调检查(开:59477.0s 加:98.0s 等前:0.0s 等后:0.0s) | ST11 气囊安装+绝缘(开:59575.0s 加:0.0s 等前:0.0s 等后:0.0s) | ST12 L2++(开:59575.0s 加:0.0s 等前:0.0s 等后:75.5s) | ST13 电检1(开:59650.5s 加:0.0s 等前:0.0s 等后:97.5s) | ST14 电检2(开:59748.0s 加:0.0s 等前:0.0s 等后:50.0s) | ST15 小跑道(开:59798.0s 加:51.0s 等前:0.0s 等后:0.0s)</t>
        </is>
      </c>
    </row>
    <row r="900">
      <c r="A900" s="13" t="n">
        <v>899</v>
      </c>
      <c r="B900" s="13" t="inlineStr">
        <is>
          <t>Car#897</t>
        </is>
      </c>
      <c r="C900" s="13" t="inlineStr">
        <is>
          <t>C</t>
        </is>
      </c>
      <c r="D900" s="14" t="n">
        <v>58282.5</v>
      </c>
      <c r="E900" s="14" t="n">
        <v>59899</v>
      </c>
      <c r="F900" s="14" t="n">
        <v>1616.5</v>
      </c>
      <c r="G900" s="14" t="n">
        <v>6507.5</v>
      </c>
      <c r="H900" s="13" t="inlineStr">
        <is>
          <t>Car#900</t>
        </is>
      </c>
      <c r="I900" s="14">
        <f>E900-E899</f>
        <v/>
      </c>
      <c r="J900" s="14">
        <f>I900-58</f>
        <v/>
      </c>
      <c r="K900" s="14">
        <f>MAX(0,J900)</f>
        <v/>
      </c>
      <c r="L900" s="14">
        <f>MAX(0,-J900)</f>
        <v/>
      </c>
      <c r="M900" s="14">
        <f>M899+I900</f>
        <v/>
      </c>
      <c r="N900" s="14">
        <f>D900+F900-E900</f>
        <v/>
      </c>
      <c r="O900" s="13" t="inlineStr">
        <is>
          <t>能力超目标：四轮定位上、下、ARHUD+慢充</t>
        </is>
      </c>
      <c r="P900" s="13" t="inlineStr">
        <is>
          <t>ST1 引取(开:58282.5s 加:56.0s 等前:6314.5s 等后:8.5s) | ST2 集约(开:58347.0s 加:111.0s 等前:0.0s 等后:26.5s) | ST3 空气悬挂+快充(开:58484.5s 加:108.5s 等前:0.0s 等后:35.0s) | ST4 四轮定位上、下(开:58628.0s 加:120.5s 等前:0.0s 等后:0.0s) | ST5 ADAS(开:58748.5s 加:107.0s 等前:0.0s 等后:30.5s) | ST6 ARHUD+慢充(开:58886.0s 加:143.5s 等前:0.0s 等后:0.0s) | ST7 转毂(开:59029.5s 加:114.5s 等前:0.0s 等后:0.0s) | ST8 制动(开:59144.0s 加:114.0s 等前:0.0s 等后:0.0s) | ST9 EG漏液/底盘漏液(开:59258.0s 加:112.5s 等前:0.0s 等后:0.0s) | ST10 全景/空调检查(开:59370.5s 加:0.0s 等前:0.0s 等后:0.0s) | ST11 气囊安装+绝缘(开:59370.5s 加:116.0s 等前:0.0s 等后:0.0s) | ST12 L2++(开:59486.5s 加:88.0s 等前:0.0s 等后:0.0s) | ST13 电检1(开:59574.5s 加:84.5s 等前:0.0s 等后:0.0s) | ST14 电检2(开:59659.0s 加:97.5s 等前:0.0s 等后:92.5s) | ST15 小跑道(开:59849.0s 加:50.0s 等前:0.0s 等后:0.0s)</t>
        </is>
      </c>
    </row>
    <row r="901">
      <c r="A901" s="15" t="n">
        <v>900</v>
      </c>
      <c r="B901" s="15" t="inlineStr">
        <is>
          <t>Car#899</t>
        </is>
      </c>
      <c r="C901" s="15" t="inlineStr">
        <is>
          <t>A</t>
        </is>
      </c>
      <c r="D901" s="16" t="n">
        <v>58403</v>
      </c>
      <c r="E901" s="16" t="n">
        <v>59950</v>
      </c>
      <c r="F901" s="16" t="n">
        <v>1547</v>
      </c>
      <c r="G901" s="16" t="n">
        <v>7005</v>
      </c>
      <c r="H901" s="15" t="inlineStr">
        <is>
          <t>Car#897</t>
        </is>
      </c>
      <c r="I901" s="16">
        <f>E901-E900</f>
        <v/>
      </c>
      <c r="J901" s="16">
        <f>I901-58</f>
        <v/>
      </c>
      <c r="K901" s="16">
        <f>MAX(0,J901)</f>
        <v/>
      </c>
      <c r="L901" s="16">
        <f>MAX(0,-J901)</f>
        <v/>
      </c>
      <c r="M901" s="16">
        <f>M900+I901</f>
        <v/>
      </c>
      <c r="N901" s="16">
        <f>D901+F901-E901</f>
        <v/>
      </c>
      <c r="O901" s="15" t="inlineStr">
        <is>
          <t>能力满足</t>
        </is>
      </c>
      <c r="P901" s="15" t="inlineStr">
        <is>
          <t>ST1 引取(开:58403.0s 加:55.0s 等前:6319.0s 等后:26.5s) | ST2 集约(开:58484.5s 加:106.0s 等前:0.0s 等后:37.5s) | ST3 空气悬挂+快充(开:58628.0s 加:0.0s 等前:0.0s 等后:120.5s) | ST4 四轮定位上、下(开:58748.5s 加:115.0s 等前:0.0s 等后:22.5s) | ST5 ADAS(开:58886.0s 加:97.0s 等前:0.0s 等后:46.5s) | ST6 ARHUD+慢充(开:59029.5s 加:0.0s 等前:0.0s 等后:114.5s) | ST7 转毂(开:59144.0s 加:116.0s 等前:0.0s 等后:0.0s) | ST8 制动(开:59260.0s 加:108.0s 等前:0.0s 等后:2.5s) | ST9 EG漏液/底盘漏液(开:59370.5s 加:115.0s 等前:0.0s 等后:0.0s) | ST10 全景/空调检查(开:59485.5s 加:98.0s 等前:0.0s 等后:0.0s) | ST11 气囊安装+绝缘(开:59583.5s 加:0.0s 等前:0.0s 等后:0.0s) | ST12 L2++(开:59583.5s 加:0.0s 等前:0.0s 等后:75.5s) | ST13 电检1(开:59659.0s 加:0.0s 等前:0.0s 等后:190.0s) | ST14 电检2(开:59849.0s 加:0.0s 等前:0.0s 等后:50.0s) | ST15 小跑道(开:59899.0s 加:51.0s 等前:0.0s 等后:0.0s)</t>
        </is>
      </c>
    </row>
    <row r="902">
      <c r="A902" s="13" t="n">
        <v>901</v>
      </c>
      <c r="B902" s="13" t="inlineStr">
        <is>
          <t>Car#902</t>
        </is>
      </c>
      <c r="C902" s="13" t="inlineStr">
        <is>
          <t>B</t>
        </is>
      </c>
      <c r="D902" s="14" t="n">
        <v>58628</v>
      </c>
      <c r="E902" s="14" t="n">
        <v>60028.5</v>
      </c>
      <c r="F902" s="14" t="n">
        <v>1400.5</v>
      </c>
      <c r="G902" s="14" t="n">
        <v>6439</v>
      </c>
      <c r="H902" s="13" t="inlineStr">
        <is>
          <t>Car#899</t>
        </is>
      </c>
      <c r="I902" s="14">
        <f>E902-E901</f>
        <v/>
      </c>
      <c r="J902" s="14">
        <f>I902-58</f>
        <v/>
      </c>
      <c r="K902" s="14">
        <f>MAX(0,J902)</f>
        <v/>
      </c>
      <c r="L902" s="14">
        <f>MAX(0,-J902)</f>
        <v/>
      </c>
      <c r="M902" s="14">
        <f>M901+I902</f>
        <v/>
      </c>
      <c r="N902" s="14">
        <f>D902+F902-E902</f>
        <v/>
      </c>
      <c r="O902" s="13" t="inlineStr">
        <is>
          <t>能力超目标：四轮定位上、下</t>
        </is>
      </c>
      <c r="P902" s="13" t="inlineStr">
        <is>
          <t>ST1 引取(开:58628.0s 加:56.0s 等前:6370.0s 等后:0.0s) | ST2 集约(开:58684.0s 加:111.0s 等前:0.0s 等后:0.0s) | ST3 空气悬挂+快充(开:58795.0s 加:108.5s 等前:0.0s 等后:0.0s) | ST4 四轮定位上、下(开:58903.5s 加:120.5s 等前:0.0s 等后:0.0s) | ST5 ADAS(开:59024.0s 加:107.0s 等前:0.0s 等后:4.5s) | ST6 ARHUD+慢充(开:59135.5s 加:51.5s 等前:0.0s 等后:64.5s) | ST7 转毂(开:59251.5s 加:114.5s 等前:0.0s 等后:0.0s) | ST8 制动(开:59366.0s 加:114.0s 等前:0.0s 等后:0.0s) | ST9 EG漏液/底盘漏液(开:59480.0s 加:112.5s 等前:0.0s 等后:0.0s) | ST10 全景/空调检查(开:59592.5s 加:0.0s 等前:0.0s 等后:0.0s) | ST11 气囊安装+绝缘(开:59592.5s 加:116.0s 等前:0.0s 等后:0.0s) | ST12 L2++(开:59708.5s 加:88.0s 等前:0.0s 等后:0.0s) | ST13 电检1(开:59796.5s 加:84.5s 等前:0.0s 等后:0.0s) | ST14 电检2(开:59881.0s 加:97.5s 等前:0.0s 等后:0.0s) | ST15 小跑道(开:59978.5s 加:50.0s 等前:0.0s 等后:0.0s)</t>
        </is>
      </c>
    </row>
    <row r="903">
      <c r="A903" s="15" t="n">
        <v>902</v>
      </c>
      <c r="B903" s="15" t="inlineStr">
        <is>
          <t>Car#901</t>
        </is>
      </c>
      <c r="C903" s="15" t="inlineStr">
        <is>
          <t>B</t>
        </is>
      </c>
      <c r="D903" s="16" t="n">
        <v>58539.5</v>
      </c>
      <c r="E903" s="16" t="n">
        <v>60081</v>
      </c>
      <c r="F903" s="16" t="n">
        <v>1541.5</v>
      </c>
      <c r="G903" s="16" t="n">
        <v>6549.5</v>
      </c>
      <c r="H903" s="15" t="inlineStr">
        <is>
          <t>Car#902</t>
        </is>
      </c>
      <c r="I903" s="16">
        <f>E903-E902</f>
        <v/>
      </c>
      <c r="J903" s="16">
        <f>I903-58</f>
        <v/>
      </c>
      <c r="K903" s="16">
        <f>MAX(0,J903)</f>
        <v/>
      </c>
      <c r="L903" s="16">
        <f>MAX(0,-J903)</f>
        <v/>
      </c>
      <c r="M903" s="16">
        <f>M902+I903</f>
        <v/>
      </c>
      <c r="N903" s="16">
        <f>D903+F903-E903</f>
        <v/>
      </c>
      <c r="O903" s="15" t="inlineStr">
        <is>
          <t>能力超目标：四轮定位上、下</t>
        </is>
      </c>
      <c r="P903" s="15" t="inlineStr">
        <is>
          <t>ST1 引取(开:58539.5s 加:56.0s 等前:6339.5s 等后:32.5s) | ST2 集约(开:58628.0s 加:111.0s 等前:0.0s 等后:9.5s) | ST3 空气悬挂+快充(开:58748.5s 加:108.5s 等前:0.0s 等后:29.0s) | ST4 四轮定位上、下(开:58886.0s 加:120.5s 等前:0.0s 等后:23.0s) | ST5 ADAS(开:59029.5s 加:107.0s 等前:0.0s 等后:7.5s) | ST6 ARHUD+慢充(开:59144.0s 加:51.5s 等前:0.0s 等后:64.5s) | ST7 转毂(开:59260.0s 加:114.5s 等前:0.0s 等后:0.0s) | ST8 制动(开:59374.5s 加:114.0s 等前:0.0s 等后:0.0s) | ST9 EG漏液/底盘漏液(开:59488.5s 加:112.5s 等前:0.0s 等后:0.0s) | ST10 全景/空调检查(开:59601.0s 加:0.0s 等前:0.0s 等后:0.0s) | ST11 气囊安装+绝缘(开:59601.0s 加:116.0s 等前:0.0s 等后:0.0s) | ST12 L2++(开:59717.0s 加:88.0s 等前:0.0s 等后:44.0s) | ST13 电检1(开:59849.0s 加:84.5s 等前:0.0s 等后:0.0s) | ST14 电检2(开:59933.5s 加:97.5s 等前:0.0s 等后:0.0s) | ST15 小跑道(开:60031.0s 加:50.0s 等前:0.0s 等后:0.0s)</t>
        </is>
      </c>
    </row>
    <row r="904">
      <c r="A904" s="13" t="n">
        <v>903</v>
      </c>
      <c r="B904" s="13" t="inlineStr">
        <is>
          <t>Car#904</t>
        </is>
      </c>
      <c r="C904" s="13" t="inlineStr">
        <is>
          <t>C</t>
        </is>
      </c>
      <c r="D904" s="14" t="n">
        <v>58748.5</v>
      </c>
      <c r="E904" s="14" t="n">
        <v>60172</v>
      </c>
      <c r="F904" s="14" t="n">
        <v>1423.5</v>
      </c>
      <c r="G904" s="14" t="n">
        <v>6374.5</v>
      </c>
      <c r="H904" s="13" t="inlineStr">
        <is>
          <t>Car#901</t>
        </is>
      </c>
      <c r="I904" s="14">
        <f>E904-E903</f>
        <v/>
      </c>
      <c r="J904" s="14">
        <f>I904-58</f>
        <v/>
      </c>
      <c r="K904" s="14">
        <f>MAX(0,J904)</f>
        <v/>
      </c>
      <c r="L904" s="14">
        <f>MAX(0,-J904)</f>
        <v/>
      </c>
      <c r="M904" s="14">
        <f>M903+I904</f>
        <v/>
      </c>
      <c r="N904" s="14">
        <f>D904+F904-E904</f>
        <v/>
      </c>
      <c r="O904" s="13" t="inlineStr">
        <is>
          <t>能力超目标：四轮定位上、下、ARHUD+慢充</t>
        </is>
      </c>
      <c r="P904" s="13" t="inlineStr">
        <is>
          <t>ST1 引取(开:58748.5s 加:56.0s 等前:6374.5s 等后:0.0s) | ST2 集约(开:58804.5s 加:111.0s 等前:0.0s 等后:0.0s) | ST3 空气悬挂+快充(开:58915.5s 加:108.5s 等前:0.0s 等后:0.0s) | ST4 四轮定位上、下(开:59024.0s 加:120.5s 等前:0.0s 等后:0.0s) | ST5 ADAS(开:59144.5s 加:107.0s 等前:0.0s 等后:0.0s) | ST6 ARHUD+慢充(开:59251.5s 加:143.5s 等前:0.0s 等后:0.0s) | ST7 转毂(开:59395.0s 加:114.5s 等前:0.0s 等后:0.0s) | ST8 制动(开:59509.5s 加:114.0s 等前:0.0s 等后:0.0s) | ST9 EG漏液/底盘漏液(开:59623.5s 加:112.5s 等前:0.0s 等后:0.0s) | ST10 全景/空调检查(开:59736.0s 加:0.0s 等前:0.0s 等后:0.0s) | ST11 气囊安装+绝缘(开:59736.0s 加:116.0s 等前:0.0s 等后:0.0s) | ST12 L2++(开:59852.0s 加:88.0s 等前:0.0s 等后:0.0s) | ST13 电检1(开:59940.0s 加:84.5s 等前:0.0s 等后:0.0s) | ST14 电检2(开:60024.5s 加:97.5s 等前:0.0s 等后:0.0s) | ST15 小跑道(开:60122.0s 加:50.0s 等前:0.0s 等后:0.0s)</t>
        </is>
      </c>
    </row>
    <row r="905">
      <c r="A905" s="15" t="n">
        <v>904</v>
      </c>
      <c r="B905" s="15" t="inlineStr">
        <is>
          <t>Car#903</t>
        </is>
      </c>
      <c r="C905" s="15" t="inlineStr">
        <is>
          <t>C</t>
        </is>
      </c>
      <c r="D905" s="16" t="n">
        <v>58684</v>
      </c>
      <c r="E905" s="16" t="n">
        <v>60222</v>
      </c>
      <c r="F905" s="16" t="n">
        <v>1538</v>
      </c>
      <c r="G905" s="16" t="n">
        <v>6482.5</v>
      </c>
      <c r="H905" s="15" t="inlineStr">
        <is>
          <t>Car#904</t>
        </is>
      </c>
      <c r="I905" s="16">
        <f>E905-E904</f>
        <v/>
      </c>
      <c r="J905" s="16">
        <f>I905-58</f>
        <v/>
      </c>
      <c r="K905" s="16">
        <f>MAX(0,J905)</f>
        <v/>
      </c>
      <c r="L905" s="16">
        <f>MAX(0,-J905)</f>
        <v/>
      </c>
      <c r="M905" s="16">
        <f>M904+I905</f>
        <v/>
      </c>
      <c r="N905" s="16">
        <f>D905+F905-E905</f>
        <v/>
      </c>
      <c r="O905" s="15" t="inlineStr">
        <is>
          <t>能力超目标：四轮定位上、下、ARHUD+慢充</t>
        </is>
      </c>
      <c r="P905" s="15" t="inlineStr">
        <is>
          <t>ST1 引取(开:58684.0s 加:56.0s 等前:6368.0s 等后:8.5s) | ST2 集约(开:58748.5s 加:111.0s 等前:0.0s 等后:26.5s) | ST3 空气悬挂+快充(开:58886.0s 加:108.5s 等前:0.0s 等后:35.0s) | ST4 四轮定位上、下(开:59029.5s 加:120.5s 等前:0.0s 等后:0.0s) | ST5 ADAS(开:59150.0s 加:107.0s 等前:0.0s 等后:3.0s) | ST6 ARHUD+慢充(开:59260.0s 加:143.5s 等前:0.0s 等后:0.0s) | ST7 转毂(开:59403.5s 加:114.5s 等前:0.0s 等后:0.0s) | ST8 制动(开:59518.0s 加:114.0s 等前:0.0s 等后:0.0s) | ST9 EG漏液/底盘漏液(开:59632.0s 加:112.5s 等前:0.0s 等后:0.0s) | ST10 全景/空调检查(开:59744.5s 加:0.0s 等前:0.0s 等后:0.0s) | ST11 气囊安装+绝缘(开:59744.5s 加:116.0s 等前:0.0s 等后:0.0s) | ST12 L2++(开:59860.5s 加:88.0s 等前:0.0s 等后:0.0s) | ST13 电检1(开:59948.5s 加:84.5s 等前:0.0s 等后:0.0s) | ST14 电检2(开:60033.0s 加:97.5s 等前:0.0s 等后:41.5s) | ST15 小跑道(开:60172.0s 加:50.0s 等前:0.0s 等后:0.0s)</t>
        </is>
      </c>
    </row>
    <row r="906">
      <c r="A906" s="13" t="n">
        <v>905</v>
      </c>
      <c r="B906" s="13" t="inlineStr">
        <is>
          <t>Car#906</t>
        </is>
      </c>
      <c r="C906" s="13" t="inlineStr">
        <is>
          <t>C</t>
        </is>
      </c>
      <c r="D906" s="14" t="n">
        <v>58886</v>
      </c>
      <c r="E906" s="14" t="n">
        <v>60315.5</v>
      </c>
      <c r="F906" s="14" t="n">
        <v>1429.5</v>
      </c>
      <c r="G906" s="14" t="n">
        <v>6402</v>
      </c>
      <c r="H906" s="13" t="inlineStr">
        <is>
          <t>Car#903</t>
        </is>
      </c>
      <c r="I906" s="14">
        <f>E906-E905</f>
        <v/>
      </c>
      <c r="J906" s="14">
        <f>I906-58</f>
        <v/>
      </c>
      <c r="K906" s="14">
        <f>MAX(0,J906)</f>
        <v/>
      </c>
      <c r="L906" s="14">
        <f>MAX(0,-J906)</f>
        <v/>
      </c>
      <c r="M906" s="14">
        <f>M905+I906</f>
        <v/>
      </c>
      <c r="N906" s="14">
        <f>D906+F906-E906</f>
        <v/>
      </c>
      <c r="O906" s="13" t="inlineStr">
        <is>
          <t>能力超目标：四轮定位上、下、ARHUD+慢充</t>
        </is>
      </c>
      <c r="P906" s="13" t="inlineStr">
        <is>
          <t>ST1 引取(开:58886.0s 加:56.0s 等前:6396.0s 等后:0.0s) | ST2 集约(开:58942.0s 加:111.0s 等前:0.0s 等后:0.0s) | ST3 空气悬挂+快充(开:59053.0s 加:108.5s 等前:0.0s 等后:0.0s) | ST4 四轮定位上、下(开:59161.5s 加:120.5s 等前:0.0s 等后:0.0s) | ST5 ADAS(开:59282.0s 加:107.0s 等前:0.0s 等后:6.0s) | ST6 ARHUD+慢充(开:59395.0s 加:143.5s 等前:0.0s 等后:0.0s) | ST7 转毂(开:59538.5s 加:114.5s 等前:0.0s 等后:0.0s) | ST8 制动(开:59653.0s 加:114.0s 等前:0.0s 等后:0.0s) | ST9 EG漏液/底盘漏液(开:59767.0s 加:112.5s 等前:0.0s 等后:0.0s) | ST10 全景/空调检查(开:59879.5s 加:0.0s 等前:0.0s 等后:0.0s) | ST11 气囊安装+绝缘(开:59879.5s 加:116.0s 等前:0.0s 等后:0.0s) | ST12 L2++(开:59995.5s 加:88.0s 等前:0.0s 等后:0.0s) | ST13 电检1(开:60083.5s 加:84.5s 等前:0.0s 等后:0.0s) | ST14 电检2(开:60168.0s 加:97.5s 等前:0.0s 等后:0.0s) | ST15 小跑道(开:60265.5s 加:50.0s 等前:0.0s 等后:0.0s)</t>
        </is>
      </c>
    </row>
    <row r="907">
      <c r="A907" s="15" t="n">
        <v>906</v>
      </c>
      <c r="B907" s="15" t="inlineStr">
        <is>
          <t>Car#905</t>
        </is>
      </c>
      <c r="C907" s="15" t="inlineStr">
        <is>
          <t>C</t>
        </is>
      </c>
      <c r="D907" s="16" t="n">
        <v>58804.5</v>
      </c>
      <c r="E907" s="16" t="n">
        <v>60365.5</v>
      </c>
      <c r="F907" s="16" t="n">
        <v>1561</v>
      </c>
      <c r="G907" s="16" t="n">
        <v>6510</v>
      </c>
      <c r="H907" s="15" t="inlineStr">
        <is>
          <t>Car#906</t>
        </is>
      </c>
      <c r="I907" s="16">
        <f>E907-E906</f>
        <v/>
      </c>
      <c r="J907" s="16">
        <f>I907-58</f>
        <v/>
      </c>
      <c r="K907" s="16">
        <f>MAX(0,J907)</f>
        <v/>
      </c>
      <c r="L907" s="16">
        <f>MAX(0,-J907)</f>
        <v/>
      </c>
      <c r="M907" s="16">
        <f>M906+I907</f>
        <v/>
      </c>
      <c r="N907" s="16">
        <f>D907+F907-E907</f>
        <v/>
      </c>
      <c r="O907" s="15" t="inlineStr">
        <is>
          <t>能力超目标：四轮定位上、下、ARHUD+慢充</t>
        </is>
      </c>
      <c r="P907" s="15" t="inlineStr">
        <is>
          <t>ST1 引取(开:58804.5s 加:56.0s 等前:6372.5s 等后:25.5s) | ST2 集约(开:58886.0s 加:111.0s 等前:0.0s 等后:32.5s) | ST3 空气悬挂+快充(开:59029.5s 加:108.5s 等前:0.0s 等后:12.0s) | ST4 四轮定位上、下(开:59150.0s 加:120.5s 等前:0.0s 等后:0.0s) | ST5 ADAS(开:59270.5s 加:107.0s 等前:0.0s 等后:26.0s) | ST6 ARHUD+慢充(开:59403.5s 加:143.5s 等前:0.0s 等后:0.0s) | ST7 转毂(开:59547.0s 加:114.5s 等前:0.0s 等后:0.0s) | ST8 制动(开:59661.5s 加:114.0s 等前:0.0s 等后:0.0s) | ST9 EG漏液/底盘漏液(开:59775.5s 加:112.5s 等前:0.0s 等后:0.0s) | ST10 全景/空调检查(开:59888.0s 加:0.0s 等前:0.0s 等后:0.0s) | ST11 气囊安装+绝缘(开:59888.0s 加:116.0s 等前:0.0s 等后:0.0s) | ST12 L2++(开:60004.0s 加:88.0s 等前:0.0s 等后:0.0s) | ST13 电检1(开:60092.0s 加:84.5s 等前:0.0s 等后:0.0s) | ST14 电检2(开:60176.5s 加:97.5s 等前:0.0s 等后:41.5s) | ST15 小跑道(开:60315.5s 加:50.0s 等前:0.0s 等后:0.0s)</t>
        </is>
      </c>
    </row>
    <row r="908">
      <c r="A908" s="13" t="n">
        <v>907</v>
      </c>
      <c r="B908" s="13" t="inlineStr">
        <is>
          <t>Car#907</t>
        </is>
      </c>
      <c r="C908" s="13" t="inlineStr">
        <is>
          <t>A</t>
        </is>
      </c>
      <c r="D908" s="14" t="n">
        <v>58942</v>
      </c>
      <c r="E908" s="14" t="n">
        <v>60416.5</v>
      </c>
      <c r="F908" s="14" t="n">
        <v>1474.5</v>
      </c>
      <c r="G908" s="14" t="n">
        <v>7007.5</v>
      </c>
      <c r="H908" s="13" t="inlineStr">
        <is>
          <t>Car#905</t>
        </is>
      </c>
      <c r="I908" s="14">
        <f>E908-E907</f>
        <v/>
      </c>
      <c r="J908" s="14">
        <f>I908-58</f>
        <v/>
      </c>
      <c r="K908" s="14">
        <f>MAX(0,J908)</f>
        <v/>
      </c>
      <c r="L908" s="14">
        <f>MAX(0,-J908)</f>
        <v/>
      </c>
      <c r="M908" s="14">
        <f>M907+I908</f>
        <v/>
      </c>
      <c r="N908" s="14">
        <f>D908+F908-E908</f>
        <v/>
      </c>
      <c r="O908" s="13" t="inlineStr">
        <is>
          <t>能力满足</t>
        </is>
      </c>
      <c r="P908" s="13" t="inlineStr">
        <is>
          <t>ST1 引取(开:58942.0s 加:55.0s 等前:6394.0s 等后:32.5s) | ST2 集约(开:59029.5s 加:106.0s 等前:0.0s 等后:14.5s) | ST3 空气悬挂+快充(开:59150.0s 加:0.0s 等前:0.0s 等后:120.5s) | ST4 四轮定位上、下(开:59270.5s 加:115.0s 等前:0.0s 等后:18.0s) | ST5 ADAS(开:59403.5s 加:97.0s 等前:0.0s 等后:46.5s) | ST6 ARHUD+慢充(开:59547.0s 加:0.0s 等前:0.0s 等后:114.5s) | ST7 转毂(开:59661.5s 加:116.0s 等前:0.0s 等后:0.0s) | ST8 制动(开:59777.5s 加:108.0s 等前:0.0s 等后:2.5s) | ST9 EG漏液/底盘漏液(开:59888.0s 加:115.0s 等前:0.0s 等后:0.0s) | ST10 全景/空调检查(开:60003.0s 加:98.0s 等前:0.0s 等后:0.0s) | ST11 气囊安装+绝缘(开:60101.0s 加:0.0s 等前:0.0s 等后:0.0s) | ST12 L2++(开:60101.0s 加:0.0s 等前:0.0s 等后:75.5s) | ST13 电检1(开:60176.5s 加:0.0s 等前:0.0s 等后:139.0s) | ST14 电检2(开:60315.5s 加:0.0s 等前:0.0s 等后:50.0s) | ST15 小跑道(开:60365.5s 加:51.0s 等前:0.0s 等后:0.0s)</t>
        </is>
      </c>
    </row>
    <row r="909">
      <c r="A909" s="15" t="n">
        <v>908</v>
      </c>
      <c r="B909" s="15" t="inlineStr">
        <is>
          <t>Car#908</t>
        </is>
      </c>
      <c r="C909" s="15" t="inlineStr">
        <is>
          <t>B</t>
        </is>
      </c>
      <c r="D909" s="16" t="n">
        <v>59029.5</v>
      </c>
      <c r="E909" s="16" t="n">
        <v>60466.5</v>
      </c>
      <c r="F909" s="16" t="n">
        <v>1437</v>
      </c>
      <c r="G909" s="16" t="n">
        <v>6529</v>
      </c>
      <c r="H909" s="15" t="inlineStr">
        <is>
          <t>Car#907</t>
        </is>
      </c>
      <c r="I909" s="16">
        <f>E909-E908</f>
        <v/>
      </c>
      <c r="J909" s="16">
        <f>I909-58</f>
        <v/>
      </c>
      <c r="K909" s="16">
        <f>MAX(0,J909)</f>
        <v/>
      </c>
      <c r="L909" s="16">
        <f>MAX(0,-J909)</f>
        <v/>
      </c>
      <c r="M909" s="16">
        <f>M908+I909</f>
        <v/>
      </c>
      <c r="N909" s="16">
        <f>D909+F909-E909</f>
        <v/>
      </c>
      <c r="O909" s="15" t="inlineStr">
        <is>
          <t>能力超目标：四轮定位上、下</t>
        </is>
      </c>
      <c r="P909" s="15" t="inlineStr">
        <is>
          <t>ST1 引取(开:59029.5s 加:56.0s 等前:6423.5s 等后:0.0s) | ST2 集约(开:59085.5s 加:111.0s 等前:0.0s 等后:0.0s) | ST3 空气悬挂+快充(开:59196.5s 加:108.5s 等前:0.0s 等后:0.0s) | ST4 四轮定位上、下(开:59305.0s 加:120.5s 等前:0.0s 等后:0.0s) | ST5 ADAS(开:59425.5s 加:107.0s 等前:0.0s 等后:6.0s) | ST6 ARHUD+慢充(开:59538.5s 加:51.5s 等前:0.0s 等后:63.0s) | ST7 转毂(开:59653.0s 加:114.5s 等前:0.0s 等后:0.0s) | ST8 制动(开:59767.5s 加:114.0s 等前:0.0s 等后:0.0s) | ST9 EG漏液/底盘漏液(开:59881.5s 加:112.5s 等前:0.0s 等后:0.0s) | ST10 全景/空调检查(开:59994.0s 加:0.0s 等前:0.0s 等后:1.5s) | ST11 气囊安装+绝缘(开:59995.5s 加:116.0s 等前:0.0s 等后:0.0s) | ST12 L2++(开:60111.5s 加:88.0s 等前:0.0s 等后:0.0s) | ST13 电检1(开:60199.5s 加:84.5s 等前:0.0s 等后:0.0s) | ST14 电检2(开:60284.0s 加:97.5s 等前:0.0s 等后:35.0s) | ST15 小跑道(开:60416.5s 加:50.0s 等前:0.0s 等后:0.0s)</t>
        </is>
      </c>
    </row>
    <row r="910">
      <c r="A910" s="13" t="n">
        <v>909</v>
      </c>
      <c r="B910" s="13" t="inlineStr">
        <is>
          <t>Car#909</t>
        </is>
      </c>
      <c r="C910" s="13" t="inlineStr">
        <is>
          <t>B</t>
        </is>
      </c>
      <c r="D910" s="14" t="n">
        <v>59085.5</v>
      </c>
      <c r="E910" s="14" t="n">
        <v>60554.5</v>
      </c>
      <c r="F910" s="14" t="n">
        <v>1469</v>
      </c>
      <c r="G910" s="14" t="n">
        <v>6559</v>
      </c>
      <c r="H910" s="13" t="inlineStr">
        <is>
          <t>Car#908</t>
        </is>
      </c>
      <c r="I910" s="14">
        <f>E910-E909</f>
        <v/>
      </c>
      <c r="J910" s="14">
        <f>I910-58</f>
        <v/>
      </c>
      <c r="K910" s="14">
        <f>MAX(0,J910)</f>
        <v/>
      </c>
      <c r="L910" s="14">
        <f>MAX(0,-J910)</f>
        <v/>
      </c>
      <c r="M910" s="14">
        <f>M909+I910</f>
        <v/>
      </c>
      <c r="N910" s="14">
        <f>D910+F910-E910</f>
        <v/>
      </c>
      <c r="O910" s="13" t="inlineStr">
        <is>
          <t>能力超目标：四轮定位上、下</t>
        </is>
      </c>
      <c r="P910" s="13" t="inlineStr">
        <is>
          <t>ST1 引取(开:59085.5s 加:56.0s 等前:6421.5s 等后:8.5s) | ST2 集约(开:59150.0s 加:111.0s 等前:0.0s 等后:9.5s) | ST3 空气悬挂+快充(开:59270.5s 加:108.5s 等前:0.0s 等后:24.5s) | ST4 四轮定位上、下(开:59403.5s 加:120.5s 等前:0.0s 等后:23.0s) | ST5 ADAS(开:59547.0s 加:107.0s 等前:0.0s 等后:7.5s) | ST6 ARHUD+慢充(开:59661.5s 加:51.5s 等前:0.0s 等后:64.5s) | ST7 转毂(开:59777.5s 加:114.5s 等前:0.0s 等后:0.0s) | ST8 制动(开:59892.0s 加:114.0s 等前:0.0s 等后:0.0s) | ST9 EG漏液/底盘漏液(开:60006.0s 加:112.5s 等前:0.0s 等后:0.0s) | ST10 全景/空调检查(开:60118.5s 加:0.0s 等前:0.0s 等后:0.0s) | ST11 气囊安装+绝缘(开:60118.5s 加:116.0s 等前:0.0s 等后:0.0s) | ST12 L2++(开:60234.5s 加:88.0s 等前:0.0s 等后:0.0s) | ST13 电检1(开:60322.5s 加:84.5s 等前:0.0s 等后:0.0s) | ST14 电检2(开:60407.0s 加:97.5s 等前:0.0s 等后:0.0s) | ST15 小跑道(开:60504.5s 加:50.0s 等前:0.0s 等后:0.0s)</t>
        </is>
      </c>
    </row>
    <row r="911">
      <c r="A911" s="15" t="n">
        <v>910</v>
      </c>
      <c r="B911" s="15" t="inlineStr">
        <is>
          <t>Car#910</t>
        </is>
      </c>
      <c r="C911" s="15" t="inlineStr">
        <is>
          <t>B</t>
        </is>
      </c>
      <c r="D911" s="16" t="n">
        <v>59150</v>
      </c>
      <c r="E911" s="16" t="n">
        <v>60604.5</v>
      </c>
      <c r="F911" s="16" t="n">
        <v>1454.5</v>
      </c>
      <c r="G911" s="16" t="n">
        <v>6551</v>
      </c>
      <c r="H911" s="15" t="inlineStr">
        <is>
          <t>Car#909</t>
        </is>
      </c>
      <c r="I911" s="16">
        <f>E911-E910</f>
        <v/>
      </c>
      <c r="J911" s="16">
        <f>I911-58</f>
        <v/>
      </c>
      <c r="K911" s="16">
        <f>MAX(0,J911)</f>
        <v/>
      </c>
      <c r="L911" s="16">
        <f>MAX(0,-J911)</f>
        <v/>
      </c>
      <c r="M911" s="16">
        <f>M910+I911</f>
        <v/>
      </c>
      <c r="N911" s="16">
        <f>D911+F911-E911</f>
        <v/>
      </c>
      <c r="O911" s="15" t="inlineStr">
        <is>
          <t>能力超目标：四轮定位上、下</t>
        </is>
      </c>
      <c r="P911" s="15" t="inlineStr">
        <is>
          <t>ST1 引取(开:59150.0s 加:56.0s 等前:6428.0s 等后:0.0s) | ST2 集约(开:59206.0s 加:111.0s 等前:0.0s 等后:0.0s) | ST3 空气悬挂+快充(开:59317.0s 加:108.5s 等前:0.0s 等后:0.0s) | ST4 四轮定位上、下(开:59425.5s 加:120.5s 等前:0.0s 等后:0.0s) | ST5 ADAS(开:59546.0s 加:107.0s 等前:0.0s 等后:0.0s) | ST6 ARHUD+慢充(开:59653.0s 加:51.5s 等前:0.0s 等后:63.0s) | ST7 转毂(开:59767.5s 加:114.5s 等前:0.0s 等后:0.0s) | ST8 制动(开:59882.0s 加:114.0s 等前:0.0s 等后:0.0s) | ST9 EG漏液/底盘漏液(开:59996.0s 加:112.5s 等前:0.0s 等后:0.0s) | ST10 全景/空调检查(开:60108.5s 加:0.0s 等前:0.0s 等后:3.0s) | ST11 气囊安装+绝缘(开:60111.5s 加:116.0s 等前:0.0s 等后:0.0s) | ST12 L2++(开:60227.5s 加:88.0s 等前:0.0s 等后:0.0s) | ST13 电检1(开:60315.5s 加:84.5s 等前:0.0s 等后:16.5s) | ST14 电检2(开:60416.5s 加:97.5s 等前:0.0s 等后:40.5s) | ST15 小跑道(开:60554.5s 加:50.0s 等前:0.0s 等后:0.0s)</t>
        </is>
      </c>
    </row>
    <row r="912">
      <c r="A912" s="13" t="n">
        <v>911</v>
      </c>
      <c r="B912" s="13" t="inlineStr">
        <is>
          <t>Car#912</t>
        </is>
      </c>
      <c r="C912" s="13" t="inlineStr">
        <is>
          <t>A</t>
        </is>
      </c>
      <c r="D912" s="14" t="n">
        <v>59270.5</v>
      </c>
      <c r="E912" s="14" t="n">
        <v>60655.5</v>
      </c>
      <c r="F912" s="14" t="n">
        <v>1385</v>
      </c>
      <c r="G912" s="14" t="n">
        <v>6956.5</v>
      </c>
      <c r="H912" s="13" t="inlineStr">
        <is>
          <t>Car#910</t>
        </is>
      </c>
      <c r="I912" s="14">
        <f>E912-E911</f>
        <v/>
      </c>
      <c r="J912" s="14">
        <f>I912-58</f>
        <v/>
      </c>
      <c r="K912" s="14">
        <f>MAX(0,J912)</f>
        <v/>
      </c>
      <c r="L912" s="14">
        <f>MAX(0,-J912)</f>
        <v/>
      </c>
      <c r="M912" s="14">
        <f>M911+I912</f>
        <v/>
      </c>
      <c r="N912" s="14">
        <f>D912+F912-E912</f>
        <v/>
      </c>
      <c r="O912" s="13" t="inlineStr">
        <is>
          <t>能力满足</t>
        </is>
      </c>
      <c r="P912" s="13" t="inlineStr">
        <is>
          <t>ST1 引取(开:59270.5s 加:55.0s 等前:6432.5s 等后:0.0s) | ST2 集约(开:59325.5s 加:106.0s 等前:0.0s 等后:0.0s) | ST3 空气悬挂+快充(开:59431.5s 加:0.0s 等前:0.0s 等后:114.5s) | ST4 四轮定位上、下(开:59546.0s 加:115.0s 等前:0.0s 等后:0.0s) | ST5 ADAS(开:59661.0s 加:97.0s 等前:0.0s 等后:9.5s) | ST6 ARHUD+慢充(开:59767.5s 加:0.0s 等前:0.0s 等后:114.5s) | ST7 转毂(开:59882.0s 加:116.0s 等前:0.0s 等后:0.0s) | ST8 制动(开:59998.0s 加:108.0s 等前:0.0s 等后:2.5s) | ST9 EG漏液/底盘漏液(开:60108.5s 加:115.0s 等前:0.0s 等后:0.0s) | ST10 全景/空调检查(开:60223.5s 加:98.0s 等前:0.0s 等后:0.0s) | ST11 气囊安装+绝缘(开:60321.5s 加:0.0s 等前:0.0s 等后:0.0s) | ST12 L2++(开:60321.5s 加:0.0s 等前:0.0s 等后:95.0s) | ST13 电检1(开:60416.5s 加:0.0s 等前:0.0s 等后:138.0s) | ST14 电检2(开:60554.5s 加:0.0s 等前:0.0s 等后:50.0s) | ST15 小跑道(开:60604.5s 加:51.0s 等前:0.0s 等后:0.0s)</t>
        </is>
      </c>
    </row>
    <row r="913">
      <c r="A913" s="15" t="n">
        <v>912</v>
      </c>
      <c r="B913" s="15" t="inlineStr">
        <is>
          <t>Car#911</t>
        </is>
      </c>
      <c r="C913" s="15" t="inlineStr">
        <is>
          <t>C</t>
        </is>
      </c>
      <c r="D913" s="16" t="n">
        <v>59206</v>
      </c>
      <c r="E913" s="16" t="n">
        <v>60705.5</v>
      </c>
      <c r="F913" s="16" t="n">
        <v>1499.5</v>
      </c>
      <c r="G913" s="16" t="n">
        <v>6502</v>
      </c>
      <c r="H913" s="15" t="inlineStr">
        <is>
          <t>Car#912</t>
        </is>
      </c>
      <c r="I913" s="16">
        <f>E913-E912</f>
        <v/>
      </c>
      <c r="J913" s="16">
        <f>I913-58</f>
        <v/>
      </c>
      <c r="K913" s="16">
        <f>MAX(0,J913)</f>
        <v/>
      </c>
      <c r="L913" s="16">
        <f>MAX(0,-J913)</f>
        <v/>
      </c>
      <c r="M913" s="16">
        <f>M912+I913</f>
        <v/>
      </c>
      <c r="N913" s="16">
        <f>D913+F913-E913</f>
        <v/>
      </c>
      <c r="O913" s="15" t="inlineStr">
        <is>
          <t>能力超目标：四轮定位上、下、ARHUD+慢充</t>
        </is>
      </c>
      <c r="P913" s="15" t="inlineStr">
        <is>
          <t>ST1 引取(开:59206.0s 加:56.0s 等前:6426.0s 等后:8.5s) | ST2 集约(开:59270.5s 加:111.0s 等前:0.0s 等后:22.0s) | ST3 空气悬挂+快充(开:59403.5s 加:108.5s 等前:0.0s 等后:35.0s) | ST4 四轮定位上、下(开:59547.0s 加:120.5s 等前:0.0s 等后:0.0s) | ST5 ADAS(开:59667.5s 加:107.0s 等前:0.0s 等后:3.0s) | ST6 ARHUD+慢充(开:59777.5s 加:143.5s 等前:0.0s 等后:0.0s) | ST7 转毂(开:59921.0s 加:114.5s 等前:0.0s 等后:0.0s) | ST8 制动(开:60035.5s 加:114.0s 等前:0.0s 等后:0.0s) | ST9 EG漏液/底盘漏液(开:60149.5s 加:112.5s 等前:0.0s 等后:0.0s) | ST10 全景/空调检查(开:60262.0s 加:0.0s 等前:0.0s 等后:0.0s) | ST11 气囊安装+绝缘(开:60262.0s 加:116.0s 等前:0.0s 等后:0.0s) | ST12 L2++(开:60378.0s 加:88.0s 等前:0.0s 等后:0.0s) | ST13 电检1(开:60466.0s 加:84.5s 等前:0.0s 等后:0.0s) | ST14 电检2(开:60550.5s 加:97.5s 等前:0.0s 等后:7.5s) | ST15 小跑道(开:60655.5s 加:50.0s 等前:0.0s 等后:0.0s)</t>
        </is>
      </c>
    </row>
    <row r="914">
      <c r="A914" s="13" t="n">
        <v>913</v>
      </c>
      <c r="B914" s="13" t="inlineStr">
        <is>
          <t>Car#914</t>
        </is>
      </c>
      <c r="C914" s="13" t="inlineStr">
        <is>
          <t>C</t>
        </is>
      </c>
      <c r="D914" s="14" t="n">
        <v>59403.5</v>
      </c>
      <c r="E914" s="14" t="n">
        <v>60827</v>
      </c>
      <c r="F914" s="14" t="n">
        <v>1423.5</v>
      </c>
      <c r="G914" s="14" t="n">
        <v>6449.5</v>
      </c>
      <c r="H914" s="13" t="inlineStr">
        <is>
          <t>Car#911</t>
        </is>
      </c>
      <c r="I914" s="14">
        <f>E914-E913</f>
        <v/>
      </c>
      <c r="J914" s="14">
        <f>I914-58</f>
        <v/>
      </c>
      <c r="K914" s="14">
        <f>MAX(0,J914)</f>
        <v/>
      </c>
      <c r="L914" s="14">
        <f>MAX(0,-J914)</f>
        <v/>
      </c>
      <c r="M914" s="14">
        <f>M913+I914</f>
        <v/>
      </c>
      <c r="N914" s="14">
        <f>D914+F914-E914</f>
        <v/>
      </c>
      <c r="O914" s="13" t="inlineStr">
        <is>
          <t>能力超目标：四轮定位上、下、ARHUD+慢充</t>
        </is>
      </c>
      <c r="P914" s="13" t="inlineStr">
        <is>
          <t>ST1 引取(开:59403.5s 加:56.0s 等前:6449.5s 等后:0.0s) | ST2 集约(开:59459.5s 加:111.0s 等前:0.0s 等后:0.0s) | ST3 空气悬挂+快充(开:59570.5s 加:108.5s 等前:0.0s 等后:0.0s) | ST4 四轮定位上、下(开:59679.0s 加:120.5s 等前:0.0s 等后:0.0s) | ST5 ADAS(开:59799.5s 加:107.0s 等前:0.0s 等后:0.0s) | ST6 ARHUD+慢充(开:59906.5s 加:143.5s 等前:0.0s 等后:0.0s) | ST7 转毂(开:60050.0s 加:114.5s 等前:0.0s 等后:0.0s) | ST8 制动(开:60164.5s 加:114.0s 等前:0.0s 等后:0.0s) | ST9 EG漏液/底盘漏液(开:60278.5s 加:112.5s 等前:0.0s 等后:0.0s) | ST10 全景/空调检查(开:60391.0s 加:0.0s 等前:0.0s 等后:0.0s) | ST11 气囊安装+绝缘(开:60391.0s 加:116.0s 等前:0.0s 等后:0.0s) | ST12 L2++(开:60507.0s 加:88.0s 等前:0.0s 等后:0.0s) | ST13 电检1(开:60595.0s 加:84.5s 等前:0.0s 等后:0.0s) | ST14 电检2(开:60679.5s 加:97.5s 等前:0.0s 等后:0.0s) | ST15 小跑道(开:60777.0s 加:50.0s 等前:0.0s 等后:0.0s)</t>
        </is>
      </c>
    </row>
    <row r="915">
      <c r="A915" s="15" t="n">
        <v>914</v>
      </c>
      <c r="B915" s="15" t="inlineStr">
        <is>
          <t>Car#916</t>
        </is>
      </c>
      <c r="C915" s="15" t="inlineStr">
        <is>
          <t>A</t>
        </is>
      </c>
      <c r="D915" s="16" t="n">
        <v>59547</v>
      </c>
      <c r="E915" s="16" t="n">
        <v>60878</v>
      </c>
      <c r="F915" s="16" t="n">
        <v>1331</v>
      </c>
      <c r="G915" s="16" t="n">
        <v>6947</v>
      </c>
      <c r="H915" s="15" t="inlineStr">
        <is>
          <t>Car#914</t>
        </is>
      </c>
      <c r="I915" s="16">
        <f>E915-E914</f>
        <v/>
      </c>
      <c r="J915" s="16">
        <f>I915-58</f>
        <v/>
      </c>
      <c r="K915" s="16">
        <f>MAX(0,J915)</f>
        <v/>
      </c>
      <c r="L915" s="16">
        <f>MAX(0,-J915)</f>
        <v/>
      </c>
      <c r="M915" s="16">
        <f>M914+I915</f>
        <v/>
      </c>
      <c r="N915" s="16">
        <f>D915+F915-E915</f>
        <v/>
      </c>
      <c r="O915" s="15" t="inlineStr">
        <is>
          <t>能力满足</t>
        </is>
      </c>
      <c r="P915" s="15" t="inlineStr">
        <is>
          <t>ST1 引取(开:59547.0s 加:55.0s 等前:6477.0s 等后:0.0s) | ST2 集约(开:59602.0s 加:106.0s 等前:0.0s 等后:0.0s) | ST3 空气悬挂+快充(开:59708.0s 加:0.0s 等前:0.0s 等后:91.5s) | ST4 四轮定位上、下(开:59799.5s 加:115.0s 等前:0.0s 等后:0.0s) | ST5 ADAS(开:59914.5s 加:97.0s 等前:0.0s 等后:38.5s) | ST6 ARHUD+慢充(开:60050.0s 加:0.0s 等前:0.0s 等后:114.5s) | ST7 转毂(开:60164.5s 加:116.0s 等前:0.0s 等后:0.0s) | ST8 制动(开:60280.5s 加:108.0s 等前:0.0s 等后:2.5s) | ST9 EG漏液/底盘漏液(开:60391.0s 加:115.0s 等前:0.0s 等后:0.0s) | ST10 全景/空调检查(开:60506.0s 加:98.0s 等前:0.0s 等后:0.0s) | ST11 气囊安装+绝缘(开:60604.0s 加:0.0s 等前:0.0s 等后:0.0s) | ST12 L2++(开:60604.0s 加:0.0s 等前:0.0s 等后:75.5s) | ST13 电检1(开:60679.5s 加:0.0s 等前:0.0s 等后:97.5s) | ST14 电检2(开:60777.0s 加:0.0s 等前:0.0s 等后:50.0s) | ST15 小跑道(开:60827.0s 加:51.0s 等前:0.0s 等后:0.0s)</t>
        </is>
      </c>
    </row>
    <row r="916">
      <c r="A916" s="13" t="n">
        <v>915</v>
      </c>
      <c r="B916" s="13" t="inlineStr">
        <is>
          <t>Car#913</t>
        </is>
      </c>
      <c r="C916" s="13" t="inlineStr">
        <is>
          <t>C</t>
        </is>
      </c>
      <c r="D916" s="14" t="n">
        <v>59325.5</v>
      </c>
      <c r="E916" s="14" t="n">
        <v>60928</v>
      </c>
      <c r="F916" s="14" t="n">
        <v>1602.5</v>
      </c>
      <c r="G916" s="14" t="n">
        <v>6608.5</v>
      </c>
      <c r="H916" s="13" t="inlineStr">
        <is>
          <t>Car#916</t>
        </is>
      </c>
      <c r="I916" s="14">
        <f>E916-E915</f>
        <v/>
      </c>
      <c r="J916" s="14">
        <f>I916-58</f>
        <v/>
      </c>
      <c r="K916" s="14">
        <f>MAX(0,J916)</f>
        <v/>
      </c>
      <c r="L916" s="14">
        <f>MAX(0,-J916)</f>
        <v/>
      </c>
      <c r="M916" s="14">
        <f>M915+I916</f>
        <v/>
      </c>
      <c r="N916" s="14">
        <f>D916+F916-E916</f>
        <v/>
      </c>
      <c r="O916" s="13" t="inlineStr">
        <is>
          <t>能力超目标：四轮定位上、下、ARHUD+慢充</t>
        </is>
      </c>
      <c r="P916" s="13" t="inlineStr">
        <is>
          <t>ST1 引取(开:59325.5s 加:56.0s 等前:6429.5s 等后:22.0s) | ST2 集约(开:59403.5s 加:111.0s 等前:0.0s 等后:32.5s) | ST3 空气悬挂+快充(开:59547.0s 加:108.5s 等前:0.0s 等后:12.0s) | ST4 四轮定位上、下(开:59667.5s 加:120.5s 等前:0.0s 等后:0.0s) | ST5 ADAS(开:59788.0s 加:107.0s 等前:0.0s 等后:26.0s) | ST6 ARHUD+慢充(开:59921.0s 加:143.5s 等前:0.0s 等后:0.0s) | ST7 转毂(开:60064.5s 加:114.5s 等前:0.0s 等后:0.0s) | ST8 制动(开:60179.0s 加:114.0s 等前:0.0s 等后:0.0s) | ST9 EG漏液/底盘漏液(开:60293.0s 加:112.5s 等前:0.0s 等后:0.0s) | ST10 全景/空调检查(开:60405.5s 加:0.0s 等前:0.0s 等后:0.0s) | ST11 气囊安装+绝缘(开:60405.5s 加:116.0s 等前:0.0s 等后:0.0s) | ST12 L2++(开:60521.5s 加:88.0s 等前:0.0s 等后:0.0s) | ST13 电检1(开:60609.5s 加:84.5s 等前:0.0s 等后:0.0s) | ST14 电检2(开:60694.0s 加:97.5s 等前:0.0s 等后:86.5s) | ST15 小跑道(开:60878.0s 加:50.0s 等前:0.0s 等后:0.0s)</t>
        </is>
      </c>
    </row>
    <row r="917">
      <c r="A917" s="15" t="n">
        <v>916</v>
      </c>
      <c r="B917" s="15" t="inlineStr">
        <is>
          <t>Car#918</t>
        </is>
      </c>
      <c r="C917" s="15" t="inlineStr">
        <is>
          <t>A</t>
        </is>
      </c>
      <c r="D917" s="16" t="n">
        <v>59667.5</v>
      </c>
      <c r="E917" s="16" t="n">
        <v>60979</v>
      </c>
      <c r="F917" s="16" t="n">
        <v>1311.5</v>
      </c>
      <c r="G917" s="16" t="n">
        <v>6932</v>
      </c>
      <c r="H917" s="15" t="inlineStr">
        <is>
          <t>Car#913</t>
        </is>
      </c>
      <c r="I917" s="16">
        <f>E917-E916</f>
        <v/>
      </c>
      <c r="J917" s="16">
        <f>I917-58</f>
        <v/>
      </c>
      <c r="K917" s="16">
        <f>MAX(0,J917)</f>
        <v/>
      </c>
      <c r="L917" s="16">
        <f>MAX(0,-J917)</f>
        <v/>
      </c>
      <c r="M917" s="16">
        <f>M916+I917</f>
        <v/>
      </c>
      <c r="N917" s="16">
        <f>D917+F917-E917</f>
        <v/>
      </c>
      <c r="O917" s="15" t="inlineStr">
        <is>
          <t>能力满足</t>
        </is>
      </c>
      <c r="P917" s="15" t="inlineStr">
        <is>
          <t>ST1 引取(开:59667.5s 加:55.0s 等前:6481.5s 等后:0.0s) | ST2 集约(开:59722.5s 加:106.0s 等前:0.0s 等后:0.0s) | ST3 空气悬挂+快充(开:59828.5s 加:0.0s 等前:0.0s 等后:86.0s) | ST4 四轮定位上、下(开:59914.5s 加:115.0s 等前:0.0s 等后:20.5s) | ST5 ADAS(开:60050.0s 加:97.0s 等前:0.0s 等后:17.5s) | ST6 ARHUD+慢充(开:60164.5s 加:0.0s 等前:0.0s 等后:116.0s) | ST7 转毂(开:60280.5s 加:116.0s 等前:0.0s 等后:0.0s) | ST8 制动(开:60396.5s 加:108.0s 等前:0.0s 等后:1.5s) | ST9 EG漏液/底盘漏液(开:60506.0s 加:115.0s 等前:0.0s 等后:0.0s) | ST10 全景/空调检查(开:60621.0s 加:98.0s 等前:0.0s 等后:0.0s) | ST11 气囊安装+绝缘(开:60719.0s 加:0.0s 等前:0.0s 等后:0.0s) | ST12 L2++(开:60719.0s 加:0.0s 等前:0.0s 等后:58.0s) | ST13 电检1(开:60777.0s 加:0.0s 等前:0.0s 等后:50.0s) | ST14 电检2(开:60827.0s 加:0.0s 等前:0.0s 等后:101.0s) | ST15 小跑道(开:60928.0s 加:51.0s 等前:0.0s 等后:0.0s)</t>
        </is>
      </c>
    </row>
    <row r="918">
      <c r="A918" s="13" t="n">
        <v>917</v>
      </c>
      <c r="B918" s="13" t="inlineStr">
        <is>
          <t>Car#915</t>
        </is>
      </c>
      <c r="C918" s="13" t="inlineStr">
        <is>
          <t>C</t>
        </is>
      </c>
      <c r="D918" s="14" t="n">
        <v>59459.5</v>
      </c>
      <c r="E918" s="14" t="n">
        <v>61029</v>
      </c>
      <c r="F918" s="14" t="n">
        <v>1569.5</v>
      </c>
      <c r="G918" s="14" t="n">
        <v>6593.5</v>
      </c>
      <c r="H918" s="13" t="inlineStr">
        <is>
          <t>Car#918</t>
        </is>
      </c>
      <c r="I918" s="14">
        <f>E918-E917</f>
        <v/>
      </c>
      <c r="J918" s="14">
        <f>I918-58</f>
        <v/>
      </c>
      <c r="K918" s="14">
        <f>MAX(0,J918)</f>
        <v/>
      </c>
      <c r="L918" s="14">
        <f>MAX(0,-J918)</f>
        <v/>
      </c>
      <c r="M918" s="14">
        <f>M917+I918</f>
        <v/>
      </c>
      <c r="N918" s="14">
        <f>D918+F918-E918</f>
        <v/>
      </c>
      <c r="O918" s="13" t="inlineStr">
        <is>
          <t>能力超目标：四轮定位上、下、ARHUD+慢充</t>
        </is>
      </c>
      <c r="P918" s="13" t="inlineStr">
        <is>
          <t>ST1 引取(开:59459.5s 加:56.0s 等前:6447.5s 等后:31.5s) | ST2 集约(开:59547.0s 加:111.0s 等前:0.0s 等后:9.5s) | ST3 空气悬挂+快充(开:59667.5s 加:108.5s 等前:0.0s 等后:12.0s) | ST4 四轮定位上、下(开:59788.0s 加:120.5s 等前:0.0s 等后:12.5s) | ST5 ADAS(开:59921.0s 加:107.0s 等前:0.0s 等后:36.5s) | ST6 ARHUD+慢充(开:60064.5s 加:143.5s 等前:0.0s 等后:0.0s) | ST7 转毂(开:60208.0s 加:114.5s 等前:0.0s 等后:0.0s) | ST8 制动(开:60322.5s 加:114.0s 等前:0.0s 等后:0.0s) | ST9 EG漏液/底盘漏液(开:60436.5s 加:112.5s 等前:0.0s 等后:0.0s) | ST10 全景/空调检查(开:60549.0s 加:0.0s 等前:0.0s 等后:0.0s) | ST11 气囊安装+绝缘(开:60549.0s 加:116.0s 等前:0.0s 等后:0.0s) | ST12 L2++(开:60665.0s 加:88.0s 等前:0.0s 等后:0.0s) | ST13 电检1(开:60753.0s 加:84.5s 等前:0.0s 等后:40.5s) | ST14 电检2(开:60878.0s 加:97.5s 等前:0.0s 等后:3.5s) | ST15 小跑道(开:60979.0s 加:50.0s 等前:0.0s 等后:0.0s)</t>
        </is>
      </c>
    </row>
    <row r="919">
      <c r="A919" s="15" t="n">
        <v>918</v>
      </c>
      <c r="B919" s="15" t="inlineStr">
        <is>
          <t>Car#917</t>
        </is>
      </c>
      <c r="C919" s="15" t="inlineStr">
        <is>
          <t>A</t>
        </is>
      </c>
      <c r="D919" s="16" t="n">
        <v>59602</v>
      </c>
      <c r="E919" s="16" t="n">
        <v>61080</v>
      </c>
      <c r="F919" s="16" t="n">
        <v>1478</v>
      </c>
      <c r="G919" s="16" t="n">
        <v>7091</v>
      </c>
      <c r="H919" s="15" t="inlineStr">
        <is>
          <t>Car#915</t>
        </is>
      </c>
      <c r="I919" s="16">
        <f>E919-E918</f>
        <v/>
      </c>
      <c r="J919" s="16">
        <f>I919-58</f>
        <v/>
      </c>
      <c r="K919" s="16">
        <f>MAX(0,J919)</f>
        <v/>
      </c>
      <c r="L919" s="16">
        <f>MAX(0,-J919)</f>
        <v/>
      </c>
      <c r="M919" s="16">
        <f>M918+I919</f>
        <v/>
      </c>
      <c r="N919" s="16">
        <f>D919+F919-E919</f>
        <v/>
      </c>
      <c r="O919" s="15" t="inlineStr">
        <is>
          <t>能力满足</t>
        </is>
      </c>
      <c r="P919" s="15" t="inlineStr">
        <is>
          <t>ST1 引取(开:59602.0s 加:55.0s 等前:6474.0s 等后:10.5s) | ST2 集约(开:59667.5s 加:106.0s 等前:0.0s 等后:14.5s) | ST3 空气悬挂+快充(开:59788.0s 加:0.0s 等前:0.0s 等后:133.0s) | ST4 四轮定位上、下(开:59921.0s 加:115.0s 等前:0.0s 等后:28.5s) | ST5 ADAS(开:60064.5s 加:97.0s 等前:0.0s 等后:46.5s) | ST6 ARHUD+慢充(开:60208.0s 加:0.0s 等前:0.0s 等后:114.5s) | ST7 转毂(开:60322.5s 加:116.0s 等前:0.0s 等后:0.0s) | ST8 制动(开:60438.5s 加:108.0s 等前:0.0s 等后:2.5s) | ST9 EG漏液/底盘漏液(开:60549.0s 加:115.0s 等前:0.0s 等后:0.0s) | ST10 全景/空调检查(开:60664.0s 加:98.0s 等前:0.0s 等后:0.0s) | ST11 气囊安装+绝缘(开:60762.0s 加:0.0s 等前:0.0s 等后:0.0s) | ST12 L2++(开:60762.0s 加:0.0s 等前:0.0s 等后:116.0s) | ST13 电检1(开:60878.0s 加:0.0s 等前:0.0s 等后:101.0s) | ST14 电检2(开:60979.0s 加:0.0s 等前:0.0s 等后:50.0s) | ST15 小跑道(开:61029.0s 加:51.0s 等前:0.0s 等后:0.0s)</t>
        </is>
      </c>
    </row>
    <row r="920">
      <c r="A920" s="13" t="n">
        <v>919</v>
      </c>
      <c r="B920" s="13" t="inlineStr">
        <is>
          <t>Car#920</t>
        </is>
      </c>
      <c r="C920" s="13" t="inlineStr">
        <is>
          <t>B</t>
        </is>
      </c>
      <c r="D920" s="14" t="n">
        <v>59788</v>
      </c>
      <c r="E920" s="14" t="n">
        <v>61173.5</v>
      </c>
      <c r="F920" s="14" t="n">
        <v>1385.5</v>
      </c>
      <c r="G920" s="14" t="n">
        <v>6540</v>
      </c>
      <c r="H920" s="13" t="inlineStr">
        <is>
          <t>Car#917</t>
        </is>
      </c>
      <c r="I920" s="14">
        <f>E920-E919</f>
        <v/>
      </c>
      <c r="J920" s="14">
        <f>I920-58</f>
        <v/>
      </c>
      <c r="K920" s="14">
        <f>MAX(0,J920)</f>
        <v/>
      </c>
      <c r="L920" s="14">
        <f>MAX(0,-J920)</f>
        <v/>
      </c>
      <c r="M920" s="14">
        <f>M919+I920</f>
        <v/>
      </c>
      <c r="N920" s="14">
        <f>D920+F920-E920</f>
        <v/>
      </c>
      <c r="O920" s="13" t="inlineStr">
        <is>
          <t>能力超目标：四轮定位上、下</t>
        </is>
      </c>
      <c r="P920" s="13" t="inlineStr">
        <is>
          <t>ST1 引取(开:59788.0s 加:56.0s 等前:6486.0s 等后:0.0s) | ST2 集约(开:59844.0s 加:111.0s 等前:0.0s 等后:0.0s) | ST3 空气悬挂+快充(开:59955.0s 加:108.5s 等前:0.0s 等后:0.0s) | ST4 四轮定位上、下(开:60063.5s 加:120.5s 等前:0.0s 等后:0.0s) | ST5 ADAS(开:60184.0s 加:107.0s 等前:0.0s 等后:0.0s) | ST6 ARHUD+慢充(开:60291.0s 加:51.5s 等前:0.0s 等后:54.0s) | ST7 转毂(开:60396.5s 加:114.5s 等前:0.0s 等后:0.0s) | ST8 制动(开:60511.0s 加:114.0s 等前:0.0s 等后:0.0s) | ST9 EG漏液/底盘漏液(开:60625.0s 加:112.5s 等前:0.0s 等后:0.0s) | ST10 全景/空调检查(开:60737.5s 加:0.0s 等前:0.0s 等后:0.0s) | ST11 气囊安装+绝缘(开:60737.5s 加:116.0s 等前:0.0s 等后:0.0s) | ST12 L2++(开:60853.5s 加:88.0s 等前:0.0s 等后:0.0s) | ST13 电检1(开:60941.5s 加:84.5s 等前:0.0s 等后:0.0s) | ST14 电检2(开:61026.0s 加:97.5s 等前:0.0s 等后:0.0s) | ST15 小跑道(开:61123.5s 加:50.0s 等前:0.0s 等后:0.0s)</t>
        </is>
      </c>
    </row>
    <row r="921">
      <c r="A921" s="15" t="n">
        <v>920</v>
      </c>
      <c r="B921" s="15" t="inlineStr">
        <is>
          <t>Car#919</t>
        </is>
      </c>
      <c r="C921" s="15" t="inlineStr">
        <is>
          <t>C</t>
        </is>
      </c>
      <c r="D921" s="16" t="n">
        <v>59722.5</v>
      </c>
      <c r="E921" s="16" t="n">
        <v>61243</v>
      </c>
      <c r="F921" s="16" t="n">
        <v>1520.5</v>
      </c>
      <c r="G921" s="16" t="n">
        <v>6575.5</v>
      </c>
      <c r="H921" s="15" t="inlineStr">
        <is>
          <t>Car#920</t>
        </is>
      </c>
      <c r="I921" s="16">
        <f>E921-E920</f>
        <v/>
      </c>
      <c r="J921" s="16">
        <f>I921-58</f>
        <v/>
      </c>
      <c r="K921" s="16">
        <f>MAX(0,J921)</f>
        <v/>
      </c>
      <c r="L921" s="16">
        <f>MAX(0,-J921)</f>
        <v/>
      </c>
      <c r="M921" s="16">
        <f>M920+I921</f>
        <v/>
      </c>
      <c r="N921" s="16">
        <f>D921+F921-E921</f>
        <v/>
      </c>
      <c r="O921" s="15" t="inlineStr">
        <is>
          <t>能力超目标：四轮定位上、下、ARHUD+慢充</t>
        </is>
      </c>
      <c r="P921" s="15" t="inlineStr">
        <is>
          <t>ST1 引取(开:59722.5s 加:56.0s 等前:6478.5s 等后:9.5s) | ST2 集约(开:59788.0s 加:111.0s 等前:0.0s 等后:22.0s) | ST3 空气悬挂+快充(开:59921.0s 加:108.5s 等前:0.0s 等后:35.0s) | ST4 四轮定位上、下(开:60064.5s 加:120.5s 等前:0.0s 等后:23.0s) | ST5 ADAS(开:60208.0s 加:107.0s 等前:0.0s 等后:7.5s) | ST6 ARHUD+慢充(开:60322.5s 加:143.5s 等前:0.0s 等后:0.0s) | ST7 转毂(开:60466.0s 加:114.5s 等前:0.0s 等后:0.0s) | ST8 制动(开:60580.5s 加:114.0s 等前:0.0s 等后:0.0s) | ST9 EG漏液/底盘漏液(开:60694.5s 加:112.5s 等前:0.0s 等后:0.0s) | ST10 全景/空调检查(开:60807.0s 加:0.0s 等前:0.0s 等后:0.0s) | ST11 气囊安装+绝缘(开:60807.0s 加:116.0s 等前:0.0s 等后:0.0s) | ST12 L2++(开:60923.0s 加:88.0s 等前:0.0s 等后:0.0s) | ST13 电检1(开:61011.0s 加:84.5s 等前:0.0s 等后:0.0s) | ST14 电检2(开:61095.5s 加:97.5s 等前:0.0s 等后:0.0s) | ST15 小跑道(开:61193.0s 加:50.0s 等前:0.0s 等后:0.0s)</t>
        </is>
      </c>
    </row>
    <row r="922">
      <c r="A922" s="13" t="n">
        <v>921</v>
      </c>
      <c r="B922" s="13" t="inlineStr">
        <is>
          <t>Car#922</t>
        </is>
      </c>
      <c r="C922" s="13" t="inlineStr">
        <is>
          <t>C</t>
        </is>
      </c>
      <c r="D922" s="14" t="n">
        <v>59921</v>
      </c>
      <c r="E922" s="14" t="n">
        <v>61344.5</v>
      </c>
      <c r="F922" s="14" t="n">
        <v>1423.5</v>
      </c>
      <c r="G922" s="14" t="n">
        <v>6503</v>
      </c>
      <c r="H922" s="13" t="inlineStr">
        <is>
          <t>Car#919</t>
        </is>
      </c>
      <c r="I922" s="14">
        <f>E922-E921</f>
        <v/>
      </c>
      <c r="J922" s="14">
        <f>I922-58</f>
        <v/>
      </c>
      <c r="K922" s="14">
        <f>MAX(0,J922)</f>
        <v/>
      </c>
      <c r="L922" s="14">
        <f>MAX(0,-J922)</f>
        <v/>
      </c>
      <c r="M922" s="14">
        <f>M921+I922</f>
        <v/>
      </c>
      <c r="N922" s="14">
        <f>D922+F922-E922</f>
        <v/>
      </c>
      <c r="O922" s="13" t="inlineStr">
        <is>
          <t>能力超目标：四轮定位上、下、ARHUD+慢充</t>
        </is>
      </c>
      <c r="P922" s="13" t="inlineStr">
        <is>
          <t>ST1 引取(开:59921.0s 加:56.0s 等前:6503.0s 等后:0.0s) | ST2 集约(开:59977.0s 加:111.0s 等前:0.0s 等后:0.0s) | ST3 空气悬挂+快充(开:60088.0s 加:108.5s 等前:0.0s 等后:0.0s) | ST4 四轮定位上、下(开:60196.5s 加:120.5s 等前:0.0s 等后:0.0s) | ST5 ADAS(开:60317.0s 加:107.0s 等前:0.0s 等后:0.0s) | ST6 ARHUD+慢充(开:60424.0s 加:143.5s 等前:0.0s 等后:0.0s) | ST7 转毂(开:60567.5s 加:114.5s 等前:0.0s 等后:0.0s) | ST8 制动(开:60682.0s 加:114.0s 等前:0.0s 等后:0.0s) | ST9 EG漏液/底盘漏液(开:60796.0s 加:112.5s 等前:0.0s 等后:0.0s) | ST10 全景/空调检查(开:60908.5s 加:0.0s 等前:0.0s 等后:0.0s) | ST11 气囊安装+绝缘(开:60908.5s 加:116.0s 等前:0.0s 等后:0.0s) | ST12 L2++(开:61024.5s 加:88.0s 等前:0.0s 等后:0.0s) | ST13 电检1(开:61112.5s 加:84.5s 等前:0.0s 等后:0.0s) | ST14 电检2(开:61197.0s 加:97.5s 等前:0.0s 等后:0.0s) | ST15 小跑道(开:61294.5s 加:50.0s 等前:0.0s 等后:0.0s)</t>
        </is>
      </c>
    </row>
    <row r="923">
      <c r="A923" s="15" t="n">
        <v>922</v>
      </c>
      <c r="B923" s="15" t="inlineStr">
        <is>
          <t>Car#921</t>
        </is>
      </c>
      <c r="C923" s="15" t="inlineStr">
        <is>
          <t>C</t>
        </is>
      </c>
      <c r="D923" s="16" t="n">
        <v>59844</v>
      </c>
      <c r="E923" s="16" t="n">
        <v>61394.5</v>
      </c>
      <c r="F923" s="16" t="n">
        <v>1550.5</v>
      </c>
      <c r="G923" s="16" t="n">
        <v>6611</v>
      </c>
      <c r="H923" s="15" t="inlineStr">
        <is>
          <t>Car#922</t>
        </is>
      </c>
      <c r="I923" s="16">
        <f>E923-E922</f>
        <v/>
      </c>
      <c r="J923" s="16">
        <f>I923-58</f>
        <v/>
      </c>
      <c r="K923" s="16">
        <f>MAX(0,J923)</f>
        <v/>
      </c>
      <c r="L923" s="16">
        <f>MAX(0,-J923)</f>
        <v/>
      </c>
      <c r="M923" s="16">
        <f>M922+I923</f>
        <v/>
      </c>
      <c r="N923" s="16">
        <f>D923+F923-E923</f>
        <v/>
      </c>
      <c r="O923" s="15" t="inlineStr">
        <is>
          <t>能力超目标：四轮定位上、下、ARHUD+慢充</t>
        </is>
      </c>
      <c r="P923" s="15" t="inlineStr">
        <is>
          <t>ST1 引取(开:59844.0s 加:56.0s 等前:6484.0s 等后:21.0s) | ST2 集约(开:59921.0s 加:111.0s 等前:0.0s 等后:32.5s) | ST3 空气悬挂+快充(开:60064.5s 加:108.5s 等前:0.0s 等后:35.0s) | ST4 四轮定位上、下(开:60208.0s 加:120.5s 等前:0.0s 等后:0.0s) | ST5 ADAS(开:60328.5s 加:107.0s 等前:0.0s 等后:30.5s) | ST6 ARHUD+慢充(开:60466.0s 加:143.5s 等前:0.0s 等后:0.0s) | ST7 转毂(开:60609.5s 加:114.5s 等前:0.0s 等后:0.0s) | ST8 制动(开:60724.0s 加:114.0s 等前:0.0s 等后:0.0s) | ST9 EG漏液/底盘漏液(开:60838.0s 加:112.5s 等前:0.0s 等后:0.0s) | ST10 全景/空调检查(开:60950.5s 加:0.0s 等前:0.0s 等后:0.0s) | ST11 气囊安装+绝缘(开:60950.5s 加:116.0s 等前:0.0s 等后:0.0s) | ST12 L2++(开:61066.5s 加:88.0s 等前:0.0s 等后:0.0s) | ST13 电检1(开:61154.5s 加:84.5s 等前:0.0s 等后:0.0s) | ST14 电检2(开:61239.0s 加:97.5s 等前:0.0s 等后:8.0s) | ST15 小跑道(开:61344.5s 加:50.0s 等前:0.0s 等后:0.0s)</t>
        </is>
      </c>
    </row>
    <row r="924">
      <c r="A924" s="13" t="n">
        <v>923</v>
      </c>
      <c r="B924" s="13" t="inlineStr">
        <is>
          <t>Car#924</t>
        </is>
      </c>
      <c r="C924" s="13" t="inlineStr">
        <is>
          <t>B</t>
        </is>
      </c>
      <c r="D924" s="14" t="n">
        <v>60064.5</v>
      </c>
      <c r="E924" s="14" t="n">
        <v>61460.5</v>
      </c>
      <c r="F924" s="14" t="n">
        <v>1396</v>
      </c>
      <c r="G924" s="14" t="n">
        <v>6595</v>
      </c>
      <c r="H924" s="13" t="inlineStr">
        <is>
          <t>Car#921</t>
        </is>
      </c>
      <c r="I924" s="14">
        <f>E924-E923</f>
        <v/>
      </c>
      <c r="J924" s="14">
        <f>I924-58</f>
        <v/>
      </c>
      <c r="K924" s="14">
        <f>MAX(0,J924)</f>
        <v/>
      </c>
      <c r="L924" s="14">
        <f>MAX(0,-J924)</f>
        <v/>
      </c>
      <c r="M924" s="14">
        <f>M923+I924</f>
        <v/>
      </c>
      <c r="N924" s="14">
        <f>D924+F924-E924</f>
        <v/>
      </c>
      <c r="O924" s="13" t="inlineStr">
        <is>
          <t>能力超目标：四轮定位上、下</t>
        </is>
      </c>
      <c r="P924" s="13" t="inlineStr">
        <is>
          <t>ST1 引取(开:60064.5s 加:56.0s 等前:6530.5s 等后:0.0s) | ST2 集约(开:60120.5s 加:111.0s 等前:0.0s 等后:0.0s) | ST3 空气悬挂+快充(开:60231.5s 加:108.5s 等前:0.0s 等后:0.0s) | ST4 四轮定位上、下(开:60340.0s 加:120.5s 等前:0.0s 等后:0.0s) | ST5 ADAS(开:60460.5s 加:107.0s 等前:0.0s 等后:0.0s) | ST6 ARHUD+慢充(开:60567.5s 加:51.5s 等前:0.0s 等后:63.0s) | ST7 转毂(开:60682.0s 加:114.5s 等前:0.0s 等后:0.0s) | ST8 制动(开:60796.5s 加:114.0s 等前:0.0s 等后:0.0s) | ST9 EG漏液/底盘漏液(开:60910.5s 加:112.5s 等前:0.0s 等后:0.0s) | ST10 全景/空调检查(开:61023.0s 加:0.0s 等前:0.0s 等后:1.5s) | ST11 气囊安装+绝缘(开:61024.5s 加:116.0s 等前:0.0s 等后:0.0s) | ST12 L2++(开:61140.5s 加:88.0s 等前:0.0s 等后:0.0s) | ST13 电检1(开:61228.5s 加:84.5s 等前:0.0s 等后:0.0s) | ST14 电检2(开:61313.0s 加:97.5s 等前:0.0s 等后:0.0s) | ST15 小跑道(开:61410.5s 加:50.0s 等前:0.0s 等后:0.0s)</t>
        </is>
      </c>
    </row>
    <row r="925">
      <c r="A925" s="15" t="n">
        <v>924</v>
      </c>
      <c r="B925" s="15" t="inlineStr">
        <is>
          <t>Car#923</t>
        </is>
      </c>
      <c r="C925" s="15" t="inlineStr">
        <is>
          <t>B</t>
        </is>
      </c>
      <c r="D925" s="16" t="n">
        <v>59977</v>
      </c>
      <c r="E925" s="16" t="n">
        <v>61510.5</v>
      </c>
      <c r="F925" s="16" t="n">
        <v>1533.5</v>
      </c>
      <c r="G925" s="16" t="n">
        <v>6703</v>
      </c>
      <c r="H925" s="15" t="inlineStr">
        <is>
          <t>Car#924</t>
        </is>
      </c>
      <c r="I925" s="16">
        <f>E925-E924</f>
        <v/>
      </c>
      <c r="J925" s="16">
        <f>I925-58</f>
        <v/>
      </c>
      <c r="K925" s="16">
        <f>MAX(0,J925)</f>
        <v/>
      </c>
      <c r="L925" s="16">
        <f>MAX(0,-J925)</f>
        <v/>
      </c>
      <c r="M925" s="16">
        <f>M924+I925</f>
        <v/>
      </c>
      <c r="N925" s="16">
        <f>D925+F925-E925</f>
        <v/>
      </c>
      <c r="O925" s="15" t="inlineStr">
        <is>
          <t>能力超目标：四轮定位上、下</t>
        </is>
      </c>
      <c r="P925" s="15" t="inlineStr">
        <is>
          <t>ST1 引取(开:59977.0s 加:56.0s 等前:6501.0s 等后:31.5s) | ST2 集约(开:60064.5s 加:111.0s 等前:0.0s 等后:32.5s) | ST3 空气悬挂+快充(开:60208.0s 加:108.5s 等前:0.0s 等后:12.0s) | ST4 四轮定位上、下(开:60328.5s 加:120.5s 等前:0.0s 等后:17.0s) | ST5 ADAS(开:60466.0s 加:107.0s 等前:0.0s 等后:36.5s) | ST6 ARHUD+慢充(开:60609.5s 加:51.5s 等前:0.0s 等后:63.0s) | ST7 转毂(开:60724.0s 加:114.5s 等前:0.0s 等后:0.0s) | ST8 制动(开:60838.5s 加:114.0s 等前:0.0s 等后:0.0s) | ST9 EG漏液/底盘漏液(开:60952.5s 加:112.5s 等前:0.0s 等后:0.0s) | ST10 全景/空调检查(开:61065.0s 加:0.0s 等前:0.0s 等后:1.5s) | ST11 气囊安装+绝缘(开:61066.5s 加:116.0s 等前:0.0s 等后:0.0s) | ST12 L2++(开:61182.5s 加:88.0s 等前:0.0s 等后:0.0s) | ST13 电检1(开:61270.5s 加:84.5s 等前:0.0s 等后:0.0s) | ST14 电检2(开:61355.0s 加:97.5s 等前:0.0s 等后:8.0s) | ST15 小跑道(开:61460.5s 加:50.0s 等前:0.0s 等后:0.0s)</t>
        </is>
      </c>
    </row>
    <row r="926">
      <c r="A926" s="13" t="n">
        <v>925</v>
      </c>
      <c r="B926" s="13" t="inlineStr">
        <is>
          <t>Car#926</t>
        </is>
      </c>
      <c r="C926" s="13" t="inlineStr">
        <is>
          <t>C</t>
        </is>
      </c>
      <c r="D926" s="14" t="n">
        <v>60208</v>
      </c>
      <c r="E926" s="14" t="n">
        <v>61631.5</v>
      </c>
      <c r="F926" s="14" t="n">
        <v>1423.5</v>
      </c>
      <c r="G926" s="14" t="n">
        <v>6558</v>
      </c>
      <c r="H926" s="13" t="inlineStr">
        <is>
          <t>Car#923</t>
        </is>
      </c>
      <c r="I926" s="14">
        <f>E926-E925</f>
        <v/>
      </c>
      <c r="J926" s="14">
        <f>I926-58</f>
        <v/>
      </c>
      <c r="K926" s="14">
        <f>MAX(0,J926)</f>
        <v/>
      </c>
      <c r="L926" s="14">
        <f>MAX(0,-J926)</f>
        <v/>
      </c>
      <c r="M926" s="14">
        <f>M925+I926</f>
        <v/>
      </c>
      <c r="N926" s="14">
        <f>D926+F926-E926</f>
        <v/>
      </c>
      <c r="O926" s="13" t="inlineStr">
        <is>
          <t>能力超目标：四轮定位上、下、ARHUD+慢充</t>
        </is>
      </c>
      <c r="P926" s="13" t="inlineStr">
        <is>
          <t>ST1 引取(开:60208.0s 加:56.0s 等前:6558.0s 等后:0.0s) | ST2 集约(开:60264.0s 加:111.0s 等前:0.0s 等后:0.0s) | ST3 空气悬挂+快充(开:60375.0s 加:108.5s 等前:0.0s 等后:0.0s) | ST4 四轮定位上、下(开:60483.5s 加:120.5s 等前:0.0s 等后:0.0s) | ST5 ADAS(开:60604.0s 加:107.0s 等前:0.0s 等后:0.0s) | ST6 ARHUD+慢充(开:60711.0s 加:143.5s 等前:0.0s 等后:0.0s) | ST7 转毂(开:60854.5s 加:114.5s 等前:0.0s 等后:0.0s) | ST8 制动(开:60969.0s 加:114.0s 等前:0.0s 等后:0.0s) | ST9 EG漏液/底盘漏液(开:61083.0s 加:112.5s 等前:0.0s 等后:0.0s) | ST10 全景/空调检查(开:61195.5s 加:0.0s 等前:0.0s 等后:0.0s) | ST11 气囊安装+绝缘(开:61195.5s 加:116.0s 等前:0.0s 等后:0.0s) | ST12 L2++(开:61311.5s 加:88.0s 等前:0.0s 等后:0.0s) | ST13 电检1(开:61399.5s 加:84.5s 等前:0.0s 等后:0.0s) | ST14 电检2(开:61484.0s 加:97.5s 等前:0.0s 等后:0.0s) | ST15 小跑道(开:61581.5s 加:50.0s 等前:0.0s 等后:0.0s)</t>
        </is>
      </c>
    </row>
    <row r="927">
      <c r="A927" s="15" t="n">
        <v>926</v>
      </c>
      <c r="B927" s="15" t="inlineStr">
        <is>
          <t>Car#928</t>
        </is>
      </c>
      <c r="C927" s="15" t="inlineStr">
        <is>
          <t>A</t>
        </is>
      </c>
      <c r="D927" s="16" t="n">
        <v>60328.5</v>
      </c>
      <c r="E927" s="16" t="n">
        <v>61682.5</v>
      </c>
      <c r="F927" s="16" t="n">
        <v>1354</v>
      </c>
      <c r="G927" s="16" t="n">
        <v>7055.5</v>
      </c>
      <c r="H927" s="15" t="inlineStr">
        <is>
          <t>Car#926</t>
        </is>
      </c>
      <c r="I927" s="16">
        <f>E927-E926</f>
        <v/>
      </c>
      <c r="J927" s="16">
        <f>I927-58</f>
        <v/>
      </c>
      <c r="K927" s="16">
        <f>MAX(0,J927)</f>
        <v/>
      </c>
      <c r="L927" s="16">
        <f>MAX(0,-J927)</f>
        <v/>
      </c>
      <c r="M927" s="16">
        <f>M926+I927</f>
        <v/>
      </c>
      <c r="N927" s="16">
        <f>D927+F927-E927</f>
        <v/>
      </c>
      <c r="O927" s="15" t="inlineStr">
        <is>
          <t>能力满足</t>
        </is>
      </c>
      <c r="P927" s="15" t="inlineStr">
        <is>
          <t>ST1 引取(开:60328.5s 加:55.0s 等前:6562.5s 等后:0.0s) | ST2 集约(开:60383.5s 加:106.0s 等前:0.0s 等后:0.0s) | ST3 空气悬挂+快充(开:60489.5s 加:0.0s 等前:0.0s 等后:114.5s) | ST4 四轮定位上、下(开:60604.0s 加:115.0s 等前:0.0s 等后:0.0s) | ST5 ADAS(开:60719.0s 加:97.0s 等前:0.0s 等后:38.5s) | ST6 ARHUD+慢充(开:60854.5s 加:0.0s 等前:0.0s 等后:114.5s) | ST7 转毂(开:60969.0s 加:116.0s 等前:0.0s 等后:0.0s) | ST8 制动(开:61085.0s 加:108.0s 等前:0.0s 等后:2.5s) | ST9 EG漏液/底盘漏液(开:61195.5s 加:115.0s 等前:0.0s 等后:0.0s) | ST10 全景/空调检查(开:61310.5s 加:98.0s 等前:0.0s 等后:0.0s) | ST11 气囊安装+绝缘(开:61408.5s 加:0.0s 等前:0.0s 等后:0.0s) | ST12 L2++(开:61408.5s 加:0.0s 等前:0.0s 等后:75.5s) | ST13 电检1(开:61484.0s 加:0.0s 等前:0.0s 等后:97.5s) | ST14 电检2(开:61581.5s 加:0.0s 等前:0.0s 等后:50.0s) | ST15 小跑道(开:61631.5s 加:51.0s 等前:0.0s 等后:0.0s)</t>
        </is>
      </c>
    </row>
    <row r="928">
      <c r="A928" s="13" t="n">
        <v>927</v>
      </c>
      <c r="B928" s="13" t="inlineStr">
        <is>
          <t>Car#925</t>
        </is>
      </c>
      <c r="C928" s="13" t="inlineStr">
        <is>
          <t>C</t>
        </is>
      </c>
      <c r="D928" s="14" t="n">
        <v>60120.5</v>
      </c>
      <c r="E928" s="14" t="n">
        <v>61732.5</v>
      </c>
      <c r="F928" s="14" t="n">
        <v>1612</v>
      </c>
      <c r="G928" s="14" t="n">
        <v>6717</v>
      </c>
      <c r="H928" s="13" t="inlineStr">
        <is>
          <t>Car#928</t>
        </is>
      </c>
      <c r="I928" s="14">
        <f>E928-E927</f>
        <v/>
      </c>
      <c r="J928" s="14">
        <f>I928-58</f>
        <v/>
      </c>
      <c r="K928" s="14">
        <f>MAX(0,J928)</f>
        <v/>
      </c>
      <c r="L928" s="14">
        <f>MAX(0,-J928)</f>
        <v/>
      </c>
      <c r="M928" s="14">
        <f>M927+I928</f>
        <v/>
      </c>
      <c r="N928" s="14">
        <f>D928+F928-E928</f>
        <v/>
      </c>
      <c r="O928" s="13" t="inlineStr">
        <is>
          <t>能力超目标：四轮定位上、下、ARHUD+慢充</t>
        </is>
      </c>
      <c r="P928" s="13" t="inlineStr">
        <is>
          <t>ST1 引取(开:60120.5s 加:56.0s 等前:6528.5s 等后:31.5s) | ST2 集约(开:60208.0s 加:111.0s 等前:0.0s 等后:9.5s) | ST3 空气悬挂+快充(开:60328.5s 加:108.5s 等前:0.0s 等后:29.0s) | ST4 四轮定位上、下(开:60466.0s 加:120.5s 等前:0.0s 等后:23.0s) | ST5 ADAS(开:60609.5s 加:107.0s 等前:0.0s 等后:7.5s) | ST6 ARHUD+慢充(开:60724.0s 加:143.5s 等前:0.0s 等后:0.0s) | ST7 转毂(开:60867.5s 加:114.5s 等前:0.0s 等后:0.0s) | ST8 制动(开:60982.0s 加:114.0s 等前:0.0s 等后:0.0s) | ST9 EG漏液/底盘漏液(开:61096.0s 加:112.5s 等前:0.0s 等后:0.0s) | ST10 全景/空调检查(开:61208.5s 加:0.0s 等前:0.0s 等后:0.0s) | ST11 气囊安装+绝缘(开:61208.5s 加:116.0s 等前:0.0s 等后:0.0s) | ST12 L2++(开:61324.5s 加:88.0s 等前:0.0s 等后:0.0s) | ST13 电检1(开:61412.5s 加:84.5s 等前:0.0s 等后:0.0s) | ST14 电检2(开:61497.0s 加:97.5s 等前:0.0s 等后:88.0s) | ST15 小跑道(开:61682.5s 加:50.0s 等前:0.0s 等后:0.0s)</t>
        </is>
      </c>
    </row>
    <row r="929">
      <c r="A929" s="15" t="n">
        <v>928</v>
      </c>
      <c r="B929" s="15" t="inlineStr">
        <is>
          <t>Car#930</t>
        </is>
      </c>
      <c r="C929" s="15" t="inlineStr">
        <is>
          <t>A</t>
        </is>
      </c>
      <c r="D929" s="16" t="n">
        <v>60466</v>
      </c>
      <c r="E929" s="16" t="n">
        <v>61783.5</v>
      </c>
      <c r="F929" s="16" t="n">
        <v>1317.5</v>
      </c>
      <c r="G929" s="16" t="n">
        <v>7040.5</v>
      </c>
      <c r="H929" s="15" t="inlineStr">
        <is>
          <t>Car#925</t>
        </is>
      </c>
      <c r="I929" s="16">
        <f>E929-E928</f>
        <v/>
      </c>
      <c r="J929" s="16">
        <f>I929-58</f>
        <v/>
      </c>
      <c r="K929" s="16">
        <f>MAX(0,J929)</f>
        <v/>
      </c>
      <c r="L929" s="16">
        <f>MAX(0,-J929)</f>
        <v/>
      </c>
      <c r="M929" s="16">
        <f>M928+I929</f>
        <v/>
      </c>
      <c r="N929" s="16">
        <f>D929+F929-E929</f>
        <v/>
      </c>
      <c r="O929" s="15" t="inlineStr">
        <is>
          <t>能力满足</t>
        </is>
      </c>
      <c r="P929" s="15" t="inlineStr">
        <is>
          <t>ST1 引取(开:60466.0s 加:55.0s 等前:6584.0s 等后:0.0s) | ST2 集约(开:60521.0s 加:106.0s 等前:0.0s 等后:0.0s) | ST3 空气悬挂+快充(开:60627.0s 加:0.0s 等前:0.0s 等后:92.0s) | ST4 四轮定位上、下(开:60719.0s 加:115.0s 等前:0.0s 等后:20.5s) | ST5 ADAS(开:60854.5s 加:97.0s 等前:0.0s 等后:17.5s) | ST6 ARHUD+慢充(开:60969.0s 加:0.0s 等前:0.0s 等后:116.0s) | ST7 转毂(开:61085.0s 加:116.0s 等前:0.0s 等后:0.0s) | ST8 制动(开:61201.0s 加:108.0s 等前:0.0s 等后:1.5s) | ST9 EG漏液/底盘漏液(开:61310.5s 加:115.0s 等前:0.0s 等后:0.0s) | ST10 全景/空调检查(开:61425.5s 加:98.0s 等前:0.0s 等后:0.0s) | ST11 气囊安装+绝缘(开:61523.5s 加:0.0s 等前:0.0s 等后:0.0s) | ST12 L2++(开:61523.5s 加:0.0s 等前:0.0s 等后:58.0s) | ST13 电检1(开:61581.5s 加:0.0s 等前:0.0s 等后:50.0s) | ST14 电检2(开:61631.5s 加:0.0s 等前:0.0s 等后:101.0s) | ST15 小跑道(开:61732.5s 加:51.0s 等前:0.0s 等后:0.0s)</t>
        </is>
      </c>
    </row>
    <row r="930">
      <c r="A930" s="13" t="n">
        <v>929</v>
      </c>
      <c r="B930" s="13" t="inlineStr">
        <is>
          <t>Car#927</t>
        </is>
      </c>
      <c r="C930" s="13" t="inlineStr">
        <is>
          <t>C</t>
        </is>
      </c>
      <c r="D930" s="14" t="n">
        <v>60264</v>
      </c>
      <c r="E930" s="14" t="n">
        <v>61833.5</v>
      </c>
      <c r="F930" s="14" t="n">
        <v>1569.5</v>
      </c>
      <c r="G930" s="14" t="n">
        <v>6702</v>
      </c>
      <c r="H930" s="13" t="inlineStr">
        <is>
          <t>Car#930</t>
        </is>
      </c>
      <c r="I930" s="14">
        <f>E930-E929</f>
        <v/>
      </c>
      <c r="J930" s="14">
        <f>I930-58</f>
        <v/>
      </c>
      <c r="K930" s="14">
        <f>MAX(0,J930)</f>
        <v/>
      </c>
      <c r="L930" s="14">
        <f>MAX(0,-J930)</f>
        <v/>
      </c>
      <c r="M930" s="14">
        <f>M929+I930</f>
        <v/>
      </c>
      <c r="N930" s="14">
        <f>D930+F930-E930</f>
        <v/>
      </c>
      <c r="O930" s="13" t="inlineStr">
        <is>
          <t>能力超目标：四轮定位上、下、ARHUD+慢充</t>
        </is>
      </c>
      <c r="P930" s="13" t="inlineStr">
        <is>
          <t>ST1 引取(开:60264.0s 加:56.0s 等前:6556.0s 等后:8.5s) | ST2 集约(开:60328.5s 加:111.0s 等前:0.0s 等后:26.5s) | ST3 空气悬挂+快充(开:60466.0s 加:108.5s 等前:0.0s 等后:35.0s) | ST4 四轮定位上、下(开:60609.5s 加:120.5s 等前:0.0s 等后:0.0s) | ST5 ADAS(开:60730.0s 加:107.0s 等前:0.0s 等后:30.5s) | ST6 ARHUD+慢充(开:60867.5s 加:143.5s 等前:0.0s 等后:0.0s) | ST7 转毂(开:61011.0s 加:114.5s 等前:0.0s 等后:0.0s) | ST8 制动(开:61125.5s 加:114.0s 等前:0.0s 等后:0.0s) | ST9 EG漏液/底盘漏液(开:61239.5s 加:112.5s 等前:0.0s 等后:0.0s) | ST10 全景/空调检查(开:61352.0s 加:0.0s 等前:0.0s 等后:0.0s) | ST11 气囊安装+绝缘(开:61352.0s 加:116.0s 等前:0.0s 等后:0.0s) | ST12 L2++(开:61468.0s 加:88.0s 等前:0.0s 等后:0.0s) | ST13 电检1(开:61556.0s 加:84.5s 等前:0.0s 等后:42.0s) | ST14 电检2(开:61682.5s 加:97.5s 等前:0.0s 等后:3.5s) | ST15 小跑道(开:61783.5s 加:50.0s 等前:0.0s 等后:0.0s)</t>
        </is>
      </c>
    </row>
    <row r="931">
      <c r="A931" s="15" t="n">
        <v>930</v>
      </c>
      <c r="B931" s="15" t="inlineStr">
        <is>
          <t>Car#929</t>
        </is>
      </c>
      <c r="C931" s="15" t="inlineStr">
        <is>
          <t>A</t>
        </is>
      </c>
      <c r="D931" s="16" t="n">
        <v>60383.5</v>
      </c>
      <c r="E931" s="16" t="n">
        <v>61884.5</v>
      </c>
      <c r="F931" s="16" t="n">
        <v>1501</v>
      </c>
      <c r="G931" s="16" t="n">
        <v>7199.5</v>
      </c>
      <c r="H931" s="15" t="inlineStr">
        <is>
          <t>Car#927</t>
        </is>
      </c>
      <c r="I931" s="16">
        <f>E931-E930</f>
        <v/>
      </c>
      <c r="J931" s="16">
        <f>I931-58</f>
        <v/>
      </c>
      <c r="K931" s="16">
        <f>MAX(0,J931)</f>
        <v/>
      </c>
      <c r="L931" s="16">
        <f>MAX(0,-J931)</f>
        <v/>
      </c>
      <c r="M931" s="16">
        <f>M930+I931</f>
        <v/>
      </c>
      <c r="N931" s="16">
        <f>D931+F931-E931</f>
        <v/>
      </c>
      <c r="O931" s="15" t="inlineStr">
        <is>
          <t>能力满足</t>
        </is>
      </c>
      <c r="P931" s="15" t="inlineStr">
        <is>
          <t>ST1 引取(开:60383.5s 加:55.0s 等前:6559.5s 等后:27.5s) | ST2 集约(开:60466.0s 加:106.0s 等前:0.0s 等后:37.5s) | ST3 空气悬挂+快充(开:60609.5s 加:0.0s 等前:0.0s 等后:120.5s) | ST4 四轮定位上、下(开:60730.0s 加:115.0s 等前:0.0s 等后:22.5s) | ST5 ADAS(开:60867.5s 加:97.0s 等前:0.0s 等后:46.5s) | ST6 ARHUD+慢充(开:61011.0s 加:0.0s 等前:0.0s 等后:114.5s) | ST7 转毂(开:61125.5s 加:116.0s 等前:0.0s 等后:0.0s) | ST8 制动(开:61241.5s 加:108.0s 等前:0.0s 等后:2.5s) | ST9 EG漏液/底盘漏液(开:61352.0s 加:115.0s 等前:0.0s 等后:0.0s) | ST10 全景/空调检查(开:61467.0s 加:98.0s 等前:0.0s 等后:0.0s) | ST11 气囊安装+绝缘(开:61565.0s 加:0.0s 等前:0.0s 等后:0.0s) | ST12 L2++(开:61565.0s 加:0.0s 等前:0.0s 等后:117.5s) | ST13 电检1(开:61682.5s 加:0.0s 等前:0.0s 等后:101.0s) | ST14 电检2(开:61783.5s 加:0.0s 等前:0.0s 等后:50.0s) | ST15 小跑道(开:61833.5s 加:51.0s 等前:0.0s 等后:0.0s)</t>
        </is>
      </c>
    </row>
    <row r="932">
      <c r="A932" s="13" t="n">
        <v>931</v>
      </c>
      <c r="B932" s="13" t="inlineStr">
        <is>
          <t>Car#931</t>
        </is>
      </c>
      <c r="C932" s="13" t="inlineStr">
        <is>
          <t>B</t>
        </is>
      </c>
      <c r="D932" s="14" t="n">
        <v>60521</v>
      </c>
      <c r="E932" s="14" t="n">
        <v>62018.5</v>
      </c>
      <c r="F932" s="14" t="n">
        <v>1497.5</v>
      </c>
      <c r="G932" s="14" t="n">
        <v>6747</v>
      </c>
      <c r="H932" s="13" t="inlineStr">
        <is>
          <t>Car#929</t>
        </is>
      </c>
      <c r="I932" s="14">
        <f>E932-E931</f>
        <v/>
      </c>
      <c r="J932" s="14">
        <f>I932-58</f>
        <v/>
      </c>
      <c r="K932" s="14">
        <f>MAX(0,J932)</f>
        <v/>
      </c>
      <c r="L932" s="14">
        <f>MAX(0,-J932)</f>
        <v/>
      </c>
      <c r="M932" s="14">
        <f>M931+I932</f>
        <v/>
      </c>
      <c r="N932" s="14">
        <f>D932+F932-E932</f>
        <v/>
      </c>
      <c r="O932" s="13" t="inlineStr">
        <is>
          <t>能力超目标：四轮定位上、下</t>
        </is>
      </c>
      <c r="P932" s="13" t="inlineStr">
        <is>
          <t>ST1 引取(开:60521.0s 加:56.0s 等前:6581.0s 等后:32.5s) | ST2 集约(开:60609.5s 加:111.0s 等前:0.0s 等后:9.5s) | ST3 空气悬挂+快充(开:60730.0s 加:108.5s 等前:0.0s 等后:29.0s) | ST4 四轮定位上、下(开:60867.5s 加:120.5s 等前:0.0s 等后:23.0s) | ST5 ADAS(开:61011.0s 加:107.0s 等前:0.0s 等后:7.5s) | ST6 ARHUD+慢充(开:61125.5s 加:51.5s 等前:0.0s 等后:64.5s) | ST7 转毂(开:61241.5s 加:114.5s 等前:0.0s 等后:0.0s) | ST8 制动(开:61356.0s 加:114.0s 等前:0.0s 等后:0.0s) | ST9 EG漏液/底盘漏液(开:61470.0s 加:112.5s 等前:0.0s 等后:0.0s) | ST10 全景/空调检查(开:61582.5s 加:0.0s 等前:0.0s 等后:0.0s) | ST11 气囊安装+绝缘(开:61582.5s 加:116.0s 等前:0.0s 等后:0.0s) | ST12 L2++(开:61698.5s 加:88.0s 等前:0.0s 等后:0.0s) | ST13 电检1(开:61786.5s 加:84.5s 等前:0.0s 等后:0.0s) | ST14 电检2(开:61871.0s 加:97.5s 等前:0.0s 等后:0.0s) | ST15 小跑道(开:61968.5s 加:50.0s 等前:0.0s 等后:0.0s)</t>
        </is>
      </c>
    </row>
    <row r="933">
      <c r="A933" s="15" t="n">
        <v>932</v>
      </c>
      <c r="B933" s="15" t="inlineStr">
        <is>
          <t>Car#932</t>
        </is>
      </c>
      <c r="C933" s="15" t="inlineStr">
        <is>
          <t>C</t>
        </is>
      </c>
      <c r="D933" s="16" t="n">
        <v>60609.5</v>
      </c>
      <c r="E933" s="16" t="n">
        <v>62068.5</v>
      </c>
      <c r="F933" s="16" t="n">
        <v>1459</v>
      </c>
      <c r="G933" s="16" t="n">
        <v>6647</v>
      </c>
      <c r="H933" s="15" t="inlineStr">
        <is>
          <t>Car#931</t>
        </is>
      </c>
      <c r="I933" s="16">
        <f>E933-E932</f>
        <v/>
      </c>
      <c r="J933" s="16">
        <f>I933-58</f>
        <v/>
      </c>
      <c r="K933" s="16">
        <f>MAX(0,J933)</f>
        <v/>
      </c>
      <c r="L933" s="16">
        <f>MAX(0,-J933)</f>
        <v/>
      </c>
      <c r="M933" s="16">
        <f>M932+I933</f>
        <v/>
      </c>
      <c r="N933" s="16">
        <f>D933+F933-E933</f>
        <v/>
      </c>
      <c r="O933" s="15" t="inlineStr">
        <is>
          <t>能力超目标：四轮定位上、下、ARHUD+慢充</t>
        </is>
      </c>
      <c r="P933" s="15" t="inlineStr">
        <is>
          <t>ST1 引取(开:60609.5s 加:56.0s 等前:6611.5s 等后:0.0s) | ST2 集约(开:60665.5s 加:111.0s 等前:0.0s 等后:0.0s) | ST3 空气悬挂+快充(开:60776.5s 加:108.5s 等前:0.0s 等后:0.0s) | ST4 四轮定位上、下(开:60885.0s 加:120.5s 等前:0.0s 等后:0.0s) | ST5 ADAS(开:61005.5s 加:107.0s 等前:0.0s 等后:0.0s) | ST6 ARHUD+慢充(开:61112.5s 加:143.5s 等前:0.0s 等后:0.0s) | ST7 转毂(开:61256.0s 加:114.5s 等前:0.0s 等后:0.0s) | ST8 制动(开:61370.5s 加:114.0s 等前:0.0s 等后:0.0s) | ST9 EG漏液/底盘漏液(开:61484.5s 加:112.5s 等前:0.0s 等后:0.0s) | ST10 全景/空调检查(开:61597.0s 加:0.0s 等前:0.0s 等后:0.0s) | ST11 气囊安装+绝缘(开:61597.0s 加:116.0s 等前:0.0s 等后:0.0s) | ST12 L2++(开:61713.0s 加:88.0s 等前:0.0s 等后:0.0s) | ST13 电检1(开:61801.0s 加:84.5s 等前:0.0s 等后:0.0s) | ST14 电检2(开:61885.5s 加:97.5s 等前:0.0s 等后:35.5s) | ST15 小跑道(开:62018.5s 加:50.0s 等前:0.0s 等后:0.0s)</t>
        </is>
      </c>
    </row>
    <row r="934">
      <c r="A934" s="13" t="n">
        <v>933</v>
      </c>
      <c r="B934" s="13" t="inlineStr">
        <is>
          <t>Car#933</t>
        </is>
      </c>
      <c r="C934" s="13" t="inlineStr">
        <is>
          <t>C</t>
        </is>
      </c>
      <c r="D934" s="14" t="n">
        <v>60665.5</v>
      </c>
      <c r="E934" s="14" t="n">
        <v>62162</v>
      </c>
      <c r="F934" s="14" t="n">
        <v>1496.5</v>
      </c>
      <c r="G934" s="14" t="n">
        <v>6682.5</v>
      </c>
      <c r="H934" s="13" t="inlineStr">
        <is>
          <t>Car#932</t>
        </is>
      </c>
      <c r="I934" s="14">
        <f>E934-E933</f>
        <v/>
      </c>
      <c r="J934" s="14">
        <f>I934-58</f>
        <v/>
      </c>
      <c r="K934" s="14">
        <f>MAX(0,J934)</f>
        <v/>
      </c>
      <c r="L934" s="14">
        <f>MAX(0,-J934)</f>
        <v/>
      </c>
      <c r="M934" s="14">
        <f>M933+I934</f>
        <v/>
      </c>
      <c r="N934" s="14">
        <f>D934+F934-E934</f>
        <v/>
      </c>
      <c r="O934" s="13" t="inlineStr">
        <is>
          <t>能力超目标：四轮定位上、下、ARHUD+慢充</t>
        </is>
      </c>
      <c r="P934" s="13" t="inlineStr">
        <is>
          <t>ST1 引取(开:60665.5s 加:56.0s 等前:6609.5s 等后:8.5s) | ST2 集约(开:60730.0s 加:111.0s 等前:0.0s 等后:26.5s) | ST3 空气悬挂+快充(开:60867.5s 加:108.5s 等前:0.0s 等后:35.0s) | ST4 四轮定位上、下(开:61011.0s 加:120.5s 等前:0.0s 等后:0.0s) | ST5 ADAS(开:61131.5s 加:107.0s 等前:0.0s 等后:3.0s) | ST6 ARHUD+慢充(开:61241.5s 加:143.5s 等前:0.0s 等后:0.0s) | ST7 转毂(开:61385.0s 加:114.5s 等前:0.0s 等后:0.0s) | ST8 制动(开:61499.5s 加:114.0s 等前:0.0s 等后:0.0s) | ST9 EG漏液/底盘漏液(开:61613.5s 加:112.5s 等前:0.0s 等后:0.0s) | ST10 全景/空调检查(开:61726.0s 加:0.0s 等前:0.0s 等后:0.0s) | ST11 气囊安装+绝缘(开:61726.0s 加:116.0s 等前:0.0s 等后:0.0s) | ST12 L2++(开:61842.0s 加:88.0s 等前:0.0s 等后:0.0s) | ST13 电检1(开:61930.0s 加:84.5s 等前:0.0s 等后:0.0s) | ST14 电检2(开:62014.5s 加:97.5s 等前:0.0s 等后:0.0s) | ST15 小跑道(开:62112.0s 加:50.0s 等前:0.0s 等后:0.0s)</t>
        </is>
      </c>
    </row>
    <row r="935">
      <c r="A935" s="15" t="n">
        <v>934</v>
      </c>
      <c r="B935" s="15" t="inlineStr">
        <is>
          <t>Car#934</t>
        </is>
      </c>
      <c r="C935" s="15" t="inlineStr">
        <is>
          <t>C</t>
        </is>
      </c>
      <c r="D935" s="16" t="n">
        <v>60730</v>
      </c>
      <c r="E935" s="16" t="n">
        <v>62212</v>
      </c>
      <c r="F935" s="16" t="n">
        <v>1482</v>
      </c>
      <c r="G935" s="16" t="n">
        <v>6674.5</v>
      </c>
      <c r="H935" s="15" t="inlineStr">
        <is>
          <t>Car#933</t>
        </is>
      </c>
      <c r="I935" s="16">
        <f>E935-E934</f>
        <v/>
      </c>
      <c r="J935" s="16">
        <f>I935-58</f>
        <v/>
      </c>
      <c r="K935" s="16">
        <f>MAX(0,J935)</f>
        <v/>
      </c>
      <c r="L935" s="16">
        <f>MAX(0,-J935)</f>
        <v/>
      </c>
      <c r="M935" s="16">
        <f>M934+I935</f>
        <v/>
      </c>
      <c r="N935" s="16">
        <f>D935+F935-E935</f>
        <v/>
      </c>
      <c r="O935" s="15" t="inlineStr">
        <is>
          <t>能力超目标：四轮定位上、下、ARHUD+慢充</t>
        </is>
      </c>
      <c r="P935" s="15" t="inlineStr">
        <is>
          <t>ST1 引取(开:60730.0s 加:56.0s 等前:6616.0s 等后:0.0s) | ST2 集约(开:60786.0s 加:111.0s 等前:0.0s 等后:0.0s) | ST3 空气悬挂+快充(开:60897.0s 加:108.5s 等前:0.0s 等后:0.0s) | ST4 四轮定位上、下(开:61005.5s 加:120.5s 等前:0.0s 等后:0.0s) | ST5 ADAS(开:61126.0s 加:107.0s 等前:0.0s 等后:23.0s) | ST6 ARHUD+慢充(开:61256.0s 加:143.5s 等前:0.0s 等后:0.0s) | ST7 转毂(开:61399.5s 加:114.5s 等前:0.0s 等后:0.0s) | ST8 制动(开:61514.0s 加:114.0s 等前:0.0s 等后:0.0s) | ST9 EG漏液/底盘漏液(开:61628.0s 加:112.5s 等前:0.0s 等后:0.0s) | ST10 全景/空调检查(开:61740.5s 加:0.0s 等前:0.0s 等后:0.0s) | ST11 气囊安装+绝缘(开:61740.5s 加:116.0s 等前:0.0s 等后:0.0s) | ST12 L2++(开:61856.5s 加:88.0s 等前:0.0s 等后:0.0s) | ST13 电检1(开:61944.5s 加:84.5s 等前:0.0s 等后:0.0s) | ST14 电检2(开:62029.0s 加:97.5s 等前:0.0s 等后:35.5s) | ST15 小跑道(开:62162.0s 加:50.0s 等前:0.0s 等后:0.0s)</t>
        </is>
      </c>
    </row>
    <row r="936">
      <c r="A936" s="13" t="n">
        <v>935</v>
      </c>
      <c r="B936" s="13" t="inlineStr">
        <is>
          <t>Car#935</t>
        </is>
      </c>
      <c r="C936" s="13" t="inlineStr">
        <is>
          <t>B</t>
        </is>
      </c>
      <c r="D936" s="14" t="n">
        <v>60786</v>
      </c>
      <c r="E936" s="14" t="n">
        <v>62278</v>
      </c>
      <c r="F936" s="14" t="n">
        <v>1492</v>
      </c>
      <c r="G936" s="14" t="n">
        <v>6774.5</v>
      </c>
      <c r="H936" s="13" t="inlineStr">
        <is>
          <t>Car#934</t>
        </is>
      </c>
      <c r="I936" s="14">
        <f>E936-E935</f>
        <v/>
      </c>
      <c r="J936" s="14">
        <f>I936-58</f>
        <v/>
      </c>
      <c r="K936" s="14">
        <f>MAX(0,J936)</f>
        <v/>
      </c>
      <c r="L936" s="14">
        <f>MAX(0,-J936)</f>
        <v/>
      </c>
      <c r="M936" s="14">
        <f>M935+I936</f>
        <v/>
      </c>
      <c r="N936" s="14">
        <f>D936+F936-E936</f>
        <v/>
      </c>
      <c r="O936" s="13" t="inlineStr">
        <is>
          <t>能力超目标：四轮定位上、下</t>
        </is>
      </c>
      <c r="P936" s="13" t="inlineStr">
        <is>
          <t>ST1 引取(开:60786.0s 加:56.0s 等前:6614.0s 等后:25.5s) | ST2 集约(开:60867.5s 加:111.0s 等前:0.0s 等后:32.5s) | ST3 空气悬挂+快充(开:61011.0s 加:108.5s 等前:0.0s 等后:12.0s) | ST4 四轮定位上、下(开:61131.5s 加:120.5s 等前:0.0s 等后:0.0s) | ST5 ADAS(开:61252.0s 加:107.0s 等前:0.0s 等后:26.0s) | ST6 ARHUD+慢充(开:61385.0s 加:51.5s 等前:0.0s 等后:63.0s) | ST7 转毂(开:61499.5s 加:114.5s 等前:0.0s 等后:0.0s) | ST8 制动(开:61614.0s 加:114.0s 等前:0.0s 等后:0.0s) | ST9 EG漏液/底盘漏液(开:61728.0s 加:112.5s 等前:0.0s 等后:0.0s) | ST10 全景/空调检查(开:61840.5s 加:0.0s 等前:0.0s 等后:1.5s) | ST11 气囊安装+绝缘(开:61842.0s 加:116.0s 等前:0.0s 等后:0.0s) | ST12 L2++(开:61958.0s 加:88.0s 等前:0.0s 等后:0.0s) | ST13 电检1(开:62046.0s 加:84.5s 等前:0.0s 等后:0.0s) | ST14 电检2(开:62130.5s 加:97.5s 等前:0.0s 等后:0.0s) | ST15 小跑道(开:62228.0s 加:50.0s 等前:0.0s 等后:0.0s)</t>
        </is>
      </c>
    </row>
    <row r="937">
      <c r="A937" s="15" t="n">
        <v>936</v>
      </c>
      <c r="B937" s="15" t="inlineStr">
        <is>
          <t>Car#936</t>
        </is>
      </c>
      <c r="C937" s="15" t="inlineStr">
        <is>
          <t>B</t>
        </is>
      </c>
      <c r="D937" s="16" t="n">
        <v>60867.5</v>
      </c>
      <c r="E937" s="16" t="n">
        <v>62328</v>
      </c>
      <c r="F937" s="16" t="n">
        <v>1460.5</v>
      </c>
      <c r="G937" s="16" t="n">
        <v>6766.5</v>
      </c>
      <c r="H937" s="15" t="inlineStr">
        <is>
          <t>Car#935</t>
        </is>
      </c>
      <c r="I937" s="16">
        <f>E937-E936</f>
        <v/>
      </c>
      <c r="J937" s="16">
        <f>I937-58</f>
        <v/>
      </c>
      <c r="K937" s="16">
        <f>MAX(0,J937)</f>
        <v/>
      </c>
      <c r="L937" s="16">
        <f>MAX(0,-J937)</f>
        <v/>
      </c>
      <c r="M937" s="16">
        <f>M936+I937</f>
        <v/>
      </c>
      <c r="N937" s="16">
        <f>D937+F937-E937</f>
        <v/>
      </c>
      <c r="O937" s="15" t="inlineStr">
        <is>
          <t>能力超目标：四轮定位上、下</t>
        </is>
      </c>
      <c r="P937" s="15" t="inlineStr">
        <is>
          <t>ST1 引取(开:60867.5s 加:56.0s 等前:6637.5s 等后:0.0s) | ST2 集约(开:60923.5s 加:111.0s 等前:0.0s 等后:0.0s) | ST3 空气悬挂+快充(开:61034.5s 加:108.5s 等前:0.0s 等后:0.0s) | ST4 四轮定位上、下(开:61143.0s 加:120.5s 等前:0.0s 等后:0.0s) | ST5 ADAS(开:61263.5s 加:107.0s 等前:0.0s 等后:29.0s) | ST6 ARHUD+慢充(开:61399.5s 加:51.5s 等前:0.0s 等后:63.0s) | ST7 转毂(开:61514.0s 加:114.5s 等前:0.0s 等后:0.0s) | ST8 制动(开:61628.5s 加:114.0s 等前:0.0s 等后:0.0s) | ST9 EG漏液/底盘漏液(开:61742.5s 加:112.5s 等前:0.0s 等后:0.0s) | ST10 全景/空调检查(开:61855.0s 加:0.0s 等前:0.0s 等后:1.5s) | ST11 气囊安装+绝缘(开:61856.5s 加:116.0s 等前:0.0s 等后:0.0s) | ST12 L2++(开:61972.5s 加:88.0s 等前:0.0s 等后:0.0s) | ST13 电检1(开:62060.5s 加:84.5s 等前:0.0s 等后:17.0s) | ST14 电检2(开:62162.0s 加:97.5s 等前:0.0s 等后:18.5s) | ST15 小跑道(开:62278.0s 加:50.0s 等前:0.0s 等后:0.0s)</t>
        </is>
      </c>
    </row>
    <row r="938">
      <c r="A938" s="13" t="n">
        <v>937</v>
      </c>
      <c r="B938" s="13" t="inlineStr">
        <is>
          <t>Car#937</t>
        </is>
      </c>
      <c r="C938" s="13" t="inlineStr">
        <is>
          <t>B</t>
        </is>
      </c>
      <c r="D938" s="14" t="n">
        <v>60923.5</v>
      </c>
      <c r="E938" s="14" t="n">
        <v>62394</v>
      </c>
      <c r="F938" s="14" t="n">
        <v>1470.5</v>
      </c>
      <c r="G938" s="14" t="n">
        <v>6774.5</v>
      </c>
      <c r="H938" s="13" t="inlineStr">
        <is>
          <t>Car#936</t>
        </is>
      </c>
      <c r="I938" s="14">
        <f>E938-E937</f>
        <v/>
      </c>
      <c r="J938" s="14">
        <f>I938-58</f>
        <v/>
      </c>
      <c r="K938" s="14">
        <f>MAX(0,J938)</f>
        <v/>
      </c>
      <c r="L938" s="14">
        <f>MAX(0,-J938)</f>
        <v/>
      </c>
      <c r="M938" s="14">
        <f>M937+I938</f>
        <v/>
      </c>
      <c r="N938" s="14">
        <f>D938+F938-E938</f>
        <v/>
      </c>
      <c r="O938" s="13" t="inlineStr">
        <is>
          <t>能力超目标：四轮定位上、下</t>
        </is>
      </c>
      <c r="P938" s="13" t="inlineStr">
        <is>
          <t>ST1 引取(开:60923.5s 加:56.0s 等前:6635.5s 等后:31.5s) | ST2 集约(开:61011.0s 加:111.0s 等前:0.0s 等后:9.5s) | ST3 空气悬挂+快充(开:61131.5s 加:108.5s 等前:0.0s 等后:12.0s) | ST4 四轮定位上、下(开:61252.0s 加:120.5s 等前:0.0s 等后:12.5s) | ST5 ADAS(开:61385.0s 加:107.0s 等前:0.0s 等后:7.5s) | ST6 ARHUD+慢充(开:61499.5s 加:51.5s 等前:0.0s 等后:63.0s) | ST7 转毂(开:61614.0s 加:114.5s 等前:0.0s 等后:0.0s) | ST8 制动(开:61728.5s 加:114.0s 等前:0.0s 等后:0.0s) | ST9 EG漏液/底盘漏液(开:61842.5s 加:112.5s 等前:0.0s 等后:0.0s) | ST10 全景/空调检查(开:61955.0s 加:0.0s 等前:0.0s 等后:3.0s) | ST11 气囊安装+绝缘(开:61958.0s 加:116.0s 等前:0.0s 等后:0.0s) | ST12 L2++(开:62074.0s 加:88.0s 等前:0.0s 等后:0.0s) | ST13 电检1(开:62162.0s 加:84.5s 等前:0.0s 等后:0.0s) | ST14 电检2(开:62246.5s 加:97.5s 等前:0.0s 等后:0.0s) | ST15 小跑道(开:62344.0s 加:50.0s 等前:0.0s 等后:0.0s)</t>
        </is>
      </c>
    </row>
    <row r="939">
      <c r="A939" s="15" t="n">
        <v>938</v>
      </c>
      <c r="B939" s="15" t="inlineStr">
        <is>
          <t>Car#938</t>
        </is>
      </c>
      <c r="C939" s="15" t="inlineStr">
        <is>
          <t>C</t>
        </is>
      </c>
      <c r="D939" s="16" t="n">
        <v>61011</v>
      </c>
      <c r="E939" s="16" t="n">
        <v>62444</v>
      </c>
      <c r="F939" s="16" t="n">
        <v>1433</v>
      </c>
      <c r="G939" s="16" t="n">
        <v>6674.5</v>
      </c>
      <c r="H939" s="15" t="inlineStr">
        <is>
          <t>Car#937</t>
        </is>
      </c>
      <c r="I939" s="16">
        <f>E939-E938</f>
        <v/>
      </c>
      <c r="J939" s="16">
        <f>I939-58</f>
        <v/>
      </c>
      <c r="K939" s="16">
        <f>MAX(0,J939)</f>
        <v/>
      </c>
      <c r="L939" s="16">
        <f>MAX(0,-J939)</f>
        <v/>
      </c>
      <c r="M939" s="16">
        <f>M938+I939</f>
        <v/>
      </c>
      <c r="N939" s="16">
        <f>D939+F939-E939</f>
        <v/>
      </c>
      <c r="O939" s="15" t="inlineStr">
        <is>
          <t>能力超目标：四轮定位上、下、ARHUD+慢充</t>
        </is>
      </c>
      <c r="P939" s="15" t="inlineStr">
        <is>
          <t>ST1 引取(开:61011.0s 加:56.0s 等前:6665.0s 等后:0.0s) | ST2 集约(开:61067.0s 加:111.0s 等前:0.0s 等后:0.0s) | ST3 空气悬挂+快充(开:61178.0s 加:108.5s 等前:0.0s 等后:0.0s) | ST4 四轮定位上、下(开:61286.5s 加:120.5s 等前:0.0s 等后:0.0s) | ST5 ADAS(开:61407.0s 加:107.0s 等前:0.0s 等后:0.0s) | ST6 ARHUD+慢充(开:61514.0s 加:143.5s 等前:0.0s 等后:0.0s) | ST7 转毂(开:61657.5s 加:114.5s 等前:0.0s 等后:0.0s) | ST8 制动(开:61772.0s 加:114.0s 等前:0.0s 等后:0.0s) | ST9 EG漏液/底盘漏液(开:61886.0s 加:112.5s 等前:0.0s 等后:0.0s) | ST10 全景/空调检查(开:61998.5s 加:0.0s 等前:0.0s 等后:0.0s) | ST11 气囊安装+绝缘(开:61998.5s 加:116.0s 等前:0.0s 等后:0.0s) | ST12 L2++(开:62114.5s 加:88.0s 等前:0.0s 等后:0.0s) | ST13 电检1(开:62202.5s 加:84.5s 等前:0.0s 等后:0.0s) | ST14 电检2(开:62287.0s 加:97.5s 等前:0.0s 等后:9.5s) | ST15 小跑道(开:62394.0s 加:50.0s 等前:0.0s 等后:0.0s)</t>
        </is>
      </c>
    </row>
    <row r="940">
      <c r="A940" s="13" t="n">
        <v>939</v>
      </c>
      <c r="B940" s="13" t="inlineStr">
        <is>
          <t>Car#939</t>
        </is>
      </c>
      <c r="C940" s="13" t="inlineStr">
        <is>
          <t>C</t>
        </is>
      </c>
      <c r="D940" s="14" t="n">
        <v>61067</v>
      </c>
      <c r="E940" s="14" t="n">
        <v>62534.5</v>
      </c>
      <c r="F940" s="14" t="n">
        <v>1467.5</v>
      </c>
      <c r="G940" s="14" t="n">
        <v>6707</v>
      </c>
      <c r="H940" s="13" t="inlineStr">
        <is>
          <t>Car#938</t>
        </is>
      </c>
      <c r="I940" s="14">
        <f>E940-E939</f>
        <v/>
      </c>
      <c r="J940" s="14">
        <f>I940-58</f>
        <v/>
      </c>
      <c r="K940" s="14">
        <f>MAX(0,J940)</f>
        <v/>
      </c>
      <c r="L940" s="14">
        <f>MAX(0,-J940)</f>
        <v/>
      </c>
      <c r="M940" s="14">
        <f>M939+I940</f>
        <v/>
      </c>
      <c r="N940" s="14">
        <f>D940+F940-E940</f>
        <v/>
      </c>
      <c r="O940" s="13" t="inlineStr">
        <is>
          <t>能力超目标：四轮定位上、下、ARHUD+慢充</t>
        </is>
      </c>
      <c r="P940" s="13" t="inlineStr">
        <is>
          <t>ST1 引取(开:61067.0s 加:56.0s 等前:6663.0s 等后:8.5s) | ST2 集约(开:61131.5s 加:111.0s 等前:0.0s 等后:9.5s) | ST3 空气悬挂+快充(开:61252.0s 加:108.5s 等前:0.0s 等后:24.5s) | ST4 四轮定位上、下(开:61385.0s 加:120.5s 等前:0.0s 等后:0.0s) | ST5 ADAS(开:61505.5s 加:107.0s 等前:0.0s 等后:1.5s) | ST6 ARHUD+慢充(开:61614.0s 加:143.5s 等前:0.0s 等后:0.0s) | ST7 转毂(开:61757.5s 加:114.5s 等前:0.0s 等后:0.0s) | ST8 制动(开:61872.0s 加:114.0s 等前:0.0s 等后:0.0s) | ST9 EG漏液/底盘漏液(开:61986.0s 加:112.5s 等前:0.0s 等后:0.0s) | ST10 全景/空调检查(开:62098.5s 加:0.0s 等前:0.0s 等后:0.0s) | ST11 气囊安装+绝缘(开:62098.5s 加:116.0s 等前:0.0s 等后:0.0s) | ST12 L2++(开:62214.5s 加:88.0s 等前:0.0s 等后:0.0s) | ST13 电检1(开:62302.5s 加:84.5s 等前:0.0s 等后:0.0s) | ST14 电检2(开:62387.0s 加:97.5s 等前:0.0s 等后:0.0s) | ST15 小跑道(开:62484.5s 加:50.0s 等前:0.0s 等后:0.0s)</t>
        </is>
      </c>
    </row>
    <row r="941">
      <c r="A941" s="15" t="n">
        <v>940</v>
      </c>
      <c r="B941" s="15" t="inlineStr">
        <is>
          <t>Car#941</t>
        </is>
      </c>
      <c r="C941" s="15" t="inlineStr">
        <is>
          <t>A</t>
        </is>
      </c>
      <c r="D941" s="16" t="n">
        <v>61187.5</v>
      </c>
      <c r="E941" s="16" t="n">
        <v>62585.5</v>
      </c>
      <c r="F941" s="16" t="n">
        <v>1398</v>
      </c>
      <c r="G941" s="16" t="n">
        <v>7204.5</v>
      </c>
      <c r="H941" s="15" t="inlineStr">
        <is>
          <t>Car#939</t>
        </is>
      </c>
      <c r="I941" s="16">
        <f>E941-E940</f>
        <v/>
      </c>
      <c r="J941" s="16">
        <f>I941-58</f>
        <v/>
      </c>
      <c r="K941" s="16">
        <f>MAX(0,J941)</f>
        <v/>
      </c>
      <c r="L941" s="16">
        <f>MAX(0,-J941)</f>
        <v/>
      </c>
      <c r="M941" s="16">
        <f>M940+I941</f>
        <v/>
      </c>
      <c r="N941" s="16">
        <f>D941+F941-E941</f>
        <v/>
      </c>
      <c r="O941" s="15" t="inlineStr">
        <is>
          <t>能力满足</t>
        </is>
      </c>
      <c r="P941" s="15" t="inlineStr">
        <is>
          <t>ST1 引取(开:61187.5s 加:55.0s 等前:6667.5s 等后:9.5s) | ST2 集约(开:61252.0s 加:106.0s 等前:0.0s 等后:27.0s) | ST3 空气悬挂+快充(开:61385.0s 加:0.0s 等前:0.0s 等后:120.5s) | ST4 四轮定位上、下(开:61505.5s 加:115.0s 等前:0.0s 等后:0.0s) | ST5 ADAS(开:61620.5s 加:97.0s 等前:0.0s 等后:40.0s) | ST6 ARHUD+慢充(开:61757.5s 加:0.0s 等前:0.0s 等后:114.5s) | ST7 转毂(开:61872.0s 加:116.0s 等前:0.0s 等后:0.0s) | ST8 制动(开:61988.0s 加:108.0s 等前:0.0s 等后:2.5s) | ST9 EG漏液/底盘漏液(开:62098.5s 加:115.0s 等前:0.0s 等后:0.0s) | ST10 全景/空调检查(开:62213.5s 加:98.0s 等前:0.0s 等后:0.0s) | ST11 气囊安装+绝缘(开:62311.5s 加:0.0s 等前:0.0s 等后:0.0s) | ST12 L2++(开:62311.5s 加:0.0s 等前:0.0s 等后:75.5s) | ST13 电检1(开:62387.0s 加:0.0s 等前:0.0s 等后:97.5s) | ST14 电检2(开:62484.5s 加:0.0s 等前:0.0s 等后:50.0s) | ST15 小跑道(开:62534.5s 加:51.0s 等前:0.0s 等后:0.0s)</t>
        </is>
      </c>
    </row>
    <row r="942">
      <c r="A942" s="13" t="n">
        <v>941</v>
      </c>
      <c r="B942" s="13" t="inlineStr">
        <is>
          <t>Car#940</t>
        </is>
      </c>
      <c r="C942" s="13" t="inlineStr">
        <is>
          <t>C</t>
        </is>
      </c>
      <c r="D942" s="14" t="n">
        <v>61131.5</v>
      </c>
      <c r="E942" s="14" t="n">
        <v>62635.5</v>
      </c>
      <c r="F942" s="14" t="n">
        <v>1504</v>
      </c>
      <c r="G942" s="14" t="n">
        <v>6750</v>
      </c>
      <c r="H942" s="13" t="inlineStr">
        <is>
          <t>Car#941</t>
        </is>
      </c>
      <c r="I942" s="14">
        <f>E942-E941</f>
        <v/>
      </c>
      <c r="J942" s="14">
        <f>I942-58</f>
        <v/>
      </c>
      <c r="K942" s="14">
        <f>MAX(0,J942)</f>
        <v/>
      </c>
      <c r="L942" s="14">
        <f>MAX(0,-J942)</f>
        <v/>
      </c>
      <c r="M942" s="14">
        <f>M941+I942</f>
        <v/>
      </c>
      <c r="N942" s="14">
        <f>D942+F942-E942</f>
        <v/>
      </c>
      <c r="O942" s="13" t="inlineStr">
        <is>
          <t>能力超目标：四轮定位上、下、ARHUD+慢充</t>
        </is>
      </c>
      <c r="P942" s="13" t="inlineStr">
        <is>
          <t>ST1 引取(开:61131.5s 加:56.0s 等前:6669.5s 等后:0.0s) | ST2 集约(开:61187.5s 加:111.0s 等前:0.0s 等后:0.0s) | ST3 空气悬挂+快充(开:61298.5s 加:108.5s 等前:0.0s 等后:0.0s) | ST4 四轮定位上、下(开:61407.0s 加:120.5s 等前:0.0s 等后:0.0s) | ST5 ADAS(开:61527.5s 加:107.0s 等前:0.0s 等后:23.0s) | ST6 ARHUD+慢充(开:61657.5s 加:143.5s 等前:0.0s 等后:0.0s) | ST7 转毂(开:61801.0s 加:114.5s 等前:0.0s 等后:0.0s) | ST8 制动(开:61915.5s 加:114.0s 等前:0.0s 等后:0.0s) | ST9 EG漏液/底盘漏液(开:62029.5s 加:112.5s 等前:0.0s 等后:0.0s) | ST10 全景/空调检查(开:62142.0s 加:0.0s 等前:0.0s 等后:0.0s) | ST11 气囊安装+绝缘(开:62142.0s 加:116.0s 等前:0.0s 等后:0.0s) | ST12 L2++(开:62258.0s 加:88.0s 等前:0.0s 等后:0.0s) | ST13 电检1(开:62346.0s 加:84.5s 等前:0.0s 等后:0.0s) | ST14 电检2(开:62430.5s 加:97.5s 等前:0.0s 等后:57.5s) | ST15 小跑道(开:62585.5s 加:50.0s 等前:0.0s 等后:0.0s)</t>
        </is>
      </c>
    </row>
    <row r="943">
      <c r="A943" s="15" t="n">
        <v>942</v>
      </c>
      <c r="B943" s="15" t="inlineStr">
        <is>
          <t>Car#943</t>
        </is>
      </c>
      <c r="C943" s="15" t="inlineStr">
        <is>
          <t>A</t>
        </is>
      </c>
      <c r="D943" s="16" t="n">
        <v>61307</v>
      </c>
      <c r="E943" s="16" t="n">
        <v>62686.5</v>
      </c>
      <c r="F943" s="16" t="n">
        <v>1379.5</v>
      </c>
      <c r="G943" s="16" t="n">
        <v>7189.5</v>
      </c>
      <c r="H943" s="15" t="inlineStr">
        <is>
          <t>Car#940</t>
        </is>
      </c>
      <c r="I943" s="16">
        <f>E943-E942</f>
        <v/>
      </c>
      <c r="J943" s="16">
        <f>I943-58</f>
        <v/>
      </c>
      <c r="K943" s="16">
        <f>MAX(0,J943)</f>
        <v/>
      </c>
      <c r="L943" s="16">
        <f>MAX(0,-J943)</f>
        <v/>
      </c>
      <c r="M943" s="16">
        <f>M942+I943</f>
        <v/>
      </c>
      <c r="N943" s="16">
        <f>D943+F943-E943</f>
        <v/>
      </c>
      <c r="O943" s="15" t="inlineStr">
        <is>
          <t>能力满足</t>
        </is>
      </c>
      <c r="P943" s="15" t="inlineStr">
        <is>
          <t>ST1 引取(开:61307.0s 加:55.0s 等前:6671.0s 等后:23.0s) | ST2 集约(开:61385.0s 加:106.0s 等前:0.0s 等后:14.5s) | ST3 空气悬挂+快充(开:61505.5s 加:0.0s 等前:0.0s 等后:115.0s) | ST4 四轮定位上、下(开:61620.5s 加:115.0s 等前:0.0s 等后:22.0s) | ST5 ADAS(开:61757.5s 加:97.0s 等前:0.0s 等后:17.5s) | ST6 ARHUD+慢充(开:61872.0s 加:0.0s 等前:0.0s 等后:116.0s) | ST7 转毂(开:61988.0s 加:116.0s 等前:0.0s 等后:0.0s) | ST8 制动(开:62104.0s 加:108.0s 等前:0.0s 等后:1.5s) | ST9 EG漏液/底盘漏液(开:62213.5s 加:115.0s 等前:0.0s 等后:0.0s) | ST10 全景/空调检查(开:62328.5s 加:98.0s 等前:0.0s 等后:0.0s) | ST11 气囊安装+绝缘(开:62426.5s 加:0.0s 等前:0.0s 等后:0.0s) | ST12 L2++(开:62426.5s 加:0.0s 等前:0.0s 等后:58.0s) | ST13 电检1(开:62484.5s 加:0.0s 等前:0.0s 等后:50.0s) | ST14 电检2(开:62534.5s 加:0.0s 等前:0.0s 等后:101.0s) | ST15 小跑道(开:62635.5s 加:51.0s 等前:0.0s 等后:0.0s)</t>
        </is>
      </c>
    </row>
    <row r="944">
      <c r="A944" s="13" t="n">
        <v>943</v>
      </c>
      <c r="B944" s="13" t="inlineStr">
        <is>
          <t>Car#942</t>
        </is>
      </c>
      <c r="C944" s="13" t="inlineStr">
        <is>
          <t>A</t>
        </is>
      </c>
      <c r="D944" s="14" t="n">
        <v>61252</v>
      </c>
      <c r="E944" s="14" t="n">
        <v>62737.5</v>
      </c>
      <c r="F944" s="14" t="n">
        <v>1485.5</v>
      </c>
      <c r="G944" s="14" t="n">
        <v>7298.5</v>
      </c>
      <c r="H944" s="13" t="inlineStr">
        <is>
          <t>Car#943</t>
        </is>
      </c>
      <c r="I944" s="14">
        <f>E944-E943</f>
        <v/>
      </c>
      <c r="J944" s="14">
        <f>I944-58</f>
        <v/>
      </c>
      <c r="K944" s="14">
        <f>MAX(0,J944)</f>
        <v/>
      </c>
      <c r="L944" s="14">
        <f>MAX(0,-J944)</f>
        <v/>
      </c>
      <c r="M944" s="14">
        <f>M943+I944</f>
        <v/>
      </c>
      <c r="N944" s="14">
        <f>D944+F944-E944</f>
        <v/>
      </c>
      <c r="O944" s="13" t="inlineStr">
        <is>
          <t>能力满足</t>
        </is>
      </c>
      <c r="P944" s="13" t="inlineStr">
        <is>
          <t>ST1 引取(开:61252.0s 加:55.0s 等前:6674.0s 等后:0.0s) | ST2 集约(开:61307.0s 加:106.0s 等前:0.0s 等后:0.0s) | ST3 空气悬挂+快充(开:61413.0s 加:0.0s 等前:0.0s 等后:114.5s) | ST4 四轮定位上、下(开:61527.5s 加:115.0s 等前:0.0s 等后:15.0s) | ST5 ADAS(开:61657.5s 加:97.0s 等前:0.0s 等后:46.5s) | ST6 ARHUD+慢充(开:61801.0s 加:0.0s 等前:0.0s 等后:114.5s) | ST7 转毂(开:61915.5s 加:116.0s 等前:0.0s 等后:0.0s) | ST8 制动(开:62031.5s 加:108.0s 等前:0.0s 等后:2.5s) | ST9 EG漏液/底盘漏液(开:62142.0s 加:115.0s 等前:0.0s 等后:0.0s) | ST10 全景/空调检查(开:62257.0s 加:98.0s 等前:0.0s 等后:0.0s) | ST11 气囊安装+绝缘(开:62355.0s 加:0.0s 等前:0.0s 等后:0.0s) | ST12 L2++(开:62355.0s 加:0.0s 等前:0.0s 等后:75.5s) | ST13 电检1(开:62430.5s 加:0.0s 等前:0.0s 等后:155.0s) | ST14 电检2(开:62585.5s 加:0.0s 等前:0.0s 等后:101.0s) | ST15 小跑道(开:62686.5s 加:51.0s 等前:0.0s 等后:0.0s)</t>
        </is>
      </c>
    </row>
    <row r="945">
      <c r="A945" s="15" t="n">
        <v>944</v>
      </c>
      <c r="B945" s="15" t="inlineStr">
        <is>
          <t>Car#944</t>
        </is>
      </c>
      <c r="C945" s="15" t="inlineStr">
        <is>
          <t>C</t>
        </is>
      </c>
      <c r="D945" s="16" t="n">
        <v>61385</v>
      </c>
      <c r="E945" s="16" t="n">
        <v>62836</v>
      </c>
      <c r="F945" s="16" t="n">
        <v>1451</v>
      </c>
      <c r="G945" s="16" t="n">
        <v>6718.5</v>
      </c>
      <c r="H945" s="15" t="inlineStr">
        <is>
          <t>Car#942</t>
        </is>
      </c>
      <c r="I945" s="16">
        <f>E945-E944</f>
        <v/>
      </c>
      <c r="J945" s="16">
        <f>I945-58</f>
        <v/>
      </c>
      <c r="K945" s="16">
        <f>MAX(0,J945)</f>
        <v/>
      </c>
      <c r="L945" s="16">
        <f>MAX(0,-J945)</f>
        <v/>
      </c>
      <c r="M945" s="16">
        <f>M944+I945</f>
        <v/>
      </c>
      <c r="N945" s="16">
        <f>D945+F945-E945</f>
        <v/>
      </c>
      <c r="O945" s="15" t="inlineStr">
        <is>
          <t>能力超目标：四轮定位上、下、ARHUD+慢充</t>
        </is>
      </c>
      <c r="P945" s="15" t="inlineStr">
        <is>
          <t>ST1 引取(开:61385.0s 加:56.0s 等前:6691.0s 等后:0.0s) | ST2 集约(开:61441.0s 加:111.0s 等前:0.0s 等后:0.0s) | ST3 空气悬挂+快充(开:61552.0s 加:108.5s 等前:0.0s 等后:0.0s) | ST4 四轮定位上、下(开:61660.5s 加:120.5s 等前:0.0s 等后:20.0s) | ST5 ADAS(开:61801.0s 加:107.0s 等前:0.0s 等后:7.5s) | ST6 ARHUD+慢充(开:61915.5s 加:143.5s 等前:0.0s 等后:0.0s) | ST7 转毂(开:62059.0s 加:114.5s 等前:0.0s 等后:0.0s) | ST8 制动(开:62173.5s 加:114.0s 等前:0.0s 等后:0.0s) | ST9 EG漏液/底盘漏液(开:62287.5s 加:112.5s 等前:0.0s 等后:0.0s) | ST10 全景/空调检查(开:62400.0s 加:0.0s 等前:0.0s 等后:0.0s) | ST11 气囊安装+绝缘(开:62400.0s 加:116.0s 等前:0.0s 等后:0.0s) | ST12 L2++(开:62516.0s 加:88.0s 等前:0.0s 等后:0.0s) | ST13 电检1(开:62604.0s 加:84.5s 等前:0.0s 等后:0.0s) | ST14 电检2(开:62688.5s 加:97.5s 等前:0.0s 等后:0.0s) | ST15 小跑道(开:62786.0s 加:50.0s 等前:0.0s 等后:0.0s)</t>
        </is>
      </c>
    </row>
    <row r="946">
      <c r="A946" s="13" t="n">
        <v>945</v>
      </c>
      <c r="B946" s="13" t="inlineStr">
        <is>
          <t>Car#945</t>
        </is>
      </c>
      <c r="C946" s="13" t="inlineStr">
        <is>
          <t>C</t>
        </is>
      </c>
      <c r="D946" s="14" t="n">
        <v>61441</v>
      </c>
      <c r="E946" s="14" t="n">
        <v>62908.5</v>
      </c>
      <c r="F946" s="14" t="n">
        <v>1467.5</v>
      </c>
      <c r="G946" s="14" t="n">
        <v>6733</v>
      </c>
      <c r="H946" s="13" t="inlineStr">
        <is>
          <t>Car#944</t>
        </is>
      </c>
      <c r="I946" s="14">
        <f>E946-E945</f>
        <v/>
      </c>
      <c r="J946" s="14">
        <f>I946-58</f>
        <v/>
      </c>
      <c r="K946" s="14">
        <f>MAX(0,J946)</f>
        <v/>
      </c>
      <c r="L946" s="14">
        <f>MAX(0,-J946)</f>
        <v/>
      </c>
      <c r="M946" s="14">
        <f>M945+I946</f>
        <v/>
      </c>
      <c r="N946" s="14">
        <f>D946+F946-E946</f>
        <v/>
      </c>
      <c r="O946" s="13" t="inlineStr">
        <is>
          <t>能力超目标：四轮定位上、下、ARHUD+慢充</t>
        </is>
      </c>
      <c r="P946" s="13" t="inlineStr">
        <is>
          <t>ST1 引取(开:61441.0s 加:56.0s 等前:6689.0s 等后:8.5s) | ST2 集约(开:61505.5s 加:111.0s 等前:0.0s 等后:4.0s) | ST3 空气悬挂+快充(开:61620.5s 加:108.5s 等前:0.0s 等后:28.5s) | ST4 四轮定位上、下(开:61757.5s 加:120.5s 等前:0.0s 等后:0.0s) | ST5 ADAS(开:61878.0s 加:107.0s 等前:0.0s 等后:3.0s) | ST6 ARHUD+慢充(开:61988.0s 加:143.5s 等前:0.0s 等后:0.0s) | ST7 转毂(开:62131.5s 加:114.5s 等前:0.0s 等后:0.0s) | ST8 制动(开:62246.0s 加:114.0s 等前:0.0s 等后:0.0s) | ST9 EG漏液/底盘漏液(开:62360.0s 加:112.5s 等前:0.0s 等后:0.0s) | ST10 全景/空调检查(开:62472.5s 加:0.0s 等前:0.0s 等后:0.0s) | ST11 气囊安装+绝缘(开:62472.5s 加:116.0s 等前:0.0s 等后:0.0s) | ST12 L2++(开:62588.5s 加:88.0s 等前:0.0s 等后:0.0s) | ST13 电检1(开:62676.5s 加:84.5s 等前:0.0s 等后:0.0s) | ST14 电检2(开:62761.0s 加:97.5s 等前:0.0s 等后:0.0s) | ST15 小跑道(开:62858.5s 加:50.0s 等前:0.0s 等后:0.0s)</t>
        </is>
      </c>
    </row>
    <row r="947">
      <c r="A947" s="15" t="n">
        <v>946</v>
      </c>
      <c r="B947" s="15" t="inlineStr">
        <is>
          <t>Car#946</t>
        </is>
      </c>
      <c r="C947" s="15" t="inlineStr">
        <is>
          <t>B</t>
        </is>
      </c>
      <c r="D947" s="16" t="n">
        <v>61505.5</v>
      </c>
      <c r="E947" s="16" t="n">
        <v>62958.5</v>
      </c>
      <c r="F947" s="16" t="n">
        <v>1453</v>
      </c>
      <c r="G947" s="16" t="n">
        <v>6817</v>
      </c>
      <c r="H947" s="15" t="inlineStr">
        <is>
          <t>Car#945</t>
        </is>
      </c>
      <c r="I947" s="16">
        <f>E947-E946</f>
        <v/>
      </c>
      <c r="J947" s="16">
        <f>I947-58</f>
        <v/>
      </c>
      <c r="K947" s="16">
        <f>MAX(0,J947)</f>
        <v/>
      </c>
      <c r="L947" s="16">
        <f>MAX(0,-J947)</f>
        <v/>
      </c>
      <c r="M947" s="16">
        <f>M946+I947</f>
        <v/>
      </c>
      <c r="N947" s="16">
        <f>D947+F947-E947</f>
        <v/>
      </c>
      <c r="O947" s="15" t="inlineStr">
        <is>
          <t>能力超目标：四轮定位上、下</t>
        </is>
      </c>
      <c r="P947" s="15" t="inlineStr">
        <is>
          <t>ST1 引取(开:61505.5s 加:56.0s 等前:6695.5s 等后:0.0s) | ST2 集约(开:61561.5s 加:111.0s 等前:0.0s 等后:0.0s) | ST3 空气悬挂+快充(开:61672.5s 加:108.5s 等前:0.0s 等后:20.0s) | ST4 四轮定位上、下(开:61801.0s 加:120.5s 等前:0.0s 等后:0.0s) | ST5 ADAS(开:61921.5s 加:107.0s 等前:0.0s 等后:30.5s) | ST6 ARHUD+慢充(开:62059.0s 加:51.5s 等前:0.0s 等后:63.0s) | ST7 转毂(开:62173.5s 加:114.5s 等前:0.0s 等后:0.0s) | ST8 制动(开:62288.0s 加:114.0s 等前:0.0s 等后:0.0s) | ST9 EG漏液/底盘漏液(开:62402.0s 加:112.5s 等前:0.0s 等后:0.0s) | ST10 全景/空调检查(开:62514.5s 加:0.0s 等前:0.0s 等后:1.5s) | ST11 气囊安装+绝缘(开:62516.0s 加:116.0s 等前:0.0s 等后:0.0s) | ST12 L2++(开:62632.0s 加:88.0s 等前:0.0s 等后:0.0s) | ST13 电检1(开:62720.0s 加:84.5s 等前:0.0s 等后:0.0s) | ST14 电检2(开:62804.5s 加:97.5s 等前:0.0s 等后:6.5s) | ST15 小跑道(开:62908.5s 加:50.0s 等前:0.0s 等后:0.0s)</t>
        </is>
      </c>
    </row>
    <row r="948">
      <c r="A948" s="13" t="n">
        <v>947</v>
      </c>
      <c r="B948" s="13" t="inlineStr">
        <is>
          <t>Car#947</t>
        </is>
      </c>
      <c r="C948" s="13" t="inlineStr">
        <is>
          <t>B</t>
        </is>
      </c>
      <c r="D948" s="14" t="n">
        <v>61561.5</v>
      </c>
      <c r="E948" s="14" t="n">
        <v>63024.5</v>
      </c>
      <c r="F948" s="14" t="n">
        <v>1463</v>
      </c>
      <c r="G948" s="14" t="n">
        <v>6825</v>
      </c>
      <c r="H948" s="13" t="inlineStr">
        <is>
          <t>Car#946</t>
        </is>
      </c>
      <c r="I948" s="14">
        <f>E948-E947</f>
        <v/>
      </c>
      <c r="J948" s="14">
        <f>I948-58</f>
        <v/>
      </c>
      <c r="K948" s="14">
        <f>MAX(0,J948)</f>
        <v/>
      </c>
      <c r="L948" s="14">
        <f>MAX(0,-J948)</f>
        <v/>
      </c>
      <c r="M948" s="14">
        <f>M947+I948</f>
        <v/>
      </c>
      <c r="N948" s="14">
        <f>D948+F948-E948</f>
        <v/>
      </c>
      <c r="O948" s="13" t="inlineStr">
        <is>
          <t>能力超目标：四轮定位上、下</t>
        </is>
      </c>
      <c r="P948" s="13" t="inlineStr">
        <is>
          <t>ST1 引取(开:61561.5s 加:56.0s 等前:6693.5s 等后:3.0s) | ST2 集约(开:61620.5s 加:111.0s 等前:0.0s 等后:26.0s) | ST3 空气悬挂+快充(开:61757.5s 加:108.5s 等前:0.0s 等后:12.0s) | ST4 四轮定位上、下(开:61878.0s 加:120.5s 等前:0.0s 等后:0.0s) | ST5 ADAS(开:61998.5s 加:107.0s 等前:0.0s 等后:26.0s) | ST6 ARHUD+慢充(开:62131.5s 加:51.5s 等前:0.0s 等后:63.0s) | ST7 转毂(开:62246.0s 加:114.5s 等前:0.0s 等后:0.0s) | ST8 制动(开:62360.5s 加:114.0s 等前:0.0s 等后:0.0s) | ST9 EG漏液/底盘漏液(开:62474.5s 加:112.5s 等前:0.0s 等后:0.0s) | ST10 全景/空调检查(开:62587.0s 加:0.0s 等前:0.0s 等后:1.5s) | ST11 气囊安装+绝缘(开:62588.5s 加:116.0s 等前:0.0s 等后:0.0s) | ST12 L2++(开:62704.5s 加:88.0s 等前:0.0s 等后:0.0s) | ST13 电检1(开:62792.5s 加:84.5s 等前:0.0s 等后:0.0s) | ST14 电检2(开:62877.0s 加:97.5s 等前:0.0s 等后:0.0s) | ST15 小跑道(开:62974.5s 加:50.0s 等前:0.0s 等后:0.0s)</t>
        </is>
      </c>
    </row>
    <row r="949">
      <c r="A949" s="15" t="n">
        <v>948</v>
      </c>
      <c r="B949" s="15" t="inlineStr">
        <is>
          <t>Car#948</t>
        </is>
      </c>
      <c r="C949" s="15" t="inlineStr">
        <is>
          <t>C</t>
        </is>
      </c>
      <c r="D949" s="16" t="n">
        <v>61620.5</v>
      </c>
      <c r="E949" s="16" t="n">
        <v>63094</v>
      </c>
      <c r="F949" s="16" t="n">
        <v>1473.5</v>
      </c>
      <c r="G949" s="16" t="n">
        <v>6744.5</v>
      </c>
      <c r="H949" s="15" t="inlineStr">
        <is>
          <t>Car#947</t>
        </is>
      </c>
      <c r="I949" s="16">
        <f>E949-E948</f>
        <v/>
      </c>
      <c r="J949" s="16">
        <f>I949-58</f>
        <v/>
      </c>
      <c r="K949" s="16">
        <f>MAX(0,J949)</f>
        <v/>
      </c>
      <c r="L949" s="16">
        <f>MAX(0,-J949)</f>
        <v/>
      </c>
      <c r="M949" s="16">
        <f>M948+I949</f>
        <v/>
      </c>
      <c r="N949" s="16">
        <f>D949+F949-E949</f>
        <v/>
      </c>
      <c r="O949" s="15" t="inlineStr">
        <is>
          <t>能力超目标：四轮定位上、下、ARHUD+慢充</t>
        </is>
      </c>
      <c r="P949" s="15" t="inlineStr">
        <is>
          <t>ST1 引取(开:61620.5s 加:56.0s 等前:6694.5s 等后:0.0s) | ST2 集约(开:61676.5s 加:111.0s 等前:0.0s 等后:13.5s) | ST3 空气悬挂+快充(开:61801.0s 加:108.5s 等前:0.0s 等后:12.0s) | ST4 四轮定位上、下(开:61921.5s 加:120.5s 等前:0.0s 等后:17.0s) | ST5 ADAS(开:62059.0s 加:107.0s 等前:0.0s 等后:7.5s) | ST6 ARHUD+慢充(开:62173.5s 加:143.5s 等前:0.0s 等后:0.0s) | ST7 转毂(开:62317.0s 加:114.5s 等前:0.0s 等后:0.0s) | ST8 制动(开:62431.5s 加:114.0s 等前:0.0s 等后:0.0s) | ST9 EG漏液/底盘漏液(开:62545.5s 加:112.5s 等前:0.0s 等后:0.0s) | ST10 全景/空调检查(开:62658.0s 加:0.0s 等前:0.0s 等后:0.0s) | ST11 气囊安装+绝缘(开:62658.0s 加:116.0s 等前:0.0s 等后:0.0s) | ST12 L2++(开:62774.0s 加:88.0s 等前:0.0s 等后:0.0s) | ST13 电检1(开:62862.0s 加:84.5s 等前:0.0s 等后:0.0s) | ST14 电检2(开:62946.5s 加:97.5s 等前:0.0s 等后:0.0s) | ST15 小跑道(开:63044.0s 加:50.0s 等前:0.0s 等后:0.0s)</t>
        </is>
      </c>
    </row>
    <row r="950">
      <c r="A950" s="13" t="n">
        <v>949</v>
      </c>
      <c r="B950" s="13" t="inlineStr">
        <is>
          <t>Car#949</t>
        </is>
      </c>
      <c r="C950" s="13" t="inlineStr">
        <is>
          <t>C</t>
        </is>
      </c>
      <c r="D950" s="14" t="n">
        <v>61676.5</v>
      </c>
      <c r="E950" s="14" t="n">
        <v>63166.5</v>
      </c>
      <c r="F950" s="14" t="n">
        <v>1490</v>
      </c>
      <c r="G950" s="14" t="n">
        <v>6759</v>
      </c>
      <c r="H950" s="13" t="inlineStr">
        <is>
          <t>Car#948</t>
        </is>
      </c>
      <c r="I950" s="14">
        <f>E950-E949</f>
        <v/>
      </c>
      <c r="J950" s="14">
        <f>I950-58</f>
        <v/>
      </c>
      <c r="K950" s="14">
        <f>MAX(0,J950)</f>
        <v/>
      </c>
      <c r="L950" s="14">
        <f>MAX(0,-J950)</f>
        <v/>
      </c>
      <c r="M950" s="14">
        <f>M949+I950</f>
        <v/>
      </c>
      <c r="N950" s="14">
        <f>D950+F950-E950</f>
        <v/>
      </c>
      <c r="O950" s="13" t="inlineStr">
        <is>
          <t>能力超目标：四轮定位上、下、ARHUD+慢充</t>
        </is>
      </c>
      <c r="P950" s="13" t="inlineStr">
        <is>
          <t>ST1 引取(开:61676.5s 加:56.0s 等前:6692.5s 等后:25.0s) | ST2 集约(开:61757.5s 加:111.0s 等前:0.0s 等后:9.5s) | ST3 空气悬挂+快充(开:61878.0s 加:108.5s 等前:0.0s 等后:12.0s) | ST4 四轮定位上、下(开:61998.5s 加:120.5s 等前:0.0s 等后:12.5s) | ST5 ADAS(开:62131.5s 加:107.0s 等前:0.0s 等后:7.5s) | ST6 ARHUD+慢充(开:62246.0s 加:143.5s 等前:0.0s 等后:0.0s) | ST7 转毂(开:62389.5s 加:114.5s 等前:0.0s 等后:0.0s) | ST8 制动(开:62504.0s 加:114.0s 等前:0.0s 等后:0.0s) | ST9 EG漏液/底盘漏液(开:62618.0s 加:112.5s 等前:0.0s 等后:0.0s) | ST10 全景/空调检查(开:62730.5s 加:0.0s 等前:0.0s 等后:0.0s) | ST11 气囊安装+绝缘(开:62730.5s 加:116.0s 等前:0.0s 等后:0.0s) | ST12 L2++(开:62846.5s 加:88.0s 等前:0.0s 等后:0.0s) | ST13 电检1(开:62934.5s 加:84.5s 等前:0.0s 等后:0.0s) | ST14 电检2(开:63019.0s 加:97.5s 等前:0.0s 等后:0.0s) | ST15 小跑道(开:63116.5s 加:50.0s 等前:0.0s 等后:0.0s)</t>
        </is>
      </c>
    </row>
    <row r="951">
      <c r="A951" s="15" t="n">
        <v>950</v>
      </c>
      <c r="B951" s="15" t="inlineStr">
        <is>
          <t>Car#950</t>
        </is>
      </c>
      <c r="C951" s="15" t="inlineStr">
        <is>
          <t>C</t>
        </is>
      </c>
      <c r="D951" s="16" t="n">
        <v>61757.5</v>
      </c>
      <c r="E951" s="16" t="n">
        <v>63237.5</v>
      </c>
      <c r="F951" s="16" t="n">
        <v>1480</v>
      </c>
      <c r="G951" s="16" t="n">
        <v>6772</v>
      </c>
      <c r="H951" s="15" t="inlineStr">
        <is>
          <t>Car#949</t>
        </is>
      </c>
      <c r="I951" s="16">
        <f>E951-E950</f>
        <v/>
      </c>
      <c r="J951" s="16">
        <f>I951-58</f>
        <v/>
      </c>
      <c r="K951" s="16">
        <f>MAX(0,J951)</f>
        <v/>
      </c>
      <c r="L951" s="16">
        <f>MAX(0,-J951)</f>
        <v/>
      </c>
      <c r="M951" s="16">
        <f>M950+I951</f>
        <v/>
      </c>
      <c r="N951" s="16">
        <f>D951+F951-E951</f>
        <v/>
      </c>
      <c r="O951" s="15" t="inlineStr">
        <is>
          <t>能力超目标：四轮定位上、下、ARHUD+慢充</t>
        </is>
      </c>
      <c r="P951" s="15" t="inlineStr">
        <is>
          <t>ST1 引取(开:61757.5s 加:56.0s 等前:6715.5s 等后:0.0s) | ST2 集约(开:61813.5s 加:111.0s 等前:0.0s 等后:0.0s) | ST3 空气悬挂+快充(开:61924.5s 加:108.5s 等前:0.0s 等后:26.0s) | ST4 四轮定位上、下(开:62059.0s 加:120.5s 等前:0.0s 等后:0.0s) | ST5 ADAS(开:62179.5s 加:107.0s 等前:0.0s 等后:30.5s) | ST6 ARHUD+慢充(开:62317.0s 加:143.5s 等前:0.0s 等后:0.0s) | ST7 转毂(开:62460.5s 加:114.5s 等前:0.0s 等后:0.0s) | ST8 制动(开:62575.0s 加:114.0s 等前:0.0s 等后:0.0s) | ST9 EG漏液/底盘漏液(开:62689.0s 加:112.5s 等前:0.0s 等后:0.0s) | ST10 全景/空调检查(开:62801.5s 加:0.0s 等前:0.0s 等后:0.0s) | ST11 气囊安装+绝缘(开:62801.5s 加:116.0s 等前:0.0s 等后:0.0s) | ST12 L2++(开:62917.5s 加:88.0s 等前:0.0s 等后:0.0s) | ST13 电检1(开:63005.5s 加:84.5s 等前:0.0s 等后:0.0s) | ST14 电检2(开:63090.0s 加:97.5s 等前:0.0s 等后:0.0s) | ST15 小跑道(开:63187.5s 加:50.0s 等前:0.0s 等后:0.0s)</t>
        </is>
      </c>
    </row>
    <row r="952">
      <c r="A952" s="13" t="n">
        <v>951</v>
      </c>
      <c r="B952" s="13" t="inlineStr">
        <is>
          <t>Car#951</t>
        </is>
      </c>
      <c r="C952" s="13" t="inlineStr">
        <is>
          <t>C</t>
        </is>
      </c>
      <c r="D952" s="14" t="n">
        <v>61813.5</v>
      </c>
      <c r="E952" s="14" t="n">
        <v>63310</v>
      </c>
      <c r="F952" s="14" t="n">
        <v>1496.5</v>
      </c>
      <c r="G952" s="14" t="n">
        <v>6786.5</v>
      </c>
      <c r="H952" s="13" t="inlineStr">
        <is>
          <t>Car#950</t>
        </is>
      </c>
      <c r="I952" s="14">
        <f>E952-E951</f>
        <v/>
      </c>
      <c r="J952" s="14">
        <f>I952-58</f>
        <v/>
      </c>
      <c r="K952" s="14">
        <f>MAX(0,J952)</f>
        <v/>
      </c>
      <c r="L952" s="14">
        <f>MAX(0,-J952)</f>
        <v/>
      </c>
      <c r="M952" s="14">
        <f>M951+I952</f>
        <v/>
      </c>
      <c r="N952" s="14">
        <f>D952+F952-E952</f>
        <v/>
      </c>
      <c r="O952" s="13" t="inlineStr">
        <is>
          <t>能力超目标：四轮定位上、下、ARHUD+慢充</t>
        </is>
      </c>
      <c r="P952" s="13" t="inlineStr">
        <is>
          <t>ST1 引取(开:61813.5s 加:56.0s 等前:6713.5s 等后:8.5s) | ST2 集约(开:61878.0s 加:111.0s 等前:0.0s 等后:9.5s) | ST3 空气悬挂+快充(开:61998.5s 加:108.5s 等前:0.0s 等后:24.5s) | ST4 四轮定位上、下(开:62131.5s 加:120.5s 等前:0.0s 等后:0.0s) | ST5 ADAS(开:62252.0s 加:107.0s 等前:0.0s 等后:30.5s) | ST6 ARHUD+慢充(开:62389.5s 加:143.5s 等前:0.0s 等后:0.0s) | ST7 转毂(开:62533.0s 加:114.5s 等前:0.0s 等后:0.0s) | ST8 制动(开:62647.5s 加:114.0s 等前:0.0s 等后:0.0s) | ST9 EG漏液/底盘漏液(开:62761.5s 加:112.5s 等前:0.0s 等后:0.0s) | ST10 全景/空调检查(开:62874.0s 加:0.0s 等前:0.0s 等后:0.0s) | ST11 气囊安装+绝缘(开:62874.0s 加:116.0s 等前:0.0s 等后:0.0s) | ST12 L2++(开:62990.0s 加:88.0s 等前:0.0s 等后:0.0s) | ST13 电检1(开:63078.0s 加:84.5s 等前:0.0s 等后:0.0s) | ST14 电检2(开:63162.5s 加:97.5s 等前:0.0s 等后:0.0s) | ST15 小跑道(开:63260.0s 加:50.0s 等前:0.0s 等后:0.0s)</t>
        </is>
      </c>
    </row>
    <row r="953">
      <c r="A953" s="15" t="n">
        <v>952</v>
      </c>
      <c r="B953" s="15" t="inlineStr">
        <is>
          <t>Car#953</t>
        </is>
      </c>
      <c r="C953" s="15" t="inlineStr">
        <is>
          <t>A</t>
        </is>
      </c>
      <c r="D953" s="16" t="n">
        <v>61934</v>
      </c>
      <c r="E953" s="16" t="n">
        <v>63361</v>
      </c>
      <c r="F953" s="16" t="n">
        <v>1427</v>
      </c>
      <c r="G953" s="16" t="n">
        <v>7284</v>
      </c>
      <c r="H953" s="15" t="inlineStr">
        <is>
          <t>Car#951</t>
        </is>
      </c>
      <c r="I953" s="16">
        <f>E953-E952</f>
        <v/>
      </c>
      <c r="J953" s="16">
        <f>I953-58</f>
        <v/>
      </c>
      <c r="K953" s="16">
        <f>MAX(0,J953)</f>
        <v/>
      </c>
      <c r="L953" s="16">
        <f>MAX(0,-J953)</f>
        <v/>
      </c>
      <c r="M953" s="16">
        <f>M952+I953</f>
        <v/>
      </c>
      <c r="N953" s="16">
        <f>D953+F953-E953</f>
        <v/>
      </c>
      <c r="O953" s="15" t="inlineStr">
        <is>
          <t>能力满足</t>
        </is>
      </c>
      <c r="P953" s="15" t="inlineStr">
        <is>
          <t>ST1 引取(开:61934.0s 加:55.0s 等前:6718.0s 等后:9.5s) | ST2 集约(开:61998.5s 加:106.0s 等前:0.0s 等后:27.0s) | ST3 空气悬挂+快充(开:62131.5s 加:0.0s 等前:0.0s 等后:120.5s) | ST4 四轮定位上、下(开:62252.0s 加:115.0s 等前:0.0s 等后:22.5s) | ST5 ADAS(开:62389.5s 加:97.0s 等前:0.0s 等后:46.5s) | ST6 ARHUD+慢充(开:62533.0s 加:0.0s 等前:0.0s 等后:114.5s) | ST7 转毂(开:62647.5s 加:116.0s 等前:0.0s 等后:0.0s) | ST8 制动(开:62763.5s 加:108.0s 等前:0.0s 等后:2.5s) | ST9 EG漏液/底盘漏液(开:62874.0s 加:115.0s 等前:0.0s 等后:0.0s) | ST10 全景/空调检查(开:62989.0s 加:98.0s 等前:0.0s 等后:0.0s) | ST11 气囊安装+绝缘(开:63087.0s 加:0.0s 等前:0.0s 等后:0.0s) | ST12 L2++(开:63087.0s 加:0.0s 等前:0.0s 等后:75.5s) | ST13 电检1(开:63162.5s 加:0.0s 等前:0.0s 等后:97.5s) | ST14 电检2(开:63260.0s 加:0.0s 等前:0.0s 等后:50.0s) | ST15 小跑道(开:63310.0s 加:51.0s 等前:0.0s 等后:0.0s)</t>
        </is>
      </c>
    </row>
    <row r="954">
      <c r="A954" s="13" t="n">
        <v>953</v>
      </c>
      <c r="B954" s="13" t="inlineStr">
        <is>
          <t>Car#952</t>
        </is>
      </c>
      <c r="C954" s="13" t="inlineStr">
        <is>
          <t>C</t>
        </is>
      </c>
      <c r="D954" s="14" t="n">
        <v>61878</v>
      </c>
      <c r="E954" s="14" t="n">
        <v>63411</v>
      </c>
      <c r="F954" s="14" t="n">
        <v>1533</v>
      </c>
      <c r="G954" s="14" t="n">
        <v>6829.5</v>
      </c>
      <c r="H954" s="13" t="inlineStr">
        <is>
          <t>Car#953</t>
        </is>
      </c>
      <c r="I954" s="14">
        <f>E954-E953</f>
        <v/>
      </c>
      <c r="J954" s="14">
        <f>I954-58</f>
        <v/>
      </c>
      <c r="K954" s="14">
        <f>MAX(0,J954)</f>
        <v/>
      </c>
      <c r="L954" s="14">
        <f>MAX(0,-J954)</f>
        <v/>
      </c>
      <c r="M954" s="14">
        <f>M953+I954</f>
        <v/>
      </c>
      <c r="N954" s="14">
        <f>D954+F954-E954</f>
        <v/>
      </c>
      <c r="O954" s="13" t="inlineStr">
        <is>
          <t>能力超目标：四轮定位上、下、ARHUD+慢充</t>
        </is>
      </c>
      <c r="P954" s="13" t="inlineStr">
        <is>
          <t>ST1 引取(开:61878.0s 加:56.0s 等前:6720.0s 等后:0.0s) | ST2 集约(开:61934.0s 加:111.0s 等前:0.0s 等后:14.0s) | ST3 空气悬挂+快充(开:62059.0s 加:108.5s 等前:0.0s 等后:12.0s) | ST4 四轮定位上、下(开:62179.5s 加:120.5s 等前:0.0s 等后:17.0s) | ST5 ADAS(开:62317.0s 加:107.0s 等前:0.0s 等后:36.5s) | ST6 ARHUD+慢充(开:62460.5s 加:143.5s 等前:0.0s 等后:0.0s) | ST7 转毂(开:62604.0s 加:114.5s 等前:0.0s 等后:0.0s) | ST8 制动(开:62718.5s 加:114.0s 等前:0.0s 等后:0.0s) | ST9 EG漏液/底盘漏液(开:62832.5s 加:112.5s 等前:0.0s 等后:0.0s) | ST10 全景/空调检查(开:62945.0s 加:0.0s 等前:0.0s 等后:0.0s) | ST11 气囊安装+绝缘(开:62945.0s 加:116.0s 等前:0.0s 等后:0.0s) | ST12 L2++(开:63061.0s 加:88.0s 等前:0.0s 等后:0.0s) | ST13 电检1(开:63149.0s 加:84.5s 等前:0.0s 等后:0.0s) | ST14 电检2(开:63233.5s 加:97.5s 等前:0.0s 等后:30.0s) | ST15 小跑道(开:63361.0s 加:50.0s 等前:0.0s 等后:0.0s)</t>
        </is>
      </c>
    </row>
    <row r="955">
      <c r="A955" s="15" t="n">
        <v>954</v>
      </c>
      <c r="B955" s="15" t="inlineStr">
        <is>
          <t>Car#954</t>
        </is>
      </c>
      <c r="C955" s="15" t="inlineStr">
        <is>
          <t>B</t>
        </is>
      </c>
      <c r="D955" s="16" t="n">
        <v>61998.5</v>
      </c>
      <c r="E955" s="16" t="n">
        <v>63508.5</v>
      </c>
      <c r="F955" s="16" t="n">
        <v>1510</v>
      </c>
      <c r="G955" s="16" t="n">
        <v>6903</v>
      </c>
      <c r="H955" s="15" t="inlineStr">
        <is>
          <t>Car#952</t>
        </is>
      </c>
      <c r="I955" s="16">
        <f>E955-E954</f>
        <v/>
      </c>
      <c r="J955" s="16">
        <f>I955-58</f>
        <v/>
      </c>
      <c r="K955" s="16">
        <f>MAX(0,J955)</f>
        <v/>
      </c>
      <c r="L955" s="16">
        <f>MAX(0,-J955)</f>
        <v/>
      </c>
      <c r="M955" s="16">
        <f>M954+I955</f>
        <v/>
      </c>
      <c r="N955" s="16">
        <f>D955+F955-E955</f>
        <v/>
      </c>
      <c r="O955" s="15" t="inlineStr">
        <is>
          <t>能力超目标：四轮定位上、下</t>
        </is>
      </c>
      <c r="P955" s="15" t="inlineStr">
        <is>
          <t>ST1 引取(开:61998.5s 加:56.0s 等前:6724.5s 等后:4.5s) | ST2 集约(开:62059.0s 加:111.0s 等前:0.0s 等后:9.5s) | ST3 空气悬挂+快充(开:62179.5s 加:108.5s 等前:0.0s 等后:29.0s) | ST4 四轮定位上、下(开:62317.0s 加:120.5s 等前:0.0s 等后:23.0s) | ST5 ADAS(开:62460.5s 加:107.0s 等前:0.0s 等后:36.5s) | ST6 ARHUD+慢充(开:62604.0s 加:51.5s 等前:0.0s 等后:63.0s) | ST7 转毂(开:62718.5s 加:114.5s 等前:0.0s 等后:0.0s) | ST8 制动(开:62833.0s 加:114.0s 等前:0.0s 等后:0.0s) | ST9 EG漏液/底盘漏液(开:62947.0s 加:112.5s 等前:0.0s 等后:0.0s) | ST10 全景/空调检查(开:63059.5s 加:0.0s 等前:0.0s 等后:1.5s) | ST11 气囊安装+绝缘(开:63061.0s 加:116.0s 等前:0.0s 等后:0.0s) | ST12 L2++(开:63177.0s 加:88.0s 等前:0.0s 等后:0.0s) | ST13 电检1(开:63265.0s 加:84.5s 等前:0.0s 等后:11.5s) | ST14 电检2(开:63361.0s 加:97.5s 等前:0.0s 等后:0.0s) | ST15 小跑道(开:63458.5s 加:50.0s 等前:0.0s 等后:0.0s)</t>
        </is>
      </c>
    </row>
    <row r="956">
      <c r="A956" s="13" t="n">
        <v>955</v>
      </c>
      <c r="B956" s="13" t="inlineStr">
        <is>
          <t>Car#955</t>
        </is>
      </c>
      <c r="C956" s="13" t="inlineStr">
        <is>
          <t>B</t>
        </is>
      </c>
      <c r="D956" s="14" t="n">
        <v>62059</v>
      </c>
      <c r="E956" s="14" t="n">
        <v>63558.5</v>
      </c>
      <c r="F956" s="14" t="n">
        <v>1499.5</v>
      </c>
      <c r="G956" s="14" t="n">
        <v>6895</v>
      </c>
      <c r="H956" s="13" t="inlineStr">
        <is>
          <t>Car#954</t>
        </is>
      </c>
      <c r="I956" s="14">
        <f>E956-E955</f>
        <v/>
      </c>
      <c r="J956" s="14">
        <f>I956-58</f>
        <v/>
      </c>
      <c r="K956" s="14">
        <f>MAX(0,J956)</f>
        <v/>
      </c>
      <c r="L956" s="14">
        <f>MAX(0,-J956)</f>
        <v/>
      </c>
      <c r="M956" s="14">
        <f>M955+I956</f>
        <v/>
      </c>
      <c r="N956" s="14">
        <f>D956+F956-E956</f>
        <v/>
      </c>
      <c r="O956" s="13" t="inlineStr">
        <is>
          <t>能力超目标：四轮定位上、下</t>
        </is>
      </c>
      <c r="P956" s="13" t="inlineStr">
        <is>
          <t>ST1 引取(开:62059.0s 加:56.0s 等前:6727.0s 等后:16.5s) | ST2 集约(开:62131.5s 加:111.0s 等前:0.0s 等后:9.5s) | ST3 空气悬挂+快充(开:62252.0s 加:108.5s 等前:0.0s 等后:29.0s) | ST4 四轮定位上、下(开:62389.5s 加:120.5s 等前:0.0s 等后:23.0s) | ST5 ADAS(开:62533.0s 加:107.0s 等前:0.0s 等后:7.5s) | ST6 ARHUD+慢充(开:62647.5s 加:51.5s 等前:0.0s 等后:64.5s) | ST7 转毂(开:62763.5s 加:114.5s 等前:0.0s 等后:0.0s) | ST8 制动(开:62878.0s 加:114.0s 等前:0.0s 等后:0.0s) | ST9 EG漏液/底盘漏液(开:62992.0s 加:112.5s 等前:0.0s 等后:0.0s) | ST10 全景/空调检查(开:63104.5s 加:0.0s 等前:0.0s 等后:0.0s) | ST11 气囊安装+绝缘(开:63104.5s 加:116.0s 等前:0.0s 等后:0.0s) | ST12 L2++(开:63220.5s 加:88.0s 等前:0.0s 等后:0.0s) | ST13 电检1(开:63308.5s 加:84.5s 等前:0.0s 等后:0.0s) | ST14 电检2(开:63393.0s 加:97.5s 等前:0.0s 等后:18.0s) | ST15 小跑道(开:63508.5s 加:50.0s 等前:0.0s 等后:0.0s)</t>
        </is>
      </c>
    </row>
    <row r="957">
      <c r="A957" s="15" t="n">
        <v>956</v>
      </c>
      <c r="B957" s="15" t="inlineStr">
        <is>
          <t>Car#957</t>
        </is>
      </c>
      <c r="C957" s="15" t="inlineStr">
        <is>
          <t>A</t>
        </is>
      </c>
      <c r="D957" s="16" t="n">
        <v>62187.5</v>
      </c>
      <c r="E957" s="16" t="n">
        <v>63609.5</v>
      </c>
      <c r="F957" s="16" t="n">
        <v>1422</v>
      </c>
      <c r="G957" s="16" t="n">
        <v>7300.5</v>
      </c>
      <c r="H957" s="15" t="inlineStr">
        <is>
          <t>Car#955</t>
        </is>
      </c>
      <c r="I957" s="16">
        <f>E957-E956</f>
        <v/>
      </c>
      <c r="J957" s="16">
        <f>I957-58</f>
        <v/>
      </c>
      <c r="K957" s="16">
        <f>MAX(0,J957)</f>
        <v/>
      </c>
      <c r="L957" s="16">
        <f>MAX(0,-J957)</f>
        <v/>
      </c>
      <c r="M957" s="16">
        <f>M956+I957</f>
        <v/>
      </c>
      <c r="N957" s="16">
        <f>D957+F957-E957</f>
        <v/>
      </c>
      <c r="O957" s="15" t="inlineStr">
        <is>
          <t>能力满足</t>
        </is>
      </c>
      <c r="P957" s="15" t="inlineStr">
        <is>
          <t>ST1 引取(开:62187.5s 加:55.0s 等前:6739.5s 等后:9.5s) | ST2 集约(开:62252.0s 加:106.0s 等前:0.0s 等后:31.5s) | ST3 空气悬挂+快充(开:62389.5s 加:0.0s 等前:0.0s 等后:143.5s) | ST4 四轮定位上、下(开:62533.0s 加:115.0s 等前:0.0s 等后:0.0s) | ST5 ADAS(开:62648.0s 加:97.0s 等前:0.0s 等后:18.5s) | ST6 ARHUD+慢充(开:62763.5s 加:0.0s 等前:0.0s 等后:114.5s) | ST7 转毂(开:62878.0s 加:116.0s 等前:0.0s 等后:0.0s) | ST8 制动(开:62994.0s 加:108.0s 等前:0.0s 等后:2.5s) | ST9 EG漏液/底盘漏液(开:63104.5s 加:115.0s 等前:0.0s 等后:0.0s) | ST10 全景/空调检查(开:63219.5s 加:98.0s 等前:0.0s 等后:0.0s) | ST11 气囊安装+绝缘(开:63317.5s 加:0.0s 等前:0.0s 等后:0.0s) | ST12 L2++(开:63317.5s 加:0.0s 等前:0.0s 等后:75.5s) | ST13 电检1(开:63393.0s 加:0.0s 等前:0.0s 等后:115.5s) | ST14 电检2(开:63508.5s 加:0.0s 等前:0.0s 等后:50.0s) | ST15 小跑道(开:63558.5s 加:51.0s 等前:0.0s 等后:0.0s)</t>
        </is>
      </c>
    </row>
    <row r="958">
      <c r="A958" s="13" t="n">
        <v>957</v>
      </c>
      <c r="B958" s="13" t="inlineStr">
        <is>
          <t>Car#956</t>
        </is>
      </c>
      <c r="C958" s="13" t="inlineStr">
        <is>
          <t>B</t>
        </is>
      </c>
      <c r="D958" s="14" t="n">
        <v>62131.5</v>
      </c>
      <c r="E958" s="14" t="n">
        <v>63659.5</v>
      </c>
      <c r="F958" s="14" t="n">
        <v>1528</v>
      </c>
      <c r="G958" s="14" t="n">
        <v>6938</v>
      </c>
      <c r="H958" s="13" t="inlineStr">
        <is>
          <t>Car#957</t>
        </is>
      </c>
      <c r="I958" s="14">
        <f>E958-E957</f>
        <v/>
      </c>
      <c r="J958" s="14">
        <f>I958-58</f>
        <v/>
      </c>
      <c r="K958" s="14">
        <f>MAX(0,J958)</f>
        <v/>
      </c>
      <c r="L958" s="14">
        <f>MAX(0,-J958)</f>
        <v/>
      </c>
      <c r="M958" s="14">
        <f>M957+I958</f>
        <v/>
      </c>
      <c r="N958" s="14">
        <f>D958+F958-E958</f>
        <v/>
      </c>
      <c r="O958" s="13" t="inlineStr">
        <is>
          <t>能力超目标：四轮定位上、下</t>
        </is>
      </c>
      <c r="P958" s="13" t="inlineStr">
        <is>
          <t>ST1 引取(开:62131.5s 加:56.0s 等前:6741.5s 等后:0.0s) | ST2 集约(开:62187.5s 加:111.0s 等前:0.0s 等后:18.5s) | ST3 空气悬挂+快充(开:62317.0s 加:108.5s 等前:0.0s 等后:35.0s) | ST4 四轮定位上、下(开:62460.5s 加:120.5s 等前:0.0s 等后:23.0s) | ST5 ADAS(开:62604.0s 加:107.0s 等前:0.0s 等后:7.5s) | ST6 ARHUD+慢充(开:62718.5s 加:51.5s 等前:0.0s 等后:63.0s) | ST7 转毂(开:62833.0s 加:114.5s 等前:0.0s 等后:0.0s) | ST8 制动(开:62947.5s 加:114.0s 等前:0.0s 等后:0.0s) | ST9 EG漏液/底盘漏液(开:63061.5s 加:112.5s 等前:0.0s 等后:0.0s) | ST10 全景/空调检查(开:63174.0s 加:0.0s 等前:0.0s 等后:3.0s) | ST11 气囊安装+绝缘(开:63177.0s 加:116.0s 等前:0.0s 等后:0.0s) | ST12 L2++(开:63293.0s 加:88.0s 等前:0.0s 等后:0.0s) | ST13 电检1(开:63381.0s 加:84.5s 等前:0.0s 等后:0.0s) | ST14 电检2(开:63465.5s 加:97.5s 等前:0.0s 等后:46.5s) | ST15 小跑道(开:63609.5s 加:50.0s 等前:0.0s 等后:0.0s)</t>
        </is>
      </c>
    </row>
    <row r="959">
      <c r="A959" s="15" t="n">
        <v>958</v>
      </c>
      <c r="B959" s="15" t="inlineStr">
        <is>
          <t>Car#958</t>
        </is>
      </c>
      <c r="C959" s="15" t="inlineStr">
        <is>
          <t>C</t>
        </is>
      </c>
      <c r="D959" s="16" t="n">
        <v>62252</v>
      </c>
      <c r="E959" s="16" t="n">
        <v>63757</v>
      </c>
      <c r="F959" s="16" t="n">
        <v>1505</v>
      </c>
      <c r="G959" s="16" t="n">
        <v>6827.5</v>
      </c>
      <c r="H959" s="15" t="inlineStr">
        <is>
          <t>Car#956</t>
        </is>
      </c>
      <c r="I959" s="16">
        <f>E959-E958</f>
        <v/>
      </c>
      <c r="J959" s="16">
        <f>I959-58</f>
        <v/>
      </c>
      <c r="K959" s="16">
        <f>MAX(0,J959)</f>
        <v/>
      </c>
      <c r="L959" s="16">
        <f>MAX(0,-J959)</f>
        <v/>
      </c>
      <c r="M959" s="16">
        <f>M958+I959</f>
        <v/>
      </c>
      <c r="N959" s="16">
        <f>D959+F959-E959</f>
        <v/>
      </c>
      <c r="O959" s="15" t="inlineStr">
        <is>
          <t>能力超目标：四轮定位上、下、ARHUD+慢充</t>
        </is>
      </c>
      <c r="P959" s="15" t="inlineStr">
        <is>
          <t>ST1 引取(开:62252.0s 加:56.0s 等前:6746.0s 等后:9.0s) | ST2 集约(开:62317.0s 加:111.0s 等前:0.0s 等后:32.5s) | ST3 空气悬挂+快充(开:62460.5s 加:108.5s 等前:0.0s 等后:35.0s) | ST4 四轮定位上、下(开:62604.0s 加:120.5s 等前:0.0s 等后:0.0s) | ST5 ADAS(开:62724.5s 加:107.0s 等前:0.0s 等后:1.5s) | ST6 ARHUD+慢充(开:62833.0s 加:143.5s 等前:0.0s 等后:0.0s) | ST7 转毂(开:62976.5s 加:114.5s 等前:0.0s 等后:0.0s) | ST8 制动(开:63091.0s 加:114.0s 等前:0.0s 等后:0.0s) | ST9 EG漏液/底盘漏液(开:63205.0s 加:112.5s 等前:0.0s 等后:0.0s) | ST10 全景/空调检查(开:63317.5s 加:0.0s 等前:0.0s 等后:0.0s) | ST11 气囊安装+绝缘(开:63317.5s 加:116.0s 等前:0.0s 等后:0.0s) | ST12 L2++(开:63433.5s 加:88.0s 等前:0.0s 等后:0.0s) | ST13 电检1(开:63521.5s 加:84.5s 等前:0.0s 等后:3.5s) | ST14 电检2(开:63609.5s 加:97.5s 等前:0.0s 等后:0.0s) | ST15 小跑道(开:63707.0s 加:50.0s 等前:0.0s 等后:0.0s)</t>
        </is>
      </c>
    </row>
    <row r="960">
      <c r="A960" s="13" t="n">
        <v>959</v>
      </c>
      <c r="B960" s="13" t="inlineStr">
        <is>
          <t>Car#959</t>
        </is>
      </c>
      <c r="C960" s="13" t="inlineStr">
        <is>
          <t>C</t>
        </is>
      </c>
      <c r="D960" s="14" t="n">
        <v>62317</v>
      </c>
      <c r="E960" s="14" t="n">
        <v>63807</v>
      </c>
      <c r="F960" s="14" t="n">
        <v>1490</v>
      </c>
      <c r="G960" s="14" t="n">
        <v>6819.5</v>
      </c>
      <c r="H960" s="13" t="inlineStr">
        <is>
          <t>Car#958</t>
        </is>
      </c>
      <c r="I960" s="14">
        <f>E960-E959</f>
        <v/>
      </c>
      <c r="J960" s="14">
        <f>I960-58</f>
        <v/>
      </c>
      <c r="K960" s="14">
        <f>MAX(0,J960)</f>
        <v/>
      </c>
      <c r="L960" s="14">
        <f>MAX(0,-J960)</f>
        <v/>
      </c>
      <c r="M960" s="14">
        <f>M959+I960</f>
        <v/>
      </c>
      <c r="N960" s="14">
        <f>D960+F960-E960</f>
        <v/>
      </c>
      <c r="O960" s="13" t="inlineStr">
        <is>
          <t>能力超目标：四轮定位上、下、ARHUD+慢充</t>
        </is>
      </c>
      <c r="P960" s="13" t="inlineStr">
        <is>
          <t>ST1 引取(开:62317.0s 加:56.0s 等前:6753.0s 等后:16.5s) | ST2 集约(开:62389.5s 加:111.0s 等前:0.0s 等后:32.5s) | ST3 空气悬挂+快充(开:62533.0s 加:108.5s 等前:0.0s 等后:6.5s) | ST4 四轮定位上、下(开:62648.0s 加:120.5s 等前:0.0s 等后:0.0s) | ST5 ADAS(开:62768.5s 加:107.0s 等前:0.0s 等后:2.5s) | ST6 ARHUD+慢充(开:62878.0s 加:143.5s 等前:0.0s 等后:0.0s) | ST7 转毂(开:63021.5s 加:114.5s 等前:0.0s 等后:0.0s) | ST8 制动(开:63136.0s 加:114.0s 等前:0.0s 等后:0.0s) | ST9 EG漏液/底盘漏液(开:63250.0s 加:112.5s 等前:0.0s 等后:0.0s) | ST10 全景/空调检查(开:63362.5s 加:0.0s 等前:0.0s 等后:0.0s) | ST11 气囊安装+绝缘(开:63362.5s 加:116.0s 等前:0.0s 等后:0.0s) | ST12 L2++(开:63478.5s 加:88.0s 等前:0.0s 等后:0.0s) | ST13 电检1(开:63566.5s 加:84.5s 等前:0.0s 等后:0.0s) | ST14 电检2(开:63651.0s 加:97.5s 等前:0.0s 等后:8.5s) | ST15 小跑道(开:63757.0s 加:50.0s 等前:0.0s 等后:0.0s)</t>
        </is>
      </c>
    </row>
    <row r="961">
      <c r="A961" s="15" t="n">
        <v>960</v>
      </c>
      <c r="B961" s="15" t="inlineStr">
        <is>
          <t>Car#961</t>
        </is>
      </c>
      <c r="C961" s="15" t="inlineStr">
        <is>
          <t>A</t>
        </is>
      </c>
      <c r="D961" s="16" t="n">
        <v>62460.5</v>
      </c>
      <c r="E961" s="16" t="n">
        <v>63858</v>
      </c>
      <c r="F961" s="16" t="n">
        <v>1397.5</v>
      </c>
      <c r="G961" s="16" t="n">
        <v>7317</v>
      </c>
      <c r="H961" s="15" t="inlineStr">
        <is>
          <t>Car#959</t>
        </is>
      </c>
      <c r="I961" s="16">
        <f>E961-E960</f>
        <v/>
      </c>
      <c r="J961" s="16">
        <f>I961-58</f>
        <v/>
      </c>
      <c r="K961" s="16">
        <f>MAX(0,J961)</f>
        <v/>
      </c>
      <c r="L961" s="16">
        <f>MAX(0,-J961)</f>
        <v/>
      </c>
      <c r="M961" s="16">
        <f>M960+I961</f>
        <v/>
      </c>
      <c r="N961" s="16">
        <f>D961+F961-E961</f>
        <v/>
      </c>
      <c r="O961" s="15" t="inlineStr">
        <is>
          <t>能力满足</t>
        </is>
      </c>
      <c r="P961" s="15" t="inlineStr">
        <is>
          <t>ST1 引取(开:62460.5s 加:55.0s 等前:6780.5s 等后:17.5s) | ST2 集约(开:62533.0s 加:106.0s 等前:0.0s 等后:9.0s) | ST3 空气悬挂+快充(开:62648.0s 加:0.0s 等前:0.0s 等后:120.5s) | ST4 四轮定位上、下(开:62768.5s 加:115.0s 等前:0.0s 等后:0.0s) | ST5 ADAS(开:62883.5s 加:97.0s 等前:0.0s 等后:41.0s) | ST6 ARHUD+慢充(开:63021.5s 加:0.0s 等前:0.0s 等后:114.5s) | ST7 转毂(开:63136.0s 加:116.0s 等前:0.0s 等后:0.0s) | ST8 制动(开:63252.0s 加:108.0s 等前:0.0s 等后:2.5s) | ST9 EG漏液/底盘漏液(开:63362.5s 加:115.0s 等前:0.0s 等后:0.0s) | ST10 全景/空调检查(开:63477.5s 加:98.0s 等前:0.0s 等后:0.0s) | ST11 气囊安装+绝缘(开:63575.5s 加:0.0s 等前:0.0s 等后:0.0s) | ST12 L2++(开:63575.5s 加:0.0s 等前:0.0s 等后:75.5s) | ST13 电检1(开:63651.0s 加:0.0s 等前:0.0s 等后:106.0s) | ST14 电检2(开:63757.0s 加:0.0s 等前:0.0s 等后:50.0s) | ST15 小跑道(开:63807.0s 加:51.0s 等前:0.0s 等后:0.0s)</t>
        </is>
      </c>
    </row>
    <row r="962">
      <c r="A962" s="13" t="n">
        <v>961</v>
      </c>
      <c r="B962" s="13" t="inlineStr">
        <is>
          <t>Car#963</t>
        </is>
      </c>
      <c r="C962" s="13" t="inlineStr">
        <is>
          <t>A</t>
        </is>
      </c>
      <c r="D962" s="14" t="n">
        <v>62604</v>
      </c>
      <c r="E962" s="14" t="n">
        <v>63909</v>
      </c>
      <c r="F962" s="14" t="n">
        <v>1305</v>
      </c>
      <c r="G962" s="14" t="n">
        <v>7252</v>
      </c>
      <c r="H962" s="13" t="inlineStr">
        <is>
          <t>Car#961</t>
        </is>
      </c>
      <c r="I962" s="14">
        <f>E962-E961</f>
        <v/>
      </c>
      <c r="J962" s="14">
        <f>I962-58</f>
        <v/>
      </c>
      <c r="K962" s="14">
        <f>MAX(0,J962)</f>
        <v/>
      </c>
      <c r="L962" s="14">
        <f>MAX(0,-J962)</f>
        <v/>
      </c>
      <c r="M962" s="14">
        <f>M961+I962</f>
        <v/>
      </c>
      <c r="N962" s="14">
        <f>D962+F962-E962</f>
        <v/>
      </c>
      <c r="O962" s="13" t="inlineStr">
        <is>
          <t>能力满足</t>
        </is>
      </c>
      <c r="P962" s="13" t="inlineStr">
        <is>
          <t>ST1 引取(开:62604.0s 加:55.0s 等前:6808.0s 等后:0.0s) | ST2 集约(开:62659.0s 加:106.0s 等前:0.0s 等后:3.5s) | ST3 空气悬挂+快充(开:62768.5s 加:0.0s 等前:0.0s 等后:115.0s) | ST4 四轮定位上、下(开:62883.5s 加:115.0s 等前:0.0s 等后:23.0s) | ST5 ADAS(开:63021.5s 加:97.0s 等前:0.0s 等后:17.5s) | ST6 ARHUD+慢充(开:63136.0s 加:0.0s 等前:0.0s 等后:116.0s) | ST7 转毂(开:63252.0s 加:116.0s 等前:0.0s 等后:0.0s) | ST8 制动(开:63368.0s 加:108.0s 等前:0.0s 等后:1.5s) | ST9 EG漏液/底盘漏液(开:63477.5s 加:115.0s 等前:0.0s 等后:0.0s) | ST10 全景/空调检查(开:63592.5s 加:98.0s 等前:0.0s 等后:0.0s) | ST11 气囊安装+绝缘(开:63690.5s 加:0.0s 等前:0.0s 等后:0.0s) | ST12 L2++(开:63690.5s 加:0.0s 等前:0.0s 等后:66.5s) | ST13 电检1(开:63757.0s 加:0.0s 等前:0.0s 等后:50.0s) | ST14 电检2(开:63807.0s 加:0.0s 等前:0.0s 等后:51.0s) | ST15 小跑道(开:63858.0s 加:51.0s 等前:0.0s 等后:0.0s)</t>
        </is>
      </c>
    </row>
    <row r="963">
      <c r="A963" s="15" t="n">
        <v>962</v>
      </c>
      <c r="B963" s="15" t="inlineStr">
        <is>
          <t>Car#960</t>
        </is>
      </c>
      <c r="C963" s="15" t="inlineStr">
        <is>
          <t>C</t>
        </is>
      </c>
      <c r="D963" s="16" t="n">
        <v>62389.5</v>
      </c>
      <c r="E963" s="16" t="n">
        <v>63959</v>
      </c>
      <c r="F963" s="16" t="n">
        <v>1569.5</v>
      </c>
      <c r="G963" s="16" t="n">
        <v>6913.5</v>
      </c>
      <c r="H963" s="15" t="inlineStr">
        <is>
          <t>Car#963</t>
        </is>
      </c>
      <c r="I963" s="16">
        <f>E963-E962</f>
        <v/>
      </c>
      <c r="J963" s="16">
        <f>I963-58</f>
        <v/>
      </c>
      <c r="K963" s="16">
        <f>MAX(0,J963)</f>
        <v/>
      </c>
      <c r="L963" s="16">
        <f>MAX(0,-J963)</f>
        <v/>
      </c>
      <c r="M963" s="16">
        <f>M962+I963</f>
        <v/>
      </c>
      <c r="N963" s="16">
        <f>D963+F963-E963</f>
        <v/>
      </c>
      <c r="O963" s="15" t="inlineStr">
        <is>
          <t>能力超目标：四轮定位上、下、ARHUD+慢充</t>
        </is>
      </c>
      <c r="P963" s="15" t="inlineStr">
        <is>
          <t>ST1 引取(开:62389.5s 加:56.0s 等前:6767.5s 等后:15.0s) | ST2 集约(开:62460.5s 加:111.0s 等前:0.0s 等后:32.5s) | ST3 空气悬挂+快充(开:62604.0s 加:108.5s 等前:0.0s 等后:12.0s) | ST4 四轮定位上、下(开:62724.5s 加:120.5s 等前:0.0s 等后:0.0s) | ST5 ADAS(开:62845.0s 加:107.0s 等前:0.0s 等后:24.5s) | ST6 ARHUD+慢充(开:62976.5s 加:143.5s 等前:0.0s 等后:0.0s) | ST7 转毂(开:63120.0s 加:114.5s 等前:0.0s 等后:0.0s) | ST8 制动(开:63234.5s 加:114.0s 等前:0.0s 等后:0.0s) | ST9 EG漏液/底盘漏液(开:63348.5s 加:112.5s 等前:0.0s 等后:0.0s) | ST10 全景/空调检查(开:63461.0s 加:0.0s 等前:0.0s 等后:0.0s) | ST11 气囊安装+绝缘(开:63461.0s 加:116.0s 等前:0.0s 等后:0.0s) | ST12 L2++(开:63577.0s 加:88.0s 等前:0.0s 等后:0.0s) | ST13 电检1(开:63665.0s 加:84.5s 等前:0.0s 等后:0.0s) | ST14 电检2(开:63749.5s 加:97.5s 等前:0.0s 等后:62.0s) | ST15 小跑道(开:63909.0s 加:50.0s 等前:0.0s 等后:0.0s)</t>
        </is>
      </c>
    </row>
    <row r="964">
      <c r="A964" s="13" t="n">
        <v>963</v>
      </c>
      <c r="B964" s="13" t="inlineStr">
        <is>
          <t>Car#962</t>
        </is>
      </c>
      <c r="C964" s="13" t="inlineStr">
        <is>
          <t>A</t>
        </is>
      </c>
      <c r="D964" s="14" t="n">
        <v>62533</v>
      </c>
      <c r="E964" s="14" t="n">
        <v>64010</v>
      </c>
      <c r="F964" s="14" t="n">
        <v>1477</v>
      </c>
      <c r="G964" s="14" t="n">
        <v>7411</v>
      </c>
      <c r="H964" s="13" t="inlineStr">
        <is>
          <t>Car#960</t>
        </is>
      </c>
      <c r="I964" s="14">
        <f>E964-E963</f>
        <v/>
      </c>
      <c r="J964" s="14">
        <f>I964-58</f>
        <v/>
      </c>
      <c r="K964" s="14">
        <f>MAX(0,J964)</f>
        <v/>
      </c>
      <c r="L964" s="14">
        <f>MAX(0,-J964)</f>
        <v/>
      </c>
      <c r="M964" s="14">
        <f>M963+I964</f>
        <v/>
      </c>
      <c r="N964" s="14">
        <f>D964+F964-E964</f>
        <v/>
      </c>
      <c r="O964" s="13" t="inlineStr">
        <is>
          <t>能力满足</t>
        </is>
      </c>
      <c r="P964" s="13" t="inlineStr">
        <is>
          <t>ST1 引取(开:62533.0s 加:55.0s 等前:6795.0s 等后:16.0s) | ST2 集约(开:62604.0s 加:106.0s 等前:0.0s 等后:14.5s) | ST3 空气悬挂+快充(开:62724.5s 加:0.0s 等前:0.0s 等后:120.5s) | ST4 四轮定位上、下(开:62845.0s 加:115.0s 等前:0.0s 等后:16.5s) | ST5 ADAS(开:62976.5s 加:97.0s 等前:0.0s 等后:46.5s) | ST6 ARHUD+慢充(开:63120.0s 加:0.0s 等前:0.0s 等后:114.5s) | ST7 转毂(开:63234.5s 加:116.0s 等前:0.0s 等后:0.0s) | ST8 制动(开:63350.5s 加:108.0s 等前:0.0s 等后:2.5s) | ST9 EG漏液/底盘漏液(开:63461.0s 加:115.0s 等前:0.0s 等后:0.0s) | ST10 全景/空调检查(开:63576.0s 加:98.0s 等前:0.0s 等后:0.0s) | ST11 气囊安装+绝缘(开:63674.0s 加:0.0s 等前:0.0s 等后:0.0s) | ST12 L2++(开:63674.0s 加:0.0s 等前:0.0s 等后:75.5s) | ST13 电检1(开:63749.5s 加:0.0s 等前:0.0s 等后:159.5s) | ST14 电检2(开:63909.0s 加:0.0s 等前:0.0s 等后:50.0s) | ST15 小跑道(开:63959.0s 加:51.0s 等前:0.0s 等后:0.0s)</t>
        </is>
      </c>
    </row>
    <row r="965">
      <c r="A965" s="15" t="n">
        <v>964</v>
      </c>
      <c r="B965" s="15" t="inlineStr">
        <is>
          <t>Car#965</t>
        </is>
      </c>
      <c r="C965" s="15" t="inlineStr">
        <is>
          <t>B</t>
        </is>
      </c>
      <c r="D965" s="16" t="n">
        <v>62724.5</v>
      </c>
      <c r="E965" s="16" t="n">
        <v>64145</v>
      </c>
      <c r="F965" s="16" t="n">
        <v>1420.5</v>
      </c>
      <c r="G965" s="16" t="n">
        <v>6901.5</v>
      </c>
      <c r="H965" s="15" t="inlineStr">
        <is>
          <t>Car#962</t>
        </is>
      </c>
      <c r="I965" s="16">
        <f>E965-E964</f>
        <v/>
      </c>
      <c r="J965" s="16">
        <f>I965-58</f>
        <v/>
      </c>
      <c r="K965" s="16">
        <f>MAX(0,J965)</f>
        <v/>
      </c>
      <c r="L965" s="16">
        <f>MAX(0,-J965)</f>
        <v/>
      </c>
      <c r="M965" s="16">
        <f>M964+I965</f>
        <v/>
      </c>
      <c r="N965" s="16">
        <f>D965+F965-E965</f>
        <v/>
      </c>
      <c r="O965" s="15" t="inlineStr">
        <is>
          <t>能力超目标：四轮定位上、下</t>
        </is>
      </c>
      <c r="P965" s="15" t="inlineStr">
        <is>
          <t>ST1 引取(开:62724.5s 加:56.0s 等前:6812.5s 等后:0.0s) | ST2 集约(开:62780.5s 加:111.0s 等前:0.0s 等后:0.0s) | ST3 空气悬挂+快充(开:62891.5s 加:108.5s 等前:0.0s 等后:21.5s) | ST4 四轮定位上、下(开:63021.5s 加:120.5s 等前:0.0s 等后:0.0s) | ST5 ADAS(开:63142.0s 加:107.0s 等前:0.0s 等后:3.0s) | ST6 ARHUD+慢充(开:63252.0s 加:51.5s 等前:0.0s 等后:64.5s) | ST7 转毂(开:63368.0s 加:114.5s 等前:0.0s 等后:0.0s) | ST8 制动(开:63482.5s 加:114.0s 等前:0.0s 等后:0.0s) | ST9 EG漏液/底盘漏液(开:63596.5s 加:112.5s 等前:0.0s 等后:0.0s) | ST10 全景/空调检查(开:63709.0s 加:0.0s 等前:0.0s 等后:0.0s) | ST11 气囊安装+绝缘(开:63709.0s 加:116.0s 等前:0.0s 等后:0.0s) | ST12 L2++(开:63825.0s 加:88.0s 等前:0.0s 等后:0.0s) | ST13 电检1(开:63913.0s 加:84.5s 等前:0.0s 等后:0.0s) | ST14 电检2(开:63997.5s 加:97.5s 等前:0.0s 等后:0.0s) | ST15 小跑道(开:64095.0s 加:50.0s 等前:0.0s 等后:0.0s)</t>
        </is>
      </c>
    </row>
    <row r="966">
      <c r="A966" s="13" t="n">
        <v>965</v>
      </c>
      <c r="B966" s="13" t="inlineStr">
        <is>
          <t>Car#964</t>
        </is>
      </c>
      <c r="C966" s="13" t="inlineStr">
        <is>
          <t>C</t>
        </is>
      </c>
      <c r="D966" s="14" t="n">
        <v>62659</v>
      </c>
      <c r="E966" s="14" t="n">
        <v>64195</v>
      </c>
      <c r="F966" s="14" t="n">
        <v>1536</v>
      </c>
      <c r="G966" s="14" t="n">
        <v>6917.5</v>
      </c>
      <c r="H966" s="13" t="inlineStr">
        <is>
          <t>Car#965</t>
        </is>
      </c>
      <c r="I966" s="14">
        <f>E966-E965</f>
        <v/>
      </c>
      <c r="J966" s="14">
        <f>I966-58</f>
        <v/>
      </c>
      <c r="K966" s="14">
        <f>MAX(0,J966)</f>
        <v/>
      </c>
      <c r="L966" s="14">
        <f>MAX(0,-J966)</f>
        <v/>
      </c>
      <c r="M966" s="14">
        <f>M965+I966</f>
        <v/>
      </c>
      <c r="N966" s="14">
        <f>D966+F966-E966</f>
        <v/>
      </c>
      <c r="O966" s="13" t="inlineStr">
        <is>
          <t>能力超目标：四轮定位上、下、ARHUD+慢充</t>
        </is>
      </c>
      <c r="P966" s="13" t="inlineStr">
        <is>
          <t>ST1 引取(开:62659.0s 加:56.0s 等前:6805.0s 等后:9.5s) | ST2 集约(开:62724.5s 加:111.0s 等前:0.0s 等后:9.5s) | ST3 空气悬挂+快充(开:62845.0s 加:108.5s 等前:0.0s 等后:23.0s) | ST4 四轮定位上、下(开:62976.5s 加:120.5s 等前:0.0s 等后:23.0s) | ST5 ADAS(开:63120.0s 加:107.0s 等前:0.0s 等后:7.5s) | ST6 ARHUD+慢充(开:63234.5s 加:143.5s 等前:0.0s 等后:0.0s) | ST7 转毂(开:63378.0s 加:114.5s 等前:0.0s 等后:0.0s) | ST8 制动(开:63492.5s 加:114.0s 等前:0.0s 等后:0.0s) | ST9 EG漏液/底盘漏液(开:63606.5s 加:112.5s 等前:0.0s 等后:0.0s) | ST10 全景/空调检查(开:63719.0s 加:0.0s 等前:0.0s 等后:0.0s) | ST11 气囊安装+绝缘(开:63719.0s 加:116.0s 等前:0.0s 等后:0.0s) | ST12 L2++(开:63835.0s 加:88.0s 等前:0.0s 等后:0.0s) | ST13 电检1(开:63923.0s 加:84.5s 等前:0.0s 等后:0.0s) | ST14 电检2(开:64007.5s 加:97.5s 等前:0.0s 等后:40.0s) | ST15 小跑道(开:64145.0s 加:50.0s 等前:0.0s 等后:0.0s)</t>
        </is>
      </c>
    </row>
    <row r="967">
      <c r="A967" s="15" t="n">
        <v>966</v>
      </c>
      <c r="B967" s="15" t="inlineStr">
        <is>
          <t>Car#967</t>
        </is>
      </c>
      <c r="C967" s="15" t="inlineStr">
        <is>
          <t>C</t>
        </is>
      </c>
      <c r="D967" s="16" t="n">
        <v>62845</v>
      </c>
      <c r="E967" s="16" t="n">
        <v>64290</v>
      </c>
      <c r="F967" s="16" t="n">
        <v>1445</v>
      </c>
      <c r="G967" s="16" t="n">
        <v>6838.5</v>
      </c>
      <c r="H967" s="15" t="inlineStr">
        <is>
          <t>Car#964</t>
        </is>
      </c>
      <c r="I967" s="16">
        <f>E967-E966</f>
        <v/>
      </c>
      <c r="J967" s="16">
        <f>I967-58</f>
        <v/>
      </c>
      <c r="K967" s="16">
        <f>MAX(0,J967)</f>
        <v/>
      </c>
      <c r="L967" s="16">
        <f>MAX(0,-J967)</f>
        <v/>
      </c>
      <c r="M967" s="16">
        <f>M966+I967</f>
        <v/>
      </c>
      <c r="N967" s="16">
        <f>D967+F967-E967</f>
        <v/>
      </c>
      <c r="O967" s="15" t="inlineStr">
        <is>
          <t>能力超目标：四轮定位上、下、ARHUD+慢充</t>
        </is>
      </c>
      <c r="P967" s="15" t="inlineStr">
        <is>
          <t>ST1 引取(开:62845.0s 加:56.0s 等前:6817.0s 等后:0.0s) | ST2 集约(开:62901.0s 加:111.0s 等前:0.0s 等后:9.5s) | ST3 空气悬挂+快充(开:63021.5s 加:108.5s 等前:0.0s 等后:12.0s) | ST4 四轮定位上、下(开:63142.0s 加:120.5s 等前:0.0s 等后:0.0s) | ST5 ADAS(开:63262.5s 加:107.0s 等前:0.0s 等后:0.0s) | ST6 ARHUD+慢充(开:63369.5s 加:143.5s 等前:0.0s 等后:0.0s) | ST7 转毂(开:63513.0s 加:114.5s 等前:0.0s 等后:0.0s) | ST8 制动(开:63627.5s 加:114.0s 等前:0.0s 等后:0.0s) | ST9 EG漏液/底盘漏液(开:63741.5s 加:112.5s 等前:0.0s 等后:0.0s) | ST10 全景/空调检查(开:63854.0s 加:0.0s 等前:0.0s 等后:0.0s) | ST11 气囊安装+绝缘(开:63854.0s 加:116.0s 等前:0.0s 等后:0.0s) | ST12 L2++(开:63970.0s 加:88.0s 等前:0.0s 等后:0.0s) | ST13 电检1(开:64058.0s 加:84.5s 等前:0.0s 等后:0.0s) | ST14 电检2(开:64142.5s 加:97.5s 等前:0.0s 等后:0.0s) | ST15 小跑道(开:64240.0s 加:50.0s 等前:0.0s 等后:0.0s)</t>
        </is>
      </c>
    </row>
    <row r="968">
      <c r="A968" s="13" t="n">
        <v>967</v>
      </c>
      <c r="B968" s="13" t="inlineStr">
        <is>
          <t>Car#966</t>
        </is>
      </c>
      <c r="C968" s="13" t="inlineStr">
        <is>
          <t>C</t>
        </is>
      </c>
      <c r="D968" s="14" t="n">
        <v>62780.5</v>
      </c>
      <c r="E968" s="14" t="n">
        <v>64340</v>
      </c>
      <c r="F968" s="14" t="n">
        <v>1559.5</v>
      </c>
      <c r="G968" s="14" t="n">
        <v>6946.5</v>
      </c>
      <c r="H968" s="13" t="inlineStr">
        <is>
          <t>Car#967</t>
        </is>
      </c>
      <c r="I968" s="14">
        <f>E968-E967</f>
        <v/>
      </c>
      <c r="J968" s="14">
        <f>I968-58</f>
        <v/>
      </c>
      <c r="K968" s="14">
        <f>MAX(0,J968)</f>
        <v/>
      </c>
      <c r="L968" s="14">
        <f>MAX(0,-J968)</f>
        <v/>
      </c>
      <c r="M968" s="14">
        <f>M967+I968</f>
        <v/>
      </c>
      <c r="N968" s="14">
        <f>D968+F968-E968</f>
        <v/>
      </c>
      <c r="O968" s="13" t="inlineStr">
        <is>
          <t>能力超目标：四轮定位上、下、ARHUD+慢充</t>
        </is>
      </c>
      <c r="P968" s="13" t="inlineStr">
        <is>
          <t>ST1 引取(开:62780.5s 加:56.0s 等前:6810.5s 等后:8.5s) | ST2 集约(开:62845.0s 加:111.0s 等前:0.0s 等后:20.5s) | ST3 空气悬挂+快充(开:62976.5s 加:108.5s 等前:0.0s 等后:35.0s) | ST4 四轮定位上、下(开:63120.0s 加:120.5s 等前:0.0s 等后:0.0s) | ST5 ADAS(开:63240.5s 加:107.0s 等前:0.0s 等后:30.5s) | ST6 ARHUD+慢充(开:63378.0s 加:143.5s 等前:0.0s 等后:0.0s) | ST7 转毂(开:63521.5s 加:114.5s 等前:0.0s 等后:0.0s) | ST8 制动(开:63636.0s 加:114.0s 等前:0.0s 等后:0.0s) | ST9 EG漏液/底盘漏液(开:63750.0s 加:112.5s 等前:0.0s 等后:0.0s) | ST10 全景/空调检查(开:63862.5s 加:0.0s 等前:0.0s 等后:0.0s) | ST11 气囊安装+绝缘(开:63862.5s 加:116.0s 等前:0.0s 等后:0.0s) | ST12 L2++(开:63978.5s 加:88.0s 等前:0.0s 等后:0.0s) | ST13 电检1(开:64066.5s 加:84.5s 等前:0.0s 等后:0.0s) | ST14 电检2(开:64151.0s 加:97.5s 等前:0.0s 等后:41.5s) | ST15 小跑道(开:64290.0s 加:50.0s 等前:0.0s 等后:0.0s)</t>
        </is>
      </c>
    </row>
    <row r="969">
      <c r="A969" s="15" t="n">
        <v>968</v>
      </c>
      <c r="B969" s="15" t="inlineStr">
        <is>
          <t>Car#969</t>
        </is>
      </c>
      <c r="C969" s="15" t="inlineStr">
        <is>
          <t>B</t>
        </is>
      </c>
      <c r="D969" s="16" t="n">
        <v>62976.5</v>
      </c>
      <c r="E969" s="16" t="n">
        <v>64406</v>
      </c>
      <c r="F969" s="16" t="n">
        <v>1429.5</v>
      </c>
      <c r="G969" s="16" t="n">
        <v>6930.5</v>
      </c>
      <c r="H969" s="15" t="inlineStr">
        <is>
          <t>Car#966</t>
        </is>
      </c>
      <c r="I969" s="16">
        <f>E969-E968</f>
        <v/>
      </c>
      <c r="J969" s="16">
        <f>I969-58</f>
        <v/>
      </c>
      <c r="K969" s="16">
        <f>MAX(0,J969)</f>
        <v/>
      </c>
      <c r="L969" s="16">
        <f>MAX(0,-J969)</f>
        <v/>
      </c>
      <c r="M969" s="16">
        <f>M968+I969</f>
        <v/>
      </c>
      <c r="N969" s="16">
        <f>D969+F969-E969</f>
        <v/>
      </c>
      <c r="O969" s="15" t="inlineStr">
        <is>
          <t>能力超目标：四轮定位上、下</t>
        </is>
      </c>
      <c r="P969" s="15" t="inlineStr">
        <is>
          <t>ST1 引取(开:62976.5s 加:56.0s 等前:6832.5s 等后:0.0s) | ST2 集约(开:63032.5s 加:111.0s 等前:0.0s 等后:0.0s) | ST3 空气悬挂+快充(开:63143.5s 加:108.5s 等前:0.0s 等后:10.5s) | ST4 四轮定位上、下(开:63262.5s 加:120.5s 等前:0.0s 等后:0.0s) | ST5 ADAS(开:63383.0s 加:107.0s 等前:0.0s 等后:23.0s) | ST6 ARHUD+慢充(开:63513.0s 加:51.5s 等前:0.0s 等后:63.0s) | ST7 转毂(开:63627.5s 加:114.5s 等前:0.0s 等后:0.0s) | ST8 制动(开:63742.0s 加:114.0s 等前:0.0s 等后:0.0s) | ST9 EG漏液/底盘漏液(开:63856.0s 加:112.5s 等前:0.0s 等后:0.0s) | ST10 全景/空调检查(开:63968.5s 加:0.0s 等前:0.0s 等后:1.5s) | ST11 气囊安装+绝缘(开:63970.0s 加:116.0s 等前:0.0s 等后:0.0s) | ST12 L2++(开:64086.0s 加:88.0s 等前:0.0s 等后:0.0s) | ST13 电检1(开:64174.0s 加:84.5s 等前:0.0s 等后:0.0s) | ST14 电检2(开:64258.5s 加:97.5s 等前:0.0s 等后:0.0s) | ST15 小跑道(开:64356.0s 加:50.0s 等前:0.0s 等后:0.0s)</t>
        </is>
      </c>
    </row>
    <row r="970">
      <c r="A970" s="13" t="n">
        <v>969</v>
      </c>
      <c r="B970" s="13" t="inlineStr">
        <is>
          <t>Car#968</t>
        </is>
      </c>
      <c r="C970" s="13" t="inlineStr">
        <is>
          <t>B</t>
        </is>
      </c>
      <c r="D970" s="14" t="n">
        <v>62901</v>
      </c>
      <c r="E970" s="14" t="n">
        <v>64456</v>
      </c>
      <c r="F970" s="14" t="n">
        <v>1555</v>
      </c>
      <c r="G970" s="14" t="n">
        <v>7038.5</v>
      </c>
      <c r="H970" s="13" t="inlineStr">
        <is>
          <t>Car#969</t>
        </is>
      </c>
      <c r="I970" s="14">
        <f>E970-E969</f>
        <v/>
      </c>
      <c r="J970" s="14">
        <f>I970-58</f>
        <v/>
      </c>
      <c r="K970" s="14">
        <f>MAX(0,J970)</f>
        <v/>
      </c>
      <c r="L970" s="14">
        <f>MAX(0,-J970)</f>
        <v/>
      </c>
      <c r="M970" s="14">
        <f>M969+I970</f>
        <v/>
      </c>
      <c r="N970" s="14">
        <f>D970+F970-E970</f>
        <v/>
      </c>
      <c r="O970" s="13" t="inlineStr">
        <is>
          <t>能力超目标：四轮定位上、下</t>
        </is>
      </c>
      <c r="P970" s="13" t="inlineStr">
        <is>
          <t>ST1 引取(开:62901.0s 加:56.0s 等前:6815.0s 等后:19.5s) | ST2 集约(开:62976.5s 加:111.0s 等前:0.0s 等后:32.5s) | ST3 空气悬挂+快充(开:63120.0s 加:108.5s 等前:0.0s 等后:12.0s) | ST4 四轮定位上、下(开:63240.5s 加:120.5s 等前:0.0s 等后:17.0s) | ST5 ADAS(开:63378.0s 加:107.0s 等前:0.0s 等后:36.5s) | ST6 ARHUD+慢充(开:63521.5s 加:51.5s 等前:0.0s 等后:63.0s) | ST7 转毂(开:63636.0s 加:114.5s 等前:0.0s 等后:0.0s) | ST8 制动(开:63750.5s 加:114.0s 等前:0.0s 等后:0.0s) | ST9 EG漏液/底盘漏液(开:63864.5s 加:112.5s 等前:0.0s 等后:0.0s) | ST10 全景/空调检查(开:63977.0s 加:0.0s 等前:0.0s 等后:1.5s) | ST11 气囊安装+绝缘(开:63978.5s 加:116.0s 等前:0.0s 等后:0.0s) | ST12 L2++(开:64094.5s 加:88.0s 等前:0.0s 等后:0.0s) | ST13 电检1(开:64182.5s 加:84.5s 等前:0.0s 等后:23.0s) | ST14 电检2(开:64290.0s 加:97.5s 等前:0.0s 等后:18.5s) | ST15 小跑道(开:64406.0s 加:50.0s 等前:0.0s 等后:0.0s)</t>
        </is>
      </c>
    </row>
    <row r="971">
      <c r="A971" s="15" t="n">
        <v>970</v>
      </c>
      <c r="B971" s="15" t="inlineStr">
        <is>
          <t>Car#971</t>
        </is>
      </c>
      <c r="C971" s="15" t="inlineStr">
        <is>
          <t>C</t>
        </is>
      </c>
      <c r="D971" s="16" t="n">
        <v>63120</v>
      </c>
      <c r="E971" s="16" t="n">
        <v>64548</v>
      </c>
      <c r="F971" s="16" t="n">
        <v>1428</v>
      </c>
      <c r="G971" s="16" t="n">
        <v>6864.5</v>
      </c>
      <c r="H971" s="15" t="inlineStr">
        <is>
          <t>Car#968</t>
        </is>
      </c>
      <c r="I971" s="16">
        <f>E971-E970</f>
        <v/>
      </c>
      <c r="J971" s="16">
        <f>I971-58</f>
        <v/>
      </c>
      <c r="K971" s="16">
        <f>MAX(0,J971)</f>
        <v/>
      </c>
      <c r="L971" s="16">
        <f>MAX(0,-J971)</f>
        <v/>
      </c>
      <c r="M971" s="16">
        <f>M970+I971</f>
        <v/>
      </c>
      <c r="N971" s="16">
        <f>D971+F971-E971</f>
        <v/>
      </c>
      <c r="O971" s="15" t="inlineStr">
        <is>
          <t>能力超目标：四轮定位上、下、ARHUD+慢充</t>
        </is>
      </c>
      <c r="P971" s="15" t="inlineStr">
        <is>
          <t>ST1 引取(开:63120.0s 加:56.0s 等前:6860.0s 等后:0.0s) | ST2 集约(开:63176.0s 加:111.0s 等前:0.0s 等后:0.0s) | ST3 空气悬挂+快充(开:63287.0s 加:108.5s 等前:0.0s 等后:0.0s) | ST4 四轮定位上、下(开:63395.5s 加:120.5s 等前:0.0s 等后:0.0s) | ST5 ADAS(开:63516.0s 加:107.0s 等前:0.0s 等后:4.5s) | ST6 ARHUD+慢充(开:63627.5s 加:143.5s 等前:0.0s 等后:0.0s) | ST7 转毂(开:63771.0s 加:114.5s 等前:0.0s 等后:0.0s) | ST8 制动(开:63885.5s 加:114.0s 等前:0.0s 等后:0.0s) | ST9 EG漏液/底盘漏液(开:63999.5s 加:112.5s 等前:0.0s 等后:0.0s) | ST10 全景/空调检查(开:64112.0s 加:0.0s 等前:0.0s 等后:0.0s) | ST11 气囊安装+绝缘(开:64112.0s 加:116.0s 等前:0.0s 等后:0.0s) | ST12 L2++(开:64228.0s 加:88.0s 等前:0.0s 等后:0.0s) | ST13 电检1(开:64316.0s 加:84.5s 等前:0.0s 等后:0.0s) | ST14 电检2(开:64400.5s 加:97.5s 等前:0.0s 等后:0.0s) | ST15 小跑道(开:64498.0s 加:50.0s 等前:0.0s 等后:0.0s)</t>
        </is>
      </c>
    </row>
    <row r="972">
      <c r="A972" s="13" t="n">
        <v>971</v>
      </c>
      <c r="B972" s="13" t="inlineStr">
        <is>
          <t>Car#970</t>
        </is>
      </c>
      <c r="C972" s="13" t="inlineStr">
        <is>
          <t>C</t>
        </is>
      </c>
      <c r="D972" s="14" t="n">
        <v>63032.5</v>
      </c>
      <c r="E972" s="14" t="n">
        <v>64598</v>
      </c>
      <c r="F972" s="14" t="n">
        <v>1565.5</v>
      </c>
      <c r="G972" s="14" t="n">
        <v>6972.5</v>
      </c>
      <c r="H972" s="13" t="inlineStr">
        <is>
          <t>Car#971</t>
        </is>
      </c>
      <c r="I972" s="14">
        <f>E972-E971</f>
        <v/>
      </c>
      <c r="J972" s="14">
        <f>I972-58</f>
        <v/>
      </c>
      <c r="K972" s="14">
        <f>MAX(0,J972)</f>
        <v/>
      </c>
      <c r="L972" s="14">
        <f>MAX(0,-J972)</f>
        <v/>
      </c>
      <c r="M972" s="14">
        <f>M971+I972</f>
        <v/>
      </c>
      <c r="N972" s="14">
        <f>D972+F972-E972</f>
        <v/>
      </c>
      <c r="O972" s="13" t="inlineStr">
        <is>
          <t>能力超目标：四轮定位上、下、ARHUD+慢充</t>
        </is>
      </c>
      <c r="P972" s="13" t="inlineStr">
        <is>
          <t>ST1 引取(开:63032.5s 加:56.0s 等前:6830.5s 等后:31.5s) | ST2 集约(开:63120.0s 加:111.0s 等前:0.0s 等后:9.5s) | ST3 空气悬挂+快充(开:63240.5s 加:108.5s 等前:0.0s 等后:29.0s) | ST4 四轮定位上、下(开:63378.0s 加:120.5s 等前:0.0s 等后:23.0s) | ST5 ADAS(开:63521.5s 加:107.0s 等前:0.0s 等后:7.5s) | ST6 ARHUD+慢充(开:63636.0s 加:143.5s 等前:0.0s 等后:0.0s) | ST7 转毂(开:63779.5s 加:114.5s 等前:0.0s 等后:0.0s) | ST8 制动(开:63894.0s 加:114.0s 等前:0.0s 等后:0.0s) | ST9 EG漏液/底盘漏液(开:64008.0s 加:112.5s 等前:0.0s 等后:0.0s) | ST10 全景/空调检查(开:64120.5s 加:0.0s 等前:0.0s 等后:0.0s) | ST11 气囊安装+绝缘(开:64120.5s 加:116.0s 等前:0.0s 等后:0.0s) | ST12 L2++(开:64236.5s 加:88.0s 等前:0.0s 等后:0.0s) | ST13 电检1(开:64324.5s 加:84.5s 等前:0.0s 等后:0.0s) | ST14 电检2(开:64409.0s 加:97.5s 等前:0.0s 等后:41.5s) | ST15 小跑道(开:64548.0s 加:50.0s 等前:0.0s 等后:0.0s)</t>
        </is>
      </c>
    </row>
    <row r="973">
      <c r="A973" s="15" t="n">
        <v>972</v>
      </c>
      <c r="B973" s="15" t="inlineStr">
        <is>
          <t>Car#973</t>
        </is>
      </c>
      <c r="C973" s="15" t="inlineStr">
        <is>
          <t>C</t>
        </is>
      </c>
      <c r="D973" s="16" t="n">
        <v>63240.5</v>
      </c>
      <c r="E973" s="16" t="n">
        <v>64691.5</v>
      </c>
      <c r="F973" s="16" t="n">
        <v>1451</v>
      </c>
      <c r="G973" s="16" t="n">
        <v>6892</v>
      </c>
      <c r="H973" s="15" t="inlineStr">
        <is>
          <t>Car#970</t>
        </is>
      </c>
      <c r="I973" s="16">
        <f>E973-E972</f>
        <v/>
      </c>
      <c r="J973" s="16">
        <f>I973-58</f>
        <v/>
      </c>
      <c r="K973" s="16">
        <f>MAX(0,J973)</f>
        <v/>
      </c>
      <c r="L973" s="16">
        <f>MAX(0,-J973)</f>
        <v/>
      </c>
      <c r="M973" s="16">
        <f>M972+I973</f>
        <v/>
      </c>
      <c r="N973" s="16">
        <f>D973+F973-E973</f>
        <v/>
      </c>
      <c r="O973" s="15" t="inlineStr">
        <is>
          <t>能力超目标：四轮定位上、下、ARHUD+慢充</t>
        </is>
      </c>
      <c r="P973" s="15" t="inlineStr">
        <is>
          <t>ST1 引取(开:63240.5s 加:56.0s 等前:6864.5s 等后:0.0s) | ST2 集约(开:63296.5s 加:111.0s 等前:0.0s 等后:0.0s) | ST3 空气悬挂+快充(开:63407.5s 加:108.5s 等前:0.0s 等后:0.0s) | ST4 四轮定位上、下(开:63516.0s 加:120.5s 等前:0.0s 等后:0.0s) | ST5 ADAS(开:63636.5s 加:107.0s 等前:0.0s 等后:27.5s) | ST6 ARHUD+慢充(开:63771.0s 加:143.5s 等前:0.0s 等后:0.0s) | ST7 转毂(开:63914.5s 加:114.5s 等前:0.0s 等后:0.0s) | ST8 制动(开:64029.0s 加:114.0s 等前:0.0s 等后:0.0s) | ST9 EG漏液/底盘漏液(开:64143.0s 加:112.5s 等前:0.0s 等后:0.0s) | ST10 全景/空调检查(开:64255.5s 加:0.0s 等前:0.0s 等后:0.0s) | ST11 气囊安装+绝缘(开:64255.5s 加:116.0s 等前:0.0s 等后:0.0s) | ST12 L2++(开:64371.5s 加:88.0s 等前:0.0s 等后:0.0s) | ST13 电检1(开:64459.5s 加:84.5s 等前:0.0s 等后:0.0s) | ST14 电检2(开:64544.0s 加:97.5s 等前:0.0s 等后:0.0s) | ST15 小跑道(开:64641.5s 加:50.0s 等前:0.0s 等后:0.0s)</t>
        </is>
      </c>
    </row>
    <row r="974">
      <c r="A974" s="13" t="n">
        <v>973</v>
      </c>
      <c r="B974" s="13" t="inlineStr">
        <is>
          <t>Car#975</t>
        </is>
      </c>
      <c r="C974" s="13" t="inlineStr">
        <is>
          <t>A</t>
        </is>
      </c>
      <c r="D974" s="14" t="n">
        <v>63378</v>
      </c>
      <c r="E974" s="14" t="n">
        <v>64742.5</v>
      </c>
      <c r="F974" s="14" t="n">
        <v>1364.5</v>
      </c>
      <c r="G974" s="14" t="n">
        <v>7389.5</v>
      </c>
      <c r="H974" s="13" t="inlineStr">
        <is>
          <t>Car#973</t>
        </is>
      </c>
      <c r="I974" s="14">
        <f>E974-E973</f>
        <v/>
      </c>
      <c r="J974" s="14">
        <f>I974-58</f>
        <v/>
      </c>
      <c r="K974" s="14">
        <f>MAX(0,J974)</f>
        <v/>
      </c>
      <c r="L974" s="14">
        <f>MAX(0,-J974)</f>
        <v/>
      </c>
      <c r="M974" s="14">
        <f>M973+I974</f>
        <v/>
      </c>
      <c r="N974" s="14">
        <f>D974+F974-E974</f>
        <v/>
      </c>
      <c r="O974" s="13" t="inlineStr">
        <is>
          <t>能力满足</t>
        </is>
      </c>
      <c r="P974" s="13" t="inlineStr">
        <is>
          <t>ST1 引取(开:63378.0s 加:55.0s 等前:6886.0s 等后:0.0s) | ST2 集约(开:63433.0s 加:106.0s 等前:0.0s 等后:0.0s) | ST3 空气悬挂+快充(开:63539.0s 加:0.0s 等前:0.0s 等后:97.5s) | ST4 四轮定位上、下(开:63636.5s 加:115.0s 等前:0.0s 等后:19.5s) | ST5 ADAS(开:63771.0s 加:97.0s 等前:0.0s 等后:46.5s) | ST6 ARHUD+慢充(开:63914.5s 加:0.0s 等前:0.0s 等后:114.5s) | ST7 转毂(开:64029.0s 加:116.0s 等前:0.0s 等后:0.0s) | ST8 制动(开:64145.0s 加:108.0s 等前:0.0s 等后:2.5s) | ST9 EG漏液/底盘漏液(开:64255.5s 加:115.0s 等前:0.0s 等后:0.0s) | ST10 全景/空调检查(开:64370.5s 加:98.0s 等前:0.0s 等后:0.0s) | ST11 气囊安装+绝缘(开:64468.5s 加:0.0s 等前:0.0s 等后:0.0s) | ST12 L2++(开:64468.5s 加:0.0s 等前:0.0s 等后:75.5s) | ST13 电检1(开:64544.0s 加:0.0s 等前:0.0s 等后:97.5s) | ST14 电检2(开:64641.5s 加:0.0s 等前:0.0s 等后:50.0s) | ST15 小跑道(开:64691.5s 加:51.0s 等前:0.0s 等后:0.0s)</t>
        </is>
      </c>
    </row>
    <row r="975">
      <c r="A975" s="15" t="n">
        <v>974</v>
      </c>
      <c r="B975" s="15" t="inlineStr">
        <is>
          <t>Car#972</t>
        </is>
      </c>
      <c r="C975" s="15" t="inlineStr">
        <is>
          <t>C</t>
        </is>
      </c>
      <c r="D975" s="16" t="n">
        <v>63176</v>
      </c>
      <c r="E975" s="16" t="n">
        <v>64792.5</v>
      </c>
      <c r="F975" s="16" t="n">
        <v>1616.5</v>
      </c>
      <c r="G975" s="16" t="n">
        <v>7051</v>
      </c>
      <c r="H975" s="15" t="inlineStr">
        <is>
          <t>Car#975</t>
        </is>
      </c>
      <c r="I975" s="16">
        <f>E975-E974</f>
        <v/>
      </c>
      <c r="J975" s="16">
        <f>I975-58</f>
        <v/>
      </c>
      <c r="K975" s="16">
        <f>MAX(0,J975)</f>
        <v/>
      </c>
      <c r="L975" s="16">
        <f>MAX(0,-J975)</f>
        <v/>
      </c>
      <c r="M975" s="16">
        <f>M974+I975</f>
        <v/>
      </c>
      <c r="N975" s="16">
        <f>D975+F975-E975</f>
        <v/>
      </c>
      <c r="O975" s="15" t="inlineStr">
        <is>
          <t>能力超目标：四轮定位上、下、ARHUD+慢充</t>
        </is>
      </c>
      <c r="P975" s="15" t="inlineStr">
        <is>
          <t>ST1 引取(开:63176.0s 加:56.0s 等前:6858.0s 等后:8.5s) | ST2 集约(开:63240.5s 加:111.0s 等前:0.0s 等后:26.5s) | ST3 空气悬挂+快充(开:63378.0s 加:108.5s 等前:0.0s 等后:35.0s) | ST4 四轮定位上、下(开:63521.5s 加:120.5s 等前:0.0s 等后:0.0s) | ST5 ADAS(开:63642.0s 加:107.0s 等前:0.0s 等后:30.5s) | ST6 ARHUD+慢充(开:63779.5s 加:143.5s 等前:0.0s 等后:0.0s) | ST7 转毂(开:63923.0s 加:114.5s 等前:0.0s 等后:0.0s) | ST8 制动(开:64037.5s 加:114.0s 等前:0.0s 等后:0.0s) | ST9 EG漏液/底盘漏液(开:64151.5s 加:112.5s 等前:0.0s 等后:0.0s) | ST10 全景/空调检查(开:64264.0s 加:0.0s 等前:0.0s 等后:0.0s) | ST11 气囊安装+绝缘(开:64264.0s 加:116.0s 等前:0.0s 等后:0.0s) | ST12 L2++(开:64380.0s 加:88.0s 等前:0.0s 等后:0.0s) | ST13 电检1(开:64468.0s 加:84.5s 等前:0.0s 等后:0.0s) | ST14 电检2(开:64552.5s 加:97.5s 等前:0.0s 等后:92.5s) | ST15 小跑道(开:64742.5s 加:50.0s 等前:0.0s 等后:0.0s)</t>
        </is>
      </c>
    </row>
    <row r="976">
      <c r="A976" s="13" t="n">
        <v>975</v>
      </c>
      <c r="B976" s="13" t="inlineStr">
        <is>
          <t>Car#974</t>
        </is>
      </c>
      <c r="C976" s="13" t="inlineStr">
        <is>
          <t>A</t>
        </is>
      </c>
      <c r="D976" s="14" t="n">
        <v>63296.5</v>
      </c>
      <c r="E976" s="14" t="n">
        <v>64843.5</v>
      </c>
      <c r="F976" s="14" t="n">
        <v>1547</v>
      </c>
      <c r="G976" s="14" t="n">
        <v>7548.5</v>
      </c>
      <c r="H976" s="13" t="inlineStr">
        <is>
          <t>Car#972</t>
        </is>
      </c>
      <c r="I976" s="14">
        <f>E976-E975</f>
        <v/>
      </c>
      <c r="J976" s="14">
        <f>I976-58</f>
        <v/>
      </c>
      <c r="K976" s="14">
        <f>MAX(0,J976)</f>
        <v/>
      </c>
      <c r="L976" s="14">
        <f>MAX(0,-J976)</f>
        <v/>
      </c>
      <c r="M976" s="14">
        <f>M975+I976</f>
        <v/>
      </c>
      <c r="N976" s="14">
        <f>D976+F976-E976</f>
        <v/>
      </c>
      <c r="O976" s="13" t="inlineStr">
        <is>
          <t>能力满足</t>
        </is>
      </c>
      <c r="P976" s="13" t="inlineStr">
        <is>
          <t>ST1 引取(开:63296.5s 加:55.0s 等前:6862.5s 等后:26.5s) | ST2 集约(开:63378.0s 加:106.0s 等前:0.0s 等后:37.5s) | ST3 空气悬挂+快充(开:63521.5s 加:0.0s 等前:0.0s 等后:120.5s) | ST4 四轮定位上、下(开:63642.0s 加:115.0s 等前:0.0s 等后:22.5s) | ST5 ADAS(开:63779.5s 加:97.0s 等前:0.0s 等后:46.5s) | ST6 ARHUD+慢充(开:63923.0s 加:0.0s 等前:0.0s 等后:114.5s) | ST7 转毂(开:64037.5s 加:116.0s 等前:0.0s 等后:0.0s) | ST8 制动(开:64153.5s 加:108.0s 等前:0.0s 等后:2.5s) | ST9 EG漏液/底盘漏液(开:64264.0s 加:115.0s 等前:0.0s 等后:0.0s) | ST10 全景/空调检查(开:64379.0s 加:98.0s 等前:0.0s 等后:0.0s) | ST11 气囊安装+绝缘(开:64477.0s 加:0.0s 等前:0.0s 等后:0.0s) | ST12 L2++(开:64477.0s 加:0.0s 等前:0.0s 等后:75.5s) | ST13 电检1(开:64552.5s 加:0.0s 等前:0.0s 等后:190.0s) | ST14 电检2(开:64742.5s 加:0.0s 等前:0.0s 等后:50.0s) | ST15 小跑道(开:64792.5s 加:51.0s 等前:0.0s 等后:0.0s)</t>
        </is>
      </c>
    </row>
    <row r="977">
      <c r="A977" s="15" t="n">
        <v>976</v>
      </c>
      <c r="B977" s="15" t="inlineStr">
        <is>
          <t>Car#977</t>
        </is>
      </c>
      <c r="C977" s="15" t="inlineStr">
        <is>
          <t>B</t>
        </is>
      </c>
      <c r="D977" s="16" t="n">
        <v>63521.5</v>
      </c>
      <c r="E977" s="16" t="n">
        <v>64922</v>
      </c>
      <c r="F977" s="16" t="n">
        <v>1400.5</v>
      </c>
      <c r="G977" s="16" t="n">
        <v>6982.5</v>
      </c>
      <c r="H977" s="15" t="inlineStr">
        <is>
          <t>Car#974</t>
        </is>
      </c>
      <c r="I977" s="16">
        <f>E977-E976</f>
        <v/>
      </c>
      <c r="J977" s="16">
        <f>I977-58</f>
        <v/>
      </c>
      <c r="K977" s="16">
        <f>MAX(0,J977)</f>
        <v/>
      </c>
      <c r="L977" s="16">
        <f>MAX(0,-J977)</f>
        <v/>
      </c>
      <c r="M977" s="16">
        <f>M976+I977</f>
        <v/>
      </c>
      <c r="N977" s="16">
        <f>D977+F977-E977</f>
        <v/>
      </c>
      <c r="O977" s="15" t="inlineStr">
        <is>
          <t>能力超目标：四轮定位上、下</t>
        </is>
      </c>
      <c r="P977" s="15" t="inlineStr">
        <is>
          <t>ST1 引取(开:63521.5s 加:56.0s 等前:6913.5s 等后:0.0s) | ST2 集约(开:63577.5s 加:111.0s 等前:0.0s 等后:0.0s) | ST3 空气悬挂+快充(开:63688.5s 加:108.5s 等前:0.0s 等后:0.0s) | ST4 四轮定位上、下(开:63797.0s 加:120.5s 等前:0.0s 等后:0.0s) | ST5 ADAS(开:63917.5s 加:107.0s 等前:0.0s 等后:4.5s) | ST6 ARHUD+慢充(开:64029.0s 加:51.5s 等前:0.0s 等后:64.5s) | ST7 转毂(开:64145.0s 加:114.5s 等前:0.0s 等后:0.0s) | ST8 制动(开:64259.5s 加:114.0s 等前:0.0s 等后:0.0s) | ST9 EG漏液/底盘漏液(开:64373.5s 加:112.5s 等前:0.0s 等后:0.0s) | ST10 全景/空调检查(开:64486.0s 加:0.0s 等前:0.0s 等后:0.0s) | ST11 气囊安装+绝缘(开:64486.0s 加:116.0s 等前:0.0s 等后:0.0s) | ST12 L2++(开:64602.0s 加:88.0s 等前:0.0s 等后:0.0s) | ST13 电检1(开:64690.0s 加:84.5s 等前:0.0s 等后:0.0s) | ST14 电检2(开:64774.5s 加:97.5s 等前:0.0s 等后:0.0s) | ST15 小跑道(开:64872.0s 加:50.0s 等前:0.0s 等后:0.0s)</t>
        </is>
      </c>
    </row>
    <row r="978">
      <c r="A978" s="13" t="n">
        <v>977</v>
      </c>
      <c r="B978" s="13" t="inlineStr">
        <is>
          <t>Car#976</t>
        </is>
      </c>
      <c r="C978" s="13" t="inlineStr">
        <is>
          <t>B</t>
        </is>
      </c>
      <c r="D978" s="14" t="n">
        <v>63433</v>
      </c>
      <c r="E978" s="14" t="n">
        <v>64974.5</v>
      </c>
      <c r="F978" s="14" t="n">
        <v>1541.5</v>
      </c>
      <c r="G978" s="14" t="n">
        <v>7093</v>
      </c>
      <c r="H978" s="13" t="inlineStr">
        <is>
          <t>Car#977</t>
        </is>
      </c>
      <c r="I978" s="14">
        <f>E978-E977</f>
        <v/>
      </c>
      <c r="J978" s="14">
        <f>I978-58</f>
        <v/>
      </c>
      <c r="K978" s="14">
        <f>MAX(0,J978)</f>
        <v/>
      </c>
      <c r="L978" s="14">
        <f>MAX(0,-J978)</f>
        <v/>
      </c>
      <c r="M978" s="14">
        <f>M977+I978</f>
        <v/>
      </c>
      <c r="N978" s="14">
        <f>D978+F978-E978</f>
        <v/>
      </c>
      <c r="O978" s="13" t="inlineStr">
        <is>
          <t>能力超目标：四轮定位上、下</t>
        </is>
      </c>
      <c r="P978" s="13" t="inlineStr">
        <is>
          <t>ST1 引取(开:63433.0s 加:56.0s 等前:6883.0s 等后:32.5s) | ST2 集约(开:63521.5s 加:111.0s 等前:0.0s 等后:9.5s) | ST3 空气悬挂+快充(开:63642.0s 加:108.5s 等前:0.0s 等后:29.0s) | ST4 四轮定位上、下(开:63779.5s 加:120.5s 等前:0.0s 等后:23.0s) | ST5 ADAS(开:63923.0s 加:107.0s 等前:0.0s 等后:7.5s) | ST6 ARHUD+慢充(开:64037.5s 加:51.5s 等前:0.0s 等后:64.5s) | ST7 转毂(开:64153.5s 加:114.5s 等前:0.0s 等后:0.0s) | ST8 制动(开:64268.0s 加:114.0s 等前:0.0s 等后:0.0s) | ST9 EG漏液/底盘漏液(开:64382.0s 加:112.5s 等前:0.0s 等后:0.0s) | ST10 全景/空调检查(开:64494.5s 加:0.0s 等前:0.0s 等后:0.0s) | ST11 气囊安装+绝缘(开:64494.5s 加:116.0s 等前:0.0s 等后:0.0s) | ST12 L2++(开:64610.5s 加:88.0s 等前:0.0s 等后:44.0s) | ST13 电检1(开:64742.5s 加:84.5s 等前:0.0s 等后:0.0s) | ST14 电检2(开:64827.0s 加:97.5s 等前:0.0s 等后:0.0s) | ST15 小跑道(开:64924.5s 加:50.0s 等前:0.0s 等后:0.0s)</t>
        </is>
      </c>
    </row>
    <row r="979">
      <c r="A979" s="15" t="n">
        <v>978</v>
      </c>
      <c r="B979" s="15" t="inlineStr">
        <is>
          <t>Car#979</t>
        </is>
      </c>
      <c r="C979" s="15" t="inlineStr">
        <is>
          <t>C</t>
        </is>
      </c>
      <c r="D979" s="16" t="n">
        <v>63642</v>
      </c>
      <c r="E979" s="16" t="n">
        <v>65065.5</v>
      </c>
      <c r="F979" s="16" t="n">
        <v>1423.5</v>
      </c>
      <c r="G979" s="16" t="n">
        <v>6918</v>
      </c>
      <c r="H979" s="15" t="inlineStr">
        <is>
          <t>Car#976</t>
        </is>
      </c>
      <c r="I979" s="16">
        <f>E979-E978</f>
        <v/>
      </c>
      <c r="J979" s="16">
        <f>I979-58</f>
        <v/>
      </c>
      <c r="K979" s="16">
        <f>MAX(0,J979)</f>
        <v/>
      </c>
      <c r="L979" s="16">
        <f>MAX(0,-J979)</f>
        <v/>
      </c>
      <c r="M979" s="16">
        <f>M978+I979</f>
        <v/>
      </c>
      <c r="N979" s="16">
        <f>D979+F979-E979</f>
        <v/>
      </c>
      <c r="O979" s="15" t="inlineStr">
        <is>
          <t>能力超目标：四轮定位上、下、ARHUD+慢充</t>
        </is>
      </c>
      <c r="P979" s="15" t="inlineStr">
        <is>
          <t>ST1 引取(开:63642.0s 加:56.0s 等前:6918.0s 等后:0.0s) | ST2 集约(开:63698.0s 加:111.0s 等前:0.0s 等后:0.0s) | ST3 空气悬挂+快充(开:63809.0s 加:108.5s 等前:0.0s 等后:0.0s) | ST4 四轮定位上、下(开:63917.5s 加:120.5s 等前:0.0s 等后:0.0s) | ST5 ADAS(开:64038.0s 加:107.0s 等前:0.0s 等后:0.0s) | ST6 ARHUD+慢充(开:64145.0s 加:143.5s 等前:0.0s 等后:0.0s) | ST7 转毂(开:64288.5s 加:114.5s 等前:0.0s 等后:0.0s) | ST8 制动(开:64403.0s 加:114.0s 等前:0.0s 等后:0.0s) | ST9 EG漏液/底盘漏液(开:64517.0s 加:112.5s 等前:0.0s 等后:0.0s) | ST10 全景/空调检查(开:64629.5s 加:0.0s 等前:0.0s 等后:0.0s) | ST11 气囊安装+绝缘(开:64629.5s 加:116.0s 等前:0.0s 等后:0.0s) | ST12 L2++(开:64745.5s 加:88.0s 等前:0.0s 等后:0.0s) | ST13 电检1(开:64833.5s 加:84.5s 等前:0.0s 等后:0.0s) | ST14 电检2(开:64918.0s 加:97.5s 等前:0.0s 等后:0.0s) | ST15 小跑道(开:65015.5s 加:50.0s 等前:0.0s 等后:0.0s)</t>
        </is>
      </c>
    </row>
    <row r="980">
      <c r="A980" s="13" t="n">
        <v>979</v>
      </c>
      <c r="B980" s="13" t="inlineStr">
        <is>
          <t>Car#978</t>
        </is>
      </c>
      <c r="C980" s="13" t="inlineStr">
        <is>
          <t>C</t>
        </is>
      </c>
      <c r="D980" s="14" t="n">
        <v>63577.5</v>
      </c>
      <c r="E980" s="14" t="n">
        <v>65115.5</v>
      </c>
      <c r="F980" s="14" t="n">
        <v>1538</v>
      </c>
      <c r="G980" s="14" t="n">
        <v>7026</v>
      </c>
      <c r="H980" s="13" t="inlineStr">
        <is>
          <t>Car#979</t>
        </is>
      </c>
      <c r="I980" s="14">
        <f>E980-E979</f>
        <v/>
      </c>
      <c r="J980" s="14">
        <f>I980-58</f>
        <v/>
      </c>
      <c r="K980" s="14">
        <f>MAX(0,J980)</f>
        <v/>
      </c>
      <c r="L980" s="14">
        <f>MAX(0,-J980)</f>
        <v/>
      </c>
      <c r="M980" s="14">
        <f>M979+I980</f>
        <v/>
      </c>
      <c r="N980" s="14">
        <f>D980+F980-E980</f>
        <v/>
      </c>
      <c r="O980" s="13" t="inlineStr">
        <is>
          <t>能力超目标：四轮定位上、下、ARHUD+慢充</t>
        </is>
      </c>
      <c r="P980" s="13" t="inlineStr">
        <is>
          <t>ST1 引取(开:63577.5s 加:56.0s 等前:6911.5s 等后:8.5s) | ST2 集约(开:63642.0s 加:111.0s 等前:0.0s 等后:26.5s) | ST3 空气悬挂+快充(开:63779.5s 加:108.5s 等前:0.0s 等后:35.0s) | ST4 四轮定位上、下(开:63923.0s 加:120.5s 等前:0.0s 等后:0.0s) | ST5 ADAS(开:64043.5s 加:107.0s 等前:0.0s 等后:3.0s) | ST6 ARHUD+慢充(开:64153.5s 加:143.5s 等前:0.0s 等后:0.0s) | ST7 转毂(开:64297.0s 加:114.5s 等前:0.0s 等后:0.0s) | ST8 制动(开:64411.5s 加:114.0s 等前:0.0s 等后:0.0s) | ST9 EG漏液/底盘漏液(开:64525.5s 加:112.5s 等前:0.0s 等后:0.0s) | ST10 全景/空调检查(开:64638.0s 加:0.0s 等前:0.0s 等后:0.0s) | ST11 气囊安装+绝缘(开:64638.0s 加:116.0s 等前:0.0s 等后:0.0s) | ST12 L2++(开:64754.0s 加:88.0s 等前:0.0s 等后:0.0s) | ST13 电检1(开:64842.0s 加:84.5s 等前:0.0s 等后:0.0s) | ST14 电检2(开:64926.5s 加:97.5s 等前:0.0s 等后:41.5s) | ST15 小跑道(开:65065.5s 加:50.0s 等前:0.0s 等后:0.0s)</t>
        </is>
      </c>
    </row>
    <row r="981">
      <c r="A981" s="15" t="n">
        <v>980</v>
      </c>
      <c r="B981" s="15" t="inlineStr">
        <is>
          <t>Car#981</t>
        </is>
      </c>
      <c r="C981" s="15" t="inlineStr">
        <is>
          <t>C</t>
        </is>
      </c>
      <c r="D981" s="16" t="n">
        <v>63779.5</v>
      </c>
      <c r="E981" s="16" t="n">
        <v>65209</v>
      </c>
      <c r="F981" s="16" t="n">
        <v>1429.5</v>
      </c>
      <c r="G981" s="16" t="n">
        <v>6945.5</v>
      </c>
      <c r="H981" s="15" t="inlineStr">
        <is>
          <t>Car#978</t>
        </is>
      </c>
      <c r="I981" s="16">
        <f>E981-E980</f>
        <v/>
      </c>
      <c r="J981" s="16">
        <f>I981-58</f>
        <v/>
      </c>
      <c r="K981" s="16">
        <f>MAX(0,J981)</f>
        <v/>
      </c>
      <c r="L981" s="16">
        <f>MAX(0,-J981)</f>
        <v/>
      </c>
      <c r="M981" s="16">
        <f>M980+I981</f>
        <v/>
      </c>
      <c r="N981" s="16">
        <f>D981+F981-E981</f>
        <v/>
      </c>
      <c r="O981" s="15" t="inlineStr">
        <is>
          <t>能力超目标：四轮定位上、下、ARHUD+慢充</t>
        </is>
      </c>
      <c r="P981" s="15" t="inlineStr">
        <is>
          <t>ST1 引取(开:63779.5s 加:56.0s 等前:6939.5s 等后:0.0s) | ST2 集约(开:63835.5s 加:111.0s 等前:0.0s 等后:0.0s) | ST3 空气悬挂+快充(开:63946.5s 加:108.5s 等前:0.0s 等后:0.0s) | ST4 四轮定位上、下(开:64055.0s 加:120.5s 等前:0.0s 等后:0.0s) | ST5 ADAS(开:64175.5s 加:107.0s 等前:0.0s 等后:6.0s) | ST6 ARHUD+慢充(开:64288.5s 加:143.5s 等前:0.0s 等后:0.0s) | ST7 转毂(开:64432.0s 加:114.5s 等前:0.0s 等后:0.0s) | ST8 制动(开:64546.5s 加:114.0s 等前:0.0s 等后:0.0s) | ST9 EG漏液/底盘漏液(开:64660.5s 加:112.5s 等前:0.0s 等后:0.0s) | ST10 全景/空调检查(开:64773.0s 加:0.0s 等前:0.0s 等后:0.0s) | ST11 气囊安装+绝缘(开:64773.0s 加:116.0s 等前:0.0s 等后:0.0s) | ST12 L2++(开:64889.0s 加:88.0s 等前:0.0s 等后:0.0s) | ST13 电检1(开:64977.0s 加:84.5s 等前:0.0s 等后:0.0s) | ST14 电检2(开:65061.5s 加:97.5s 等前:0.0s 等后:0.0s) | ST15 小跑道(开:65159.0s 加:50.0s 等前:0.0s 等后:0.0s)</t>
        </is>
      </c>
    </row>
    <row r="982">
      <c r="A982" s="13" t="n">
        <v>981</v>
      </c>
      <c r="B982" s="13" t="inlineStr">
        <is>
          <t>Car#980</t>
        </is>
      </c>
      <c r="C982" s="13" t="inlineStr">
        <is>
          <t>C</t>
        </is>
      </c>
      <c r="D982" s="14" t="n">
        <v>63698</v>
      </c>
      <c r="E982" s="14" t="n">
        <v>65259</v>
      </c>
      <c r="F982" s="14" t="n">
        <v>1561</v>
      </c>
      <c r="G982" s="14" t="n">
        <v>7053.5</v>
      </c>
      <c r="H982" s="13" t="inlineStr">
        <is>
          <t>Car#981</t>
        </is>
      </c>
      <c r="I982" s="14">
        <f>E982-E981</f>
        <v/>
      </c>
      <c r="J982" s="14">
        <f>I982-58</f>
        <v/>
      </c>
      <c r="K982" s="14">
        <f>MAX(0,J982)</f>
        <v/>
      </c>
      <c r="L982" s="14">
        <f>MAX(0,-J982)</f>
        <v/>
      </c>
      <c r="M982" s="14">
        <f>M981+I982</f>
        <v/>
      </c>
      <c r="N982" s="14">
        <f>D982+F982-E982</f>
        <v/>
      </c>
      <c r="O982" s="13" t="inlineStr">
        <is>
          <t>能力超目标：四轮定位上、下、ARHUD+慢充</t>
        </is>
      </c>
      <c r="P982" s="13" t="inlineStr">
        <is>
          <t>ST1 引取(开:63698.0s 加:56.0s 等前:6916.0s 等后:25.5s) | ST2 集约(开:63779.5s 加:111.0s 等前:0.0s 等后:32.5s) | ST3 空气悬挂+快充(开:63923.0s 加:108.5s 等前:0.0s 等后:12.0s) | ST4 四轮定位上、下(开:64043.5s 加:120.5s 等前:0.0s 等后:0.0s) | ST5 ADAS(开:64164.0s 加:107.0s 等前:0.0s 等后:26.0s) | ST6 ARHUD+慢充(开:64297.0s 加:143.5s 等前:0.0s 等后:0.0s) | ST7 转毂(开:64440.5s 加:114.5s 等前:0.0s 等后:0.0s) | ST8 制动(开:64555.0s 加:114.0s 等前:0.0s 等后:0.0s) | ST9 EG漏液/底盘漏液(开:64669.0s 加:112.5s 等前:0.0s 等后:0.0s) | ST10 全景/空调检查(开:64781.5s 加:0.0s 等前:0.0s 等后:0.0s) | ST11 气囊安装+绝缘(开:64781.5s 加:116.0s 等前:0.0s 等后:0.0s) | ST12 L2++(开:64897.5s 加:88.0s 等前:0.0s 等后:0.0s) | ST13 电检1(开:64985.5s 加:84.5s 等前:0.0s 等后:0.0s) | ST14 电检2(开:65070.0s 加:97.5s 等前:0.0s 等后:41.5s) | ST15 小跑道(开:65209.0s 加:50.0s 等前:0.0s 等后:0.0s)</t>
        </is>
      </c>
    </row>
    <row r="983">
      <c r="A983" s="15" t="n">
        <v>982</v>
      </c>
      <c r="B983" s="15" t="inlineStr">
        <is>
          <t>Car#982</t>
        </is>
      </c>
      <c r="C983" s="15" t="inlineStr">
        <is>
          <t>A</t>
        </is>
      </c>
      <c r="D983" s="16" t="n">
        <v>63835.5</v>
      </c>
      <c r="E983" s="16" t="n">
        <v>65310</v>
      </c>
      <c r="F983" s="16" t="n">
        <v>1474.5</v>
      </c>
      <c r="G983" s="16" t="n">
        <v>7551</v>
      </c>
      <c r="H983" s="15" t="inlineStr">
        <is>
          <t>Car#980</t>
        </is>
      </c>
      <c r="I983" s="16">
        <f>E983-E982</f>
        <v/>
      </c>
      <c r="J983" s="16">
        <f>I983-58</f>
        <v/>
      </c>
      <c r="K983" s="16">
        <f>MAX(0,J983)</f>
        <v/>
      </c>
      <c r="L983" s="16">
        <f>MAX(0,-J983)</f>
        <v/>
      </c>
      <c r="M983" s="16">
        <f>M982+I983</f>
        <v/>
      </c>
      <c r="N983" s="16">
        <f>D983+F983-E983</f>
        <v/>
      </c>
      <c r="O983" s="15" t="inlineStr">
        <is>
          <t>能力满足</t>
        </is>
      </c>
      <c r="P983" s="15" t="inlineStr">
        <is>
          <t>ST1 引取(开:63835.5s 加:55.0s 等前:6937.5s 等后:32.5s) | ST2 集约(开:63923.0s 加:106.0s 等前:0.0s 等后:14.5s) | ST3 空气悬挂+快充(开:64043.5s 加:0.0s 等前:0.0s 等后:120.5s) | ST4 四轮定位上、下(开:64164.0s 加:115.0s 等前:0.0s 等后:18.0s) | ST5 ADAS(开:64297.0s 加:97.0s 等前:0.0s 等后:46.5s) | ST6 ARHUD+慢充(开:64440.5s 加:0.0s 等前:0.0s 等后:114.5s) | ST7 转毂(开:64555.0s 加:116.0s 等前:0.0s 等后:0.0s) | ST8 制动(开:64671.0s 加:108.0s 等前:0.0s 等后:2.5s) | ST9 EG漏液/底盘漏液(开:64781.5s 加:115.0s 等前:0.0s 等后:0.0s) | ST10 全景/空调检查(开:64896.5s 加:98.0s 等前:0.0s 等后:0.0s) | ST11 气囊安装+绝缘(开:64994.5s 加:0.0s 等前:0.0s 等后:0.0s) | ST12 L2++(开:64994.5s 加:0.0s 等前:0.0s 等后:75.5s) | ST13 电检1(开:65070.0s 加:0.0s 等前:0.0s 等后:139.0s) | ST14 电检2(开:65209.0s 加:0.0s 等前:0.0s 等后:50.0s) | ST15 小跑道(开:65259.0s 加:51.0s 等前:0.0s 等后:0.0s)</t>
        </is>
      </c>
    </row>
    <row r="984">
      <c r="A984" s="13" t="n">
        <v>983</v>
      </c>
      <c r="B984" s="13" t="inlineStr">
        <is>
          <t>Car#983</t>
        </is>
      </c>
      <c r="C984" s="13" t="inlineStr">
        <is>
          <t>B</t>
        </is>
      </c>
      <c r="D984" s="14" t="n">
        <v>63923</v>
      </c>
      <c r="E984" s="14" t="n">
        <v>65360</v>
      </c>
      <c r="F984" s="14" t="n">
        <v>1437</v>
      </c>
      <c r="G984" s="14" t="n">
        <v>7072.5</v>
      </c>
      <c r="H984" s="13" t="inlineStr">
        <is>
          <t>Car#982</t>
        </is>
      </c>
      <c r="I984" s="14">
        <f>E984-E983</f>
        <v/>
      </c>
      <c r="J984" s="14">
        <f>I984-58</f>
        <v/>
      </c>
      <c r="K984" s="14">
        <f>MAX(0,J984)</f>
        <v/>
      </c>
      <c r="L984" s="14">
        <f>MAX(0,-J984)</f>
        <v/>
      </c>
      <c r="M984" s="14">
        <f>M983+I984</f>
        <v/>
      </c>
      <c r="N984" s="14">
        <f>D984+F984-E984</f>
        <v/>
      </c>
      <c r="O984" s="13" t="inlineStr">
        <is>
          <t>能力超目标：四轮定位上、下</t>
        </is>
      </c>
      <c r="P984" s="13" t="inlineStr">
        <is>
          <t>ST1 引取(开:63923.0s 加:56.0s 等前:6967.0s 等后:0.0s) | ST2 集约(开:63979.0s 加:111.0s 等前:0.0s 等后:0.0s) | ST3 空气悬挂+快充(开:64090.0s 加:108.5s 等前:0.0s 等后:0.0s) | ST4 四轮定位上、下(开:64198.5s 加:120.5s 等前:0.0s 等后:0.0s) | ST5 ADAS(开:64319.0s 加:107.0s 等前:0.0s 等后:6.0s) | ST6 ARHUD+慢充(开:64432.0s 加:51.5s 等前:0.0s 等后:63.0s) | ST7 转毂(开:64546.5s 加:114.5s 等前:0.0s 等后:0.0s) | ST8 制动(开:64661.0s 加:114.0s 等前:0.0s 等后:0.0s) | ST9 EG漏液/底盘漏液(开:64775.0s 加:112.5s 等前:0.0s 等后:0.0s) | ST10 全景/空调检查(开:64887.5s 加:0.0s 等前:0.0s 等后:1.5s) | ST11 气囊安装+绝缘(开:64889.0s 加:116.0s 等前:0.0s 等后:0.0s) | ST12 L2++(开:65005.0s 加:88.0s 等前:0.0s 等后:0.0s) | ST13 电检1(开:65093.0s 加:84.5s 等前:0.0s 等后:0.0s) | ST14 电检2(开:65177.5s 加:97.5s 等前:0.0s 等后:35.0s) | ST15 小跑道(开:65310.0s 加:50.0s 等前:0.0s 等后:0.0s)</t>
        </is>
      </c>
    </row>
    <row r="985">
      <c r="A985" s="15" t="n">
        <v>984</v>
      </c>
      <c r="B985" s="15" t="inlineStr">
        <is>
          <t>Car#984</t>
        </is>
      </c>
      <c r="C985" s="15" t="inlineStr">
        <is>
          <t>B</t>
        </is>
      </c>
      <c r="D985" s="16" t="n">
        <v>63979</v>
      </c>
      <c r="E985" s="16" t="n">
        <v>65448</v>
      </c>
      <c r="F985" s="16" t="n">
        <v>1469</v>
      </c>
      <c r="G985" s="16" t="n">
        <v>7102.5</v>
      </c>
      <c r="H985" s="15" t="inlineStr">
        <is>
          <t>Car#983</t>
        </is>
      </c>
      <c r="I985" s="16">
        <f>E985-E984</f>
        <v/>
      </c>
      <c r="J985" s="16">
        <f>I985-58</f>
        <v/>
      </c>
      <c r="K985" s="16">
        <f>MAX(0,J985)</f>
        <v/>
      </c>
      <c r="L985" s="16">
        <f>MAX(0,-J985)</f>
        <v/>
      </c>
      <c r="M985" s="16">
        <f>M984+I985</f>
        <v/>
      </c>
      <c r="N985" s="16">
        <f>D985+F985-E985</f>
        <v/>
      </c>
      <c r="O985" s="15" t="inlineStr">
        <is>
          <t>能力超目标：四轮定位上、下</t>
        </is>
      </c>
      <c r="P985" s="15" t="inlineStr">
        <is>
          <t>ST1 引取(开:63979.0s 加:56.0s 等前:6965.0s 等后:8.5s) | ST2 集约(开:64043.5s 加:111.0s 等前:0.0s 等后:9.5s) | ST3 空气悬挂+快充(开:64164.0s 加:108.5s 等前:0.0s 等后:24.5s) | ST4 四轮定位上、下(开:64297.0s 加:120.5s 等前:0.0s 等后:23.0s) | ST5 ADAS(开:64440.5s 加:107.0s 等前:0.0s 等后:7.5s) | ST6 ARHUD+慢充(开:64555.0s 加:51.5s 等前:0.0s 等后:64.5s) | ST7 转毂(开:64671.0s 加:114.5s 等前:0.0s 等后:0.0s) | ST8 制动(开:64785.5s 加:114.0s 等前:0.0s 等后:0.0s) | ST9 EG漏液/底盘漏液(开:64899.5s 加:112.5s 等前:0.0s 等后:0.0s) | ST10 全景/空调检查(开:65012.0s 加:0.0s 等前:0.0s 等后:0.0s) | ST11 气囊安装+绝缘(开:65012.0s 加:116.0s 等前:0.0s 等后:0.0s) | ST12 L2++(开:65128.0s 加:88.0s 等前:0.0s 等后:0.0s) | ST13 电检1(开:65216.0s 加:84.5s 等前:0.0s 等后:0.0s) | ST14 电检2(开:65300.5s 加:97.5s 等前:0.0s 等后:0.0s) | ST15 小跑道(开:65398.0s 加:50.0s 等前:0.0s 等后:0.0s)</t>
        </is>
      </c>
    </row>
    <row r="986">
      <c r="A986" s="13" t="n">
        <v>985</v>
      </c>
      <c r="B986" s="13" t="inlineStr">
        <is>
          <t>Car#985</t>
        </is>
      </c>
      <c r="C986" s="13" t="inlineStr">
        <is>
          <t>B</t>
        </is>
      </c>
      <c r="D986" s="14" t="n">
        <v>64043.5</v>
      </c>
      <c r="E986" s="14" t="n">
        <v>65498</v>
      </c>
      <c r="F986" s="14" t="n">
        <v>1454.5</v>
      </c>
      <c r="G986" s="14" t="n">
        <v>7094.5</v>
      </c>
      <c r="H986" s="13" t="inlineStr">
        <is>
          <t>Car#984</t>
        </is>
      </c>
      <c r="I986" s="14">
        <f>E986-E985</f>
        <v/>
      </c>
      <c r="J986" s="14">
        <f>I986-58</f>
        <v/>
      </c>
      <c r="K986" s="14">
        <f>MAX(0,J986)</f>
        <v/>
      </c>
      <c r="L986" s="14">
        <f>MAX(0,-J986)</f>
        <v/>
      </c>
      <c r="M986" s="14">
        <f>M985+I986</f>
        <v/>
      </c>
      <c r="N986" s="14">
        <f>D986+F986-E986</f>
        <v/>
      </c>
      <c r="O986" s="13" t="inlineStr">
        <is>
          <t>能力超目标：四轮定位上、下</t>
        </is>
      </c>
      <c r="P986" s="13" t="inlineStr">
        <is>
          <t>ST1 引取(开:64043.5s 加:56.0s 等前:6971.5s 等后:0.0s) | ST2 集约(开:64099.5s 加:111.0s 等前:0.0s 等后:0.0s) | ST3 空气悬挂+快充(开:64210.5s 加:108.5s 等前:0.0s 等后:0.0s) | ST4 四轮定位上、下(开:64319.0s 加:120.5s 等前:0.0s 等后:0.0s) | ST5 ADAS(开:64439.5s 加:107.0s 等前:0.0s 等后:0.0s) | ST6 ARHUD+慢充(开:64546.5s 加:51.5s 等前:0.0s 等后:63.0s) | ST7 转毂(开:64661.0s 加:114.5s 等前:0.0s 等后:0.0s) | ST8 制动(开:64775.5s 加:114.0s 等前:0.0s 等后:0.0s) | ST9 EG漏液/底盘漏液(开:64889.5s 加:112.5s 等前:0.0s 等后:0.0s) | ST10 全景/空调检查(开:65002.0s 加:0.0s 等前:0.0s 等后:3.0s) | ST11 气囊安装+绝缘(开:65005.0s 加:116.0s 等前:0.0s 等后:0.0s) | ST12 L2++(开:65121.0s 加:88.0s 等前:0.0s 等后:0.0s) | ST13 电检1(开:65209.0s 加:84.5s 等前:0.0s 等后:16.5s) | ST14 电检2(开:65310.0s 加:97.5s 等前:0.0s 等后:40.5s) | ST15 小跑道(开:65448.0s 加:50.0s 等前:0.0s 等后:0.0s)</t>
        </is>
      </c>
    </row>
    <row r="987">
      <c r="A987" s="15" t="n">
        <v>986</v>
      </c>
      <c r="B987" s="15" t="inlineStr">
        <is>
          <t>Car#987</t>
        </is>
      </c>
      <c r="C987" s="15" t="inlineStr">
        <is>
          <t>A</t>
        </is>
      </c>
      <c r="D987" s="16" t="n">
        <v>64164</v>
      </c>
      <c r="E987" s="16" t="n">
        <v>65549</v>
      </c>
      <c r="F987" s="16" t="n">
        <v>1385</v>
      </c>
      <c r="G987" s="16" t="n">
        <v>7500</v>
      </c>
      <c r="H987" s="15" t="inlineStr">
        <is>
          <t>Car#985</t>
        </is>
      </c>
      <c r="I987" s="16">
        <f>E987-E986</f>
        <v/>
      </c>
      <c r="J987" s="16">
        <f>I987-58</f>
        <v/>
      </c>
      <c r="K987" s="16">
        <f>MAX(0,J987)</f>
        <v/>
      </c>
      <c r="L987" s="16">
        <f>MAX(0,-J987)</f>
        <v/>
      </c>
      <c r="M987" s="16">
        <f>M986+I987</f>
        <v/>
      </c>
      <c r="N987" s="16">
        <f>D987+F987-E987</f>
        <v/>
      </c>
      <c r="O987" s="15" t="inlineStr">
        <is>
          <t>能力满足</t>
        </is>
      </c>
      <c r="P987" s="15" t="inlineStr">
        <is>
          <t>ST1 引取(开:64164.0s 加:55.0s 等前:6976.0s 等后:0.0s) | ST2 集约(开:64219.0s 加:106.0s 等前:0.0s 等后:0.0s) | ST3 空气悬挂+快充(开:64325.0s 加:0.0s 等前:0.0s 等后:114.5s) | ST4 四轮定位上、下(开:64439.5s 加:115.0s 等前:0.0s 等后:0.0s) | ST5 ADAS(开:64554.5s 加:97.0s 等前:0.0s 等后:9.5s) | ST6 ARHUD+慢充(开:64661.0s 加:0.0s 等前:0.0s 等后:114.5s) | ST7 转毂(开:64775.5s 加:116.0s 等前:0.0s 等后:0.0s) | ST8 制动(开:64891.5s 加:108.0s 等前:0.0s 等后:2.5s) | ST9 EG漏液/底盘漏液(开:65002.0s 加:115.0s 等前:0.0s 等后:0.0s) | ST10 全景/空调检查(开:65117.0s 加:98.0s 等前:0.0s 等后:0.0s) | ST11 气囊安装+绝缘(开:65215.0s 加:0.0s 等前:0.0s 等后:0.0s) | ST12 L2++(开:65215.0s 加:0.0s 等前:0.0s 等后:95.0s) | ST13 电检1(开:65310.0s 加:0.0s 等前:0.0s 等后:138.0s) | ST14 电检2(开:65448.0s 加:0.0s 等前:0.0s 等后:50.0s) | ST15 小跑道(开:65498.0s 加:51.0s 等前:0.0s 等后:0.0s)</t>
        </is>
      </c>
    </row>
    <row r="988">
      <c r="A988" s="13" t="n">
        <v>987</v>
      </c>
      <c r="B988" s="13" t="inlineStr">
        <is>
          <t>Car#986</t>
        </is>
      </c>
      <c r="C988" s="13" t="inlineStr">
        <is>
          <t>C</t>
        </is>
      </c>
      <c r="D988" s="14" t="n">
        <v>64099.5</v>
      </c>
      <c r="E988" s="14" t="n">
        <v>65599</v>
      </c>
      <c r="F988" s="14" t="n">
        <v>1499.5</v>
      </c>
      <c r="G988" s="14" t="n">
        <v>7045.5</v>
      </c>
      <c r="H988" s="13" t="inlineStr">
        <is>
          <t>Car#987</t>
        </is>
      </c>
      <c r="I988" s="14">
        <f>E988-E987</f>
        <v/>
      </c>
      <c r="J988" s="14">
        <f>I988-58</f>
        <v/>
      </c>
      <c r="K988" s="14">
        <f>MAX(0,J988)</f>
        <v/>
      </c>
      <c r="L988" s="14">
        <f>MAX(0,-J988)</f>
        <v/>
      </c>
      <c r="M988" s="14">
        <f>M987+I988</f>
        <v/>
      </c>
      <c r="N988" s="14">
        <f>D988+F988-E988</f>
        <v/>
      </c>
      <c r="O988" s="13" t="inlineStr">
        <is>
          <t>能力超目标：四轮定位上、下、ARHUD+慢充</t>
        </is>
      </c>
      <c r="P988" s="13" t="inlineStr">
        <is>
          <t>ST1 引取(开:64099.5s 加:56.0s 等前:6969.5s 等后:8.5s) | ST2 集约(开:64164.0s 加:111.0s 等前:0.0s 等后:22.0s) | ST3 空气悬挂+快充(开:64297.0s 加:108.5s 等前:0.0s 等后:35.0s) | ST4 四轮定位上、下(开:64440.5s 加:120.5s 等前:0.0s 等后:0.0s) | ST5 ADAS(开:64561.0s 加:107.0s 等前:0.0s 等后:3.0s) | ST6 ARHUD+慢充(开:64671.0s 加:143.5s 等前:0.0s 等后:0.0s) | ST7 转毂(开:64814.5s 加:114.5s 等前:0.0s 等后:0.0s) | ST8 制动(开:64929.0s 加:114.0s 等前:0.0s 等后:0.0s) | ST9 EG漏液/底盘漏液(开:65043.0s 加:112.5s 等前:0.0s 等后:0.0s) | ST10 全景/空调检查(开:65155.5s 加:0.0s 等前:0.0s 等后:0.0s) | ST11 气囊安装+绝缘(开:65155.5s 加:116.0s 等前:0.0s 等后:0.0s) | ST12 L2++(开:65271.5s 加:88.0s 等前:0.0s 等后:0.0s) | ST13 电检1(开:65359.5s 加:84.5s 等前:0.0s 等后:0.0s) | ST14 电检2(开:65444.0s 加:97.5s 等前:0.0s 等后:7.5s) | ST15 小跑道(开:65549.0s 加:50.0s 等前:0.0s 等后:0.0s)</t>
        </is>
      </c>
    </row>
    <row r="989">
      <c r="A989" s="15" t="n">
        <v>988</v>
      </c>
      <c r="B989" s="15" t="inlineStr">
        <is>
          <t>Car#989</t>
        </is>
      </c>
      <c r="C989" s="15" t="inlineStr">
        <is>
          <t>C</t>
        </is>
      </c>
      <c r="D989" s="16" t="n">
        <v>64297</v>
      </c>
      <c r="E989" s="16" t="n">
        <v>65720.5</v>
      </c>
      <c r="F989" s="16" t="n">
        <v>1423.5</v>
      </c>
      <c r="G989" s="16" t="n">
        <v>6993</v>
      </c>
      <c r="H989" s="15" t="inlineStr">
        <is>
          <t>Car#986</t>
        </is>
      </c>
      <c r="I989" s="16">
        <f>E989-E988</f>
        <v/>
      </c>
      <c r="J989" s="16">
        <f>I989-58</f>
        <v/>
      </c>
      <c r="K989" s="16">
        <f>MAX(0,J989)</f>
        <v/>
      </c>
      <c r="L989" s="16">
        <f>MAX(0,-J989)</f>
        <v/>
      </c>
      <c r="M989" s="16">
        <f>M988+I989</f>
        <v/>
      </c>
      <c r="N989" s="16">
        <f>D989+F989-E989</f>
        <v/>
      </c>
      <c r="O989" s="15" t="inlineStr">
        <is>
          <t>能力超目标：四轮定位上、下、ARHUD+慢充</t>
        </is>
      </c>
      <c r="P989" s="15" t="inlineStr">
        <is>
          <t>ST1 引取(开:64297.0s 加:56.0s 等前:6993.0s 等后:0.0s) | ST2 集约(开:64353.0s 加:111.0s 等前:0.0s 等后:0.0s) | ST3 空气悬挂+快充(开:64464.0s 加:108.5s 等前:0.0s 等后:0.0s) | ST4 四轮定位上、下(开:64572.5s 加:120.5s 等前:0.0s 等后:0.0s) | ST5 ADAS(开:64693.0s 加:107.0s 等前:0.0s 等后:0.0s) | ST6 ARHUD+慢充(开:64800.0s 加:143.5s 等前:0.0s 等后:0.0s) | ST7 转毂(开:64943.5s 加:114.5s 等前:0.0s 等后:0.0s) | ST8 制动(开:65058.0s 加:114.0s 等前:0.0s 等后:0.0s) | ST9 EG漏液/底盘漏液(开:65172.0s 加:112.5s 等前:0.0s 等后:0.0s) | ST10 全景/空调检查(开:65284.5s 加:0.0s 等前:0.0s 等后:0.0s) | ST11 气囊安装+绝缘(开:65284.5s 加:116.0s 等前:0.0s 等后:0.0s) | ST12 L2++(开:65400.5s 加:88.0s 等前:0.0s 等后:0.0s) | ST13 电检1(开:65488.5s 加:84.5s 等前:0.0s 等后:0.0s) | ST14 电检2(开:65573.0s 加:97.5s 等前:0.0s 等后:0.0s) | ST15 小跑道(开:65670.5s 加:50.0s 等前:0.0s 等后:0.0s)</t>
        </is>
      </c>
    </row>
    <row r="990">
      <c r="A990" s="13" t="n">
        <v>989</v>
      </c>
      <c r="B990" s="13" t="inlineStr">
        <is>
          <t>Car#991</t>
        </is>
      </c>
      <c r="C990" s="13" t="inlineStr">
        <is>
          <t>A</t>
        </is>
      </c>
      <c r="D990" s="14" t="n">
        <v>64440.5</v>
      </c>
      <c r="E990" s="14" t="n">
        <v>65771.5</v>
      </c>
      <c r="F990" s="14" t="n">
        <v>1331</v>
      </c>
      <c r="G990" s="14" t="n">
        <v>7490.5</v>
      </c>
      <c r="H990" s="13" t="inlineStr">
        <is>
          <t>Car#989</t>
        </is>
      </c>
      <c r="I990" s="14">
        <f>E990-E989</f>
        <v/>
      </c>
      <c r="J990" s="14">
        <f>I990-58</f>
        <v/>
      </c>
      <c r="K990" s="14">
        <f>MAX(0,J990)</f>
        <v/>
      </c>
      <c r="L990" s="14">
        <f>MAX(0,-J990)</f>
        <v/>
      </c>
      <c r="M990" s="14">
        <f>M989+I990</f>
        <v/>
      </c>
      <c r="N990" s="14">
        <f>D990+F990-E990</f>
        <v/>
      </c>
      <c r="O990" s="13" t="inlineStr">
        <is>
          <t>能力满足</t>
        </is>
      </c>
      <c r="P990" s="13" t="inlineStr">
        <is>
          <t>ST1 引取(开:64440.5s 加:55.0s 等前:7020.5s 等后:0.0s) | ST2 集约(开:64495.5s 加:106.0s 等前:0.0s 等后:0.0s) | ST3 空气悬挂+快充(开:64601.5s 加:0.0s 等前:0.0s 等后:91.5s) | ST4 四轮定位上、下(开:64693.0s 加:115.0s 等前:0.0s 等后:0.0s) | ST5 ADAS(开:64808.0s 加:97.0s 等前:0.0s 等后:38.5s) | ST6 ARHUD+慢充(开:64943.5s 加:0.0s 等前:0.0s 等后:114.5s) | ST7 转毂(开:65058.0s 加:116.0s 等前:0.0s 等后:0.0s) | ST8 制动(开:65174.0s 加:108.0s 等前:0.0s 等后:2.5s) | ST9 EG漏液/底盘漏液(开:65284.5s 加:115.0s 等前:0.0s 等后:0.0s) | ST10 全景/空调检查(开:65399.5s 加:98.0s 等前:0.0s 等后:0.0s) | ST11 气囊安装+绝缘(开:65497.5s 加:0.0s 等前:0.0s 等后:0.0s) | ST12 L2++(开:65497.5s 加:0.0s 等前:0.0s 等后:75.5s) | ST13 电检1(开:65573.0s 加:0.0s 等前:0.0s 等后:97.5s) | ST14 电检2(开:65670.5s 加:0.0s 等前:0.0s 等后:50.0s) | ST15 小跑道(开:65720.5s 加:51.0s 等前:0.0s 等后:0.0s)</t>
        </is>
      </c>
    </row>
    <row r="991">
      <c r="A991" s="15" t="n">
        <v>990</v>
      </c>
      <c r="B991" s="15" t="inlineStr">
        <is>
          <t>Car#988</t>
        </is>
      </c>
      <c r="C991" s="15" t="inlineStr">
        <is>
          <t>C</t>
        </is>
      </c>
      <c r="D991" s="16" t="n">
        <v>64219</v>
      </c>
      <c r="E991" s="16" t="n">
        <v>65821.5</v>
      </c>
      <c r="F991" s="16" t="n">
        <v>1602.5</v>
      </c>
      <c r="G991" s="16" t="n">
        <v>7152</v>
      </c>
      <c r="H991" s="15" t="inlineStr">
        <is>
          <t>Car#991</t>
        </is>
      </c>
      <c r="I991" s="16">
        <f>E991-E990</f>
        <v/>
      </c>
      <c r="J991" s="16">
        <f>I991-58</f>
        <v/>
      </c>
      <c r="K991" s="16">
        <f>MAX(0,J991)</f>
        <v/>
      </c>
      <c r="L991" s="16">
        <f>MAX(0,-J991)</f>
        <v/>
      </c>
      <c r="M991" s="16">
        <f>M990+I991</f>
        <v/>
      </c>
      <c r="N991" s="16">
        <f>D991+F991-E991</f>
        <v/>
      </c>
      <c r="O991" s="15" t="inlineStr">
        <is>
          <t>能力超目标：四轮定位上、下、ARHUD+慢充</t>
        </is>
      </c>
      <c r="P991" s="15" t="inlineStr">
        <is>
          <t>ST1 引取(开:64219.0s 加:56.0s 等前:6973.0s 等后:22.0s) | ST2 集约(开:64297.0s 加:111.0s 等前:0.0s 等后:32.5s) | ST3 空气悬挂+快充(开:64440.5s 加:108.5s 等前:0.0s 等后:12.0s) | ST4 四轮定位上、下(开:64561.0s 加:120.5s 等前:0.0s 等后:0.0s) | ST5 ADAS(开:64681.5s 加:107.0s 等前:0.0s 等后:26.0s) | ST6 ARHUD+慢充(开:64814.5s 加:143.5s 等前:0.0s 等后:0.0s) | ST7 转毂(开:64958.0s 加:114.5s 等前:0.0s 等后:0.0s) | ST8 制动(开:65072.5s 加:114.0s 等前:0.0s 等后:0.0s) | ST9 EG漏液/底盘漏液(开:65186.5s 加:112.5s 等前:0.0s 等后:0.0s) | ST10 全景/空调检查(开:65299.0s 加:0.0s 等前:0.0s 等后:0.0s) | ST11 气囊安装+绝缘(开:65299.0s 加:116.0s 等前:0.0s 等后:0.0s) | ST12 L2++(开:65415.0s 加:88.0s 等前:0.0s 等后:0.0s) | ST13 电检1(开:65503.0s 加:84.5s 等前:0.0s 等后:0.0s) | ST14 电检2(开:65587.5s 加:97.5s 等前:0.0s 等后:86.5s) | ST15 小跑道(开:65771.5s 加:50.0s 等前:0.0s 等后:0.0s)</t>
        </is>
      </c>
    </row>
    <row r="992">
      <c r="A992" s="13" t="n">
        <v>991</v>
      </c>
      <c r="B992" s="13" t="inlineStr">
        <is>
          <t>Car#990</t>
        </is>
      </c>
      <c r="C992" s="13" t="inlineStr">
        <is>
          <t>A</t>
        </is>
      </c>
      <c r="D992" s="14" t="n">
        <v>64353</v>
      </c>
      <c r="E992" s="14" t="n">
        <v>65872.5</v>
      </c>
      <c r="F992" s="14" t="n">
        <v>1519.5</v>
      </c>
      <c r="G992" s="14" t="n">
        <v>7649.5</v>
      </c>
      <c r="H992" s="13" t="inlineStr">
        <is>
          <t>Car#988</t>
        </is>
      </c>
      <c r="I992" s="14">
        <f>E992-E991</f>
        <v/>
      </c>
      <c r="J992" s="14">
        <f>I992-58</f>
        <v/>
      </c>
      <c r="K992" s="14">
        <f>MAX(0,J992)</f>
        <v/>
      </c>
      <c r="L992" s="14">
        <f>MAX(0,-J992)</f>
        <v/>
      </c>
      <c r="M992" s="14">
        <f>M991+I992</f>
        <v/>
      </c>
      <c r="N992" s="14">
        <f>D992+F992-E992</f>
        <v/>
      </c>
      <c r="O992" s="13" t="inlineStr">
        <is>
          <t>能力满足</t>
        </is>
      </c>
      <c r="P992" s="13" t="inlineStr">
        <is>
          <t>ST1 引取(开:64353.0s 加:55.0s 等前:6991.0s 等后:32.5s) | ST2 集约(开:64440.5s 加:106.0s 等前:0.0s 等后:14.5s) | ST3 空气悬挂+快充(开:64561.0s 加:0.0s 等前:0.0s 等后:120.5s) | ST4 四轮定位上、下(开:64681.5s 加:115.0s 等前:0.0s 等后:18.0s) | ST5 ADAS(开:64814.5s 加:97.0s 等前:0.0s 等后:46.5s) | ST6 ARHUD+慢充(开:64958.0s 加:0.0s 等前:0.0s 等后:114.5s) | ST7 转毂(开:65072.5s 加:116.0s 等前:0.0s 等后:0.0s) | ST8 制动(开:65188.5s 加:108.0s 等前:0.0s 等后:2.5s) | ST9 EG漏液/底盘漏液(开:65299.0s 加:115.0s 等前:0.0s 等后:0.0s) | ST10 全景/空调检查(开:65414.0s 加:98.0s 等前:0.0s 等后:0.0s) | ST11 气囊安装+绝缘(开:65512.0s 加:0.0s 等前:0.0s 等后:0.0s) | ST12 L2++(开:65512.0s 加:0.0s 等前:0.0s 等后:75.5s) | ST13 电检1(开:65587.5s 加:0.0s 等前:0.0s 等后:184.0s) | ST14 电检2(开:65771.5s 加:0.0s 等前:0.0s 等后:50.0s) | ST15 小跑道(开:65821.5s 加:51.0s 等前:0.0s 等后:0.0s)</t>
        </is>
      </c>
    </row>
    <row r="993">
      <c r="A993" s="15" t="n">
        <v>992</v>
      </c>
      <c r="B993" s="15" t="inlineStr">
        <is>
          <t>Car#993</t>
        </is>
      </c>
      <c r="C993" s="15" t="inlineStr">
        <is>
          <t>C</t>
        </is>
      </c>
      <c r="D993" s="16" t="n">
        <v>64561</v>
      </c>
      <c r="E993" s="16" t="n">
        <v>65984.5</v>
      </c>
      <c r="F993" s="16" t="n">
        <v>1423.5</v>
      </c>
      <c r="G993" s="16" t="n">
        <v>7025</v>
      </c>
      <c r="H993" s="15" t="inlineStr">
        <is>
          <t>Car#990</t>
        </is>
      </c>
      <c r="I993" s="16">
        <f>E993-E992</f>
        <v/>
      </c>
      <c r="J993" s="16">
        <f>I993-58</f>
        <v/>
      </c>
      <c r="K993" s="16">
        <f>MAX(0,J993)</f>
        <v/>
      </c>
      <c r="L993" s="16">
        <f>MAX(0,-J993)</f>
        <v/>
      </c>
      <c r="M993" s="16">
        <f>M992+I993</f>
        <v/>
      </c>
      <c r="N993" s="16">
        <f>D993+F993-E993</f>
        <v/>
      </c>
      <c r="O993" s="15" t="inlineStr">
        <is>
          <t>能力超目标：四轮定位上、下、ARHUD+慢充</t>
        </is>
      </c>
      <c r="P993" s="15" t="inlineStr">
        <is>
          <t>ST1 引取(开:64561.0s 加:56.0s 等前:7025.0s 等后:0.0s) | ST2 集约(开:64617.0s 加:111.0s 等前:0.0s 等后:0.0s) | ST3 空气悬挂+快充(开:64728.0s 加:108.5s 等前:0.0s 等后:0.0s) | ST4 四轮定位上、下(开:64836.5s 加:120.5s 等前:0.0s 等后:0.0s) | ST5 ADAS(开:64957.0s 加:107.0s 等前:0.0s 等后:0.0s) | ST6 ARHUD+慢充(开:65064.0s 加:143.5s 等前:0.0s 等后:0.0s) | ST7 转毂(开:65207.5s 加:114.5s 等前:0.0s 等后:0.0s) | ST8 制动(开:65322.0s 加:114.0s 等前:0.0s 等后:0.0s) | ST9 EG漏液/底盘漏液(开:65436.0s 加:112.5s 等前:0.0s 等后:0.0s) | ST10 全景/空调检查(开:65548.5s 加:0.0s 等前:0.0s 等后:0.0s) | ST11 气囊安装+绝缘(开:65548.5s 加:116.0s 等前:0.0s 等后:0.0s) | ST12 L2++(开:65664.5s 加:88.0s 等前:0.0s 等后:0.0s) | ST13 电检1(开:65752.5s 加:84.5s 等前:0.0s 等后:0.0s) | ST14 电检2(开:65837.0s 加:97.5s 等前:0.0s 等后:0.0s) | ST15 小跑道(开:65934.5s 加:50.0s 等前:0.0s 等后:0.0s)</t>
        </is>
      </c>
    </row>
    <row r="994">
      <c r="A994" s="13" t="n">
        <v>993</v>
      </c>
      <c r="B994" s="13" t="inlineStr">
        <is>
          <t>Car#992</t>
        </is>
      </c>
      <c r="C994" s="13" t="inlineStr">
        <is>
          <t>C</t>
        </is>
      </c>
      <c r="D994" s="14" t="n">
        <v>64495.5</v>
      </c>
      <c r="E994" s="14" t="n">
        <v>66034.5</v>
      </c>
      <c r="F994" s="14" t="n">
        <v>1539</v>
      </c>
      <c r="G994" s="14" t="n">
        <v>7133</v>
      </c>
      <c r="H994" s="13" t="inlineStr">
        <is>
          <t>Car#993</t>
        </is>
      </c>
      <c r="I994" s="14">
        <f>E994-E993</f>
        <v/>
      </c>
      <c r="J994" s="14">
        <f>I994-58</f>
        <v/>
      </c>
      <c r="K994" s="14">
        <f>MAX(0,J994)</f>
        <v/>
      </c>
      <c r="L994" s="14">
        <f>MAX(0,-J994)</f>
        <v/>
      </c>
      <c r="M994" s="14">
        <f>M993+I994</f>
        <v/>
      </c>
      <c r="N994" s="14">
        <f>D994+F994-E994</f>
        <v/>
      </c>
      <c r="O994" s="13" t="inlineStr">
        <is>
          <t>能力超目标：四轮定位上、下、ARHUD+慢充</t>
        </is>
      </c>
      <c r="P994" s="13" t="inlineStr">
        <is>
          <t>ST1 引取(开:64495.5s 加:56.0s 等前:7017.5s 等后:9.5s) | ST2 集约(开:64561.0s 加:111.0s 等前:0.0s 等后:9.5s) | ST3 空气悬挂+快充(开:64681.5s 加:108.5s 等前:0.0s 等后:24.5s) | ST4 四轮定位上、下(开:64814.5s 加:120.5s 等前:0.0s 等后:23.0s) | ST5 ADAS(开:64958.0s 加:107.0s 等前:0.0s 等后:7.5s) | ST6 ARHUD+慢充(开:65072.5s 加:143.5s 等前:0.0s 等后:0.0s) | ST7 转毂(开:65216.0s 加:114.5s 等前:0.0s 等后:0.0s) | ST8 制动(开:65330.5s 加:114.0s 等前:0.0s 等后:0.0s) | ST9 EG漏液/底盘漏液(开:65444.5s 加:112.5s 等前:0.0s 等后:0.0s) | ST10 全景/空调检查(开:65557.0s 加:0.0s 等前:0.0s 等后:0.0s) | ST11 气囊安装+绝缘(开:65557.0s 加:116.0s 等前:0.0s 等后:0.0s) | ST12 L2++(开:65673.0s 加:88.0s 等前:0.0s 等后:10.5s) | ST13 电检1(开:65771.5s 加:84.5s 等前:0.0s 等后:0.0s) | ST14 电检2(开:65856.0s 加:97.5s 等前:0.0s 等后:31.0s) | ST15 小跑道(开:65984.5s 加:50.0s 等前:0.0s 等后:0.0s)</t>
        </is>
      </c>
    </row>
    <row r="995">
      <c r="A995" s="15" t="n">
        <v>994</v>
      </c>
      <c r="B995" s="15" t="inlineStr">
        <is>
          <t>Car#995</t>
        </is>
      </c>
      <c r="C995" s="15" t="inlineStr">
        <is>
          <t>B</t>
        </is>
      </c>
      <c r="D995" s="16" t="n">
        <v>64681.5</v>
      </c>
      <c r="E995" s="16" t="n">
        <v>66100.5</v>
      </c>
      <c r="F995" s="16" t="n">
        <v>1419</v>
      </c>
      <c r="G995" s="16" t="n">
        <v>7117</v>
      </c>
      <c r="H995" s="15" t="inlineStr">
        <is>
          <t>Car#992</t>
        </is>
      </c>
      <c r="I995" s="16">
        <f>E995-E994</f>
        <v/>
      </c>
      <c r="J995" s="16">
        <f>I995-58</f>
        <v/>
      </c>
      <c r="K995" s="16">
        <f>MAX(0,J995)</f>
        <v/>
      </c>
      <c r="L995" s="16">
        <f>MAX(0,-J995)</f>
        <v/>
      </c>
      <c r="M995" s="16">
        <f>M994+I995</f>
        <v/>
      </c>
      <c r="N995" s="16">
        <f>D995+F995-E995</f>
        <v/>
      </c>
      <c r="O995" s="15" t="inlineStr">
        <is>
          <t>能力超目标：四轮定位上、下</t>
        </is>
      </c>
      <c r="P995" s="15" t="inlineStr">
        <is>
          <t>ST1 引取(开:64681.5s 加:56.0s 等前:7029.5s 等后:0.0s) | ST2 集约(开:64737.5s 加:111.0s 等前:0.0s 等后:0.0s) | ST3 空气悬挂+快充(开:64848.5s 加:108.5s 等前:0.0s 等后:0.0s) | ST4 四轮定位上、下(开:64957.0s 加:120.5s 等前:0.0s 等后:0.0s) | ST5 ADAS(开:65077.5s 加:107.0s 等前:0.0s 等后:23.0s) | ST6 ARHUD+慢充(开:65207.5s 加:51.5s 等前:0.0s 等后:63.0s) | ST7 转毂(开:65322.0s 加:114.5s 等前:0.0s 等后:0.0s) | ST8 制动(开:65436.5s 加:114.0s 等前:0.0s 等后:0.0s) | ST9 EG漏液/底盘漏液(开:65550.5s 加:112.5s 等前:0.0s 等后:0.0s) | ST10 全景/空调检查(开:65663.0s 加:0.0s 等前:0.0s 等后:1.5s) | ST11 气囊安装+绝缘(开:65664.5s 加:116.0s 等前:0.0s 等后:0.0s) | ST12 L2++(开:65780.5s 加:88.0s 等前:0.0s 等后:0.0s) | ST13 电检1(开:65868.5s 加:84.5s 等前:0.0s 等后:0.0s) | ST14 电检2(开:65953.0s 加:97.5s 等前:0.0s 等后:0.0s) | ST15 小跑道(开:66050.5s 加:50.0s 等前:0.0s 等后:0.0s)</t>
        </is>
      </c>
    </row>
    <row r="996">
      <c r="A996" s="13" t="n">
        <v>995</v>
      </c>
      <c r="B996" s="13" t="inlineStr">
        <is>
          <t>Car#994</t>
        </is>
      </c>
      <c r="C996" s="13" t="inlineStr">
        <is>
          <t>C</t>
        </is>
      </c>
      <c r="D996" s="14" t="n">
        <v>64617</v>
      </c>
      <c r="E996" s="14" t="n">
        <v>66150.5</v>
      </c>
      <c r="F996" s="14" t="n">
        <v>1533.5</v>
      </c>
      <c r="G996" s="14" t="n">
        <v>7133</v>
      </c>
      <c r="H996" s="13" t="inlineStr">
        <is>
          <t>Car#995</t>
        </is>
      </c>
      <c r="I996" s="14">
        <f>E996-E995</f>
        <v/>
      </c>
      <c r="J996" s="14">
        <f>I996-58</f>
        <v/>
      </c>
      <c r="K996" s="14">
        <f>MAX(0,J996)</f>
        <v/>
      </c>
      <c r="L996" s="14">
        <f>MAX(0,-J996)</f>
        <v/>
      </c>
      <c r="M996" s="14">
        <f>M995+I996</f>
        <v/>
      </c>
      <c r="N996" s="14">
        <f>D996+F996-E996</f>
        <v/>
      </c>
      <c r="O996" s="13" t="inlineStr">
        <is>
          <t>能力超目标：四轮定位上、下、ARHUD+慢充</t>
        </is>
      </c>
      <c r="P996" s="13" t="inlineStr">
        <is>
          <t>ST1 引取(开:64617.0s 加:56.0s 等前:7023.0s 等后:8.5s) | ST2 集约(开:64681.5s 加:111.0s 等前:0.0s 等后:22.0s) | ST3 空气悬挂+快充(开:64814.5s 加:108.5s 等前:0.0s 等后:35.0s) | ST4 四轮定位上、下(开:64958.0s 加:120.5s 等前:0.0s 等后:0.0s) | ST5 ADAS(开:65078.5s 加:107.0s 等前:0.0s 等后:30.5s) | ST6 ARHUD+慢充(开:65216.0s 加:143.5s 等前:0.0s 等后:0.0s) | ST7 转毂(开:65359.5s 加:114.5s 等前:0.0s 等后:0.0s) | ST8 制动(开:65474.0s 加:114.0s 等前:0.0s 等后:0.0s) | ST9 EG漏液/底盘漏液(开:65588.0s 加:112.5s 等前:0.0s 等后:0.0s) | ST10 全景/空调检查(开:65700.5s 加:0.0s 等前:0.0s 等后:0.0s) | ST11 气囊安装+绝缘(开:65700.5s 加:116.0s 等前:0.0s 等后:0.0s) | ST12 L2++(开:65816.5s 加:88.0s 等前:0.0s 等后:0.0s) | ST13 电检1(开:65904.5s 加:84.5s 等前:0.0s 等后:0.0s) | ST14 电检2(开:65989.0s 加:97.5s 等前:0.0s 等后:14.0s) | ST15 小跑道(开:66100.5s 加:50.0s 等前:0.0s 等后:0.0s)</t>
        </is>
      </c>
    </row>
    <row r="997">
      <c r="A997" s="15" t="n">
        <v>996</v>
      </c>
      <c r="B997" s="15" t="inlineStr">
        <is>
          <t>Car#997</t>
        </is>
      </c>
      <c r="C997" s="15" t="inlineStr">
        <is>
          <t>B</t>
        </is>
      </c>
      <c r="D997" s="16" t="n">
        <v>64814.5</v>
      </c>
      <c r="E997" s="16" t="n">
        <v>66216.5</v>
      </c>
      <c r="F997" s="16" t="n">
        <v>1402</v>
      </c>
      <c r="G997" s="16" t="n">
        <v>7117</v>
      </c>
      <c r="H997" s="15" t="inlineStr">
        <is>
          <t>Car#994</t>
        </is>
      </c>
      <c r="I997" s="16">
        <f>E997-E996</f>
        <v/>
      </c>
      <c r="J997" s="16">
        <f>I997-58</f>
        <v/>
      </c>
      <c r="K997" s="16">
        <f>MAX(0,J997)</f>
        <v/>
      </c>
      <c r="L997" s="16">
        <f>MAX(0,-J997)</f>
        <v/>
      </c>
      <c r="M997" s="16">
        <f>M996+I997</f>
        <v/>
      </c>
      <c r="N997" s="16">
        <f>D997+F997-E997</f>
        <v/>
      </c>
      <c r="O997" s="15" t="inlineStr">
        <is>
          <t>能力超目标：四轮定位上、下</t>
        </is>
      </c>
      <c r="P997" s="15" t="inlineStr">
        <is>
          <t>ST1 引取(开:64814.5s 加:56.0s 等前:7046.5s 等后:0.0s) | ST2 集约(开:64870.5s 加:111.0s 等前:0.0s 等后:0.0s) | ST3 空气悬挂+快充(开:64981.5s 加:108.5s 等前:0.0s 等后:0.0s) | ST4 四轮定位上、下(开:65090.0s 加:120.5s 等前:0.0s 等后:0.0s) | ST5 ADAS(开:65210.5s 加:107.0s 等前:0.0s 等后:4.5s) | ST6 ARHUD+慢充(开:65322.0s 加:51.5s 等前:0.0s 等后:63.0s) | ST7 转毂(开:65436.5s 加:114.5s 等前:0.0s 等后:0.0s) | ST8 制动(开:65551.0s 加:114.0s 等前:0.0s 等后:0.0s) | ST9 EG漏液/底盘漏液(开:65665.0s 加:112.5s 等前:0.0s 等后:0.0s) | ST10 全景/空调检查(开:65777.5s 加:0.0s 等前:0.0s 等后:3.0s) | ST11 气囊安装+绝缘(开:65780.5s 加:116.0s 等前:0.0s 等后:0.0s) | ST12 L2++(开:65896.5s 加:88.0s 等前:0.0s 等后:0.0s) | ST13 电检1(开:65984.5s 加:84.5s 等前:0.0s 等后:0.0s) | ST14 电检2(开:66069.0s 加:97.5s 等前:0.0s 等后:0.0s) | ST15 小跑道(开:66166.5s 加:50.0s 等前:0.0s 等后:0.0s)</t>
        </is>
      </c>
    </row>
    <row r="998">
      <c r="A998" s="13" t="n">
        <v>997</v>
      </c>
      <c r="B998" s="13" t="inlineStr">
        <is>
          <t>Car#999</t>
        </is>
      </c>
      <c r="C998" s="13" t="inlineStr">
        <is>
          <t>A</t>
        </is>
      </c>
      <c r="D998" s="14" t="n">
        <v>64958</v>
      </c>
      <c r="E998" s="14" t="n">
        <v>66267.5</v>
      </c>
      <c r="F998" s="14" t="n">
        <v>1309.5</v>
      </c>
      <c r="G998" s="14" t="n">
        <v>7522.5</v>
      </c>
      <c r="H998" s="13" t="inlineStr">
        <is>
          <t>Car#997</t>
        </is>
      </c>
      <c r="I998" s="14">
        <f>E998-E997</f>
        <v/>
      </c>
      <c r="J998" s="14">
        <f>I998-58</f>
        <v/>
      </c>
      <c r="K998" s="14">
        <f>MAX(0,J998)</f>
        <v/>
      </c>
      <c r="L998" s="14">
        <f>MAX(0,-J998)</f>
        <v/>
      </c>
      <c r="M998" s="14">
        <f>M997+I998</f>
        <v/>
      </c>
      <c r="N998" s="14">
        <f>D998+F998-E998</f>
        <v/>
      </c>
      <c r="O998" s="13" t="inlineStr">
        <is>
          <t>能力满足</t>
        </is>
      </c>
      <c r="P998" s="13" t="inlineStr">
        <is>
          <t>ST1 引取(开:64958.0s 加:55.0s 等前:7074.0s 等后:0.0s) | ST2 集约(开:65013.0s 加:106.0s 等前:0.0s 等后:0.0s) | ST3 空气悬挂+快充(开:65119.0s 加:0.0s 等前:0.0s 等后:91.5s) | ST4 四轮定位上、下(开:65210.5s 加:115.0s 等前:0.0s 等后:0.0s) | ST5 ADAS(开:65325.5s 加:97.0s 等前:0.0s 等后:14.0s) | ST6 ARHUD+慢充(开:65436.5s 加:0.0s 等前:0.0s 等后:114.5s) | ST7 转毂(开:65551.0s 加:116.0s 等前:0.0s 等后:0.0s) | ST8 制动(开:65667.0s 加:108.0s 等前:0.0s 等后:2.5s) | ST9 EG漏液/底盘漏液(开:65777.5s 加:115.0s 等前:0.0s 等后:0.0s) | ST10 全景/空调检查(开:65892.5s 加:98.0s 等前:0.0s 等后:0.0s) | ST11 气囊安装+绝缘(开:65990.5s 加:0.0s 等前:0.0s 等后:0.0s) | ST12 L2++(开:65990.5s 加:0.0s 等前:0.0s 等后:78.5s) | ST13 电检1(开:66069.0s 加:0.0s 等前:0.0s 等后:97.5s) | ST14 电检2(开:66166.5s 加:0.0s 等前:0.0s 等后:50.0s) | ST15 小跑道(开:66216.5s 加:51.0s 等前:0.0s 等后:0.0s)</t>
        </is>
      </c>
    </row>
    <row r="999">
      <c r="A999" s="15" t="n">
        <v>998</v>
      </c>
      <c r="B999" s="15" t="inlineStr">
        <is>
          <t>Car#996</t>
        </is>
      </c>
      <c r="C999" s="15" t="inlineStr">
        <is>
          <t>B</t>
        </is>
      </c>
      <c r="D999" s="16" t="n">
        <v>64737.5</v>
      </c>
      <c r="E999" s="16" t="n">
        <v>66317.5</v>
      </c>
      <c r="F999" s="16" t="n">
        <v>1580</v>
      </c>
      <c r="G999" s="16" t="n">
        <v>7276</v>
      </c>
      <c r="H999" s="15" t="inlineStr">
        <is>
          <t>Car#999</t>
        </is>
      </c>
      <c r="I999" s="16">
        <f>E999-E998</f>
        <v/>
      </c>
      <c r="J999" s="16">
        <f>I999-58</f>
        <v/>
      </c>
      <c r="K999" s="16">
        <f>MAX(0,J999)</f>
        <v/>
      </c>
      <c r="L999" s="16">
        <f>MAX(0,-J999)</f>
        <v/>
      </c>
      <c r="M999" s="16">
        <f>M998+I999</f>
        <v/>
      </c>
      <c r="N999" s="16">
        <f>D999+F999-E999</f>
        <v/>
      </c>
      <c r="O999" s="15" t="inlineStr">
        <is>
          <t>能力超目标：四轮定位上、下</t>
        </is>
      </c>
      <c r="P999" s="15" t="inlineStr">
        <is>
          <t>ST1 引取(开:64737.5s 加:56.0s 等前:7027.5s 等后:21.0s) | ST2 集约(开:64814.5s 加:111.0s 等前:0.0s 等后:32.5s) | ST3 空气悬挂+快充(开:64958.0s 加:108.5s 等前:0.0s 等后:12.0s) | ST4 四轮定位上、下(开:65078.5s 加:120.5s 等前:0.0s 等后:17.0s) | ST5 ADAS(开:65216.0s 加:107.0s 等前:0.0s 等后:36.5s) | ST6 ARHUD+慢充(开:65359.5s 加:51.5s 等前:0.0s 等后:63.0s) | ST7 转毂(开:65474.0s 加:114.5s 等前:0.0s 等后:0.0s) | ST8 制动(开:65588.5s 加:114.0s 等前:0.0s 等后:0.0s) | ST9 EG漏液/底盘漏液(开:65702.5s 加:112.5s 等前:0.0s 等后:0.0s) | ST10 全景/空调检查(开:65815.0s 加:0.0s 等前:0.0s 等后:1.5s) | ST11 气囊安装+绝缘(开:65816.5s 加:116.0s 等前:0.0s 等后:0.0s) | ST12 L2++(开:65932.5s 加:88.0s 等前:0.0s 等后:0.0s) | ST13 电检1(开:66020.5s 加:84.5s 等前:0.0s 等后:0.0s) | ST14 电检2(开:66105.0s 加:97.5s 等前:0.0s 等后:65.0s) | ST15 小跑道(开:66267.5s 加:50.0s 等前:0.0s 等后:0.0s)</t>
        </is>
      </c>
    </row>
    <row r="1000">
      <c r="A1000" s="13" t="n">
        <v>999</v>
      </c>
      <c r="B1000" s="13" t="inlineStr">
        <is>
          <t>Car#998</t>
        </is>
      </c>
      <c r="C1000" s="13" t="inlineStr">
        <is>
          <t>C</t>
        </is>
      </c>
      <c r="D1000" s="14" t="n">
        <v>64870.5</v>
      </c>
      <c r="E1000" s="14" t="n">
        <v>66415</v>
      </c>
      <c r="F1000" s="14" t="n">
        <v>1544.5</v>
      </c>
      <c r="G1000" s="14" t="n">
        <v>7165.5</v>
      </c>
      <c r="H1000" s="13" t="inlineStr">
        <is>
          <t>Car#996</t>
        </is>
      </c>
      <c r="I1000" s="14">
        <f>E1000-E999</f>
        <v/>
      </c>
      <c r="J1000" s="14">
        <f>I1000-58</f>
        <v/>
      </c>
      <c r="K1000" s="14">
        <f>MAX(0,J1000)</f>
        <v/>
      </c>
      <c r="L1000" s="14">
        <f>MAX(0,-J1000)</f>
        <v/>
      </c>
      <c r="M1000" s="14">
        <f>M999+I1000</f>
        <v/>
      </c>
      <c r="N1000" s="14">
        <f>D1000+F1000-E1000</f>
        <v/>
      </c>
      <c r="O1000" s="13" t="inlineStr">
        <is>
          <t>能力超目标：四轮定位上、下、ARHUD+慢充</t>
        </is>
      </c>
      <c r="P1000" s="13" t="inlineStr">
        <is>
          <t>ST1 引取(开:64870.5s 加:56.0s 等前:7044.5s 等后:31.5s) | ST2 集约(开:64958.0s 加:111.0s 等前:0.0s 等后:9.5s) | ST3 空气悬挂+快充(开:65078.5s 加:108.5s 等前:0.0s 等后:29.0s) | ST4 四轮定位上、下(开:65216.0s 加:120.5s 等前:0.0s 等后:23.0s) | ST5 ADAS(开:65359.5s 加:107.0s 等前:0.0s 等后:7.5s) | ST6 ARHUD+慢充(开:65474.0s 加:143.5s 等前:0.0s 等后:0.0s) | ST7 转毂(开:65617.5s 加:114.5s 等前:0.0s 等后:0.0s) | ST8 制动(开:65732.0s 加:114.0s 等前:0.0s 等后:0.0s) | ST9 EG漏液/底盘漏液(开:65846.0s 加:112.5s 等前:0.0s 等后:0.0s) | ST10 全景/空调检查(开:65958.5s 加:0.0s 等前:0.0s 等后:0.0s) | ST11 气囊安装+绝缘(开:65958.5s 加:116.0s 等前:0.0s 等后:0.0s) | ST12 L2++(开:66074.5s 加:88.0s 等前:0.0s 等后:0.0s) | ST13 电检1(开:66162.5s 加:84.5s 等前:0.0s 等后:20.5s) | ST14 电检2(开:66267.5s 加:97.5s 等前:0.0s 等后:0.0s) | ST15 小跑道(开:66365.0s 加:50.0s 等前:0.0s 等后:0.0s)</t>
        </is>
      </c>
    </row>
    <row r="1001">
      <c r="A1001" s="15" t="n">
        <v>1000</v>
      </c>
      <c r="B1001" s="15" t="inlineStr">
        <is>
          <t>Car#1001</t>
        </is>
      </c>
      <c r="C1001" s="15" t="inlineStr">
        <is>
          <t>C</t>
        </is>
      </c>
      <c r="D1001" s="16" t="n">
        <v>65078.5</v>
      </c>
      <c r="E1001" s="16" t="n">
        <v>66502</v>
      </c>
      <c r="F1001" s="16" t="n">
        <v>1423.5</v>
      </c>
      <c r="G1001" s="16" t="n">
        <v>7078.5</v>
      </c>
      <c r="H1001" s="15" t="inlineStr">
        <is>
          <t>Car#998</t>
        </is>
      </c>
      <c r="I1001" s="16">
        <f>E1001-E1000</f>
        <v/>
      </c>
      <c r="J1001" s="16">
        <f>I1001-58</f>
        <v/>
      </c>
      <c r="K1001" s="16">
        <f>MAX(0,J1001)</f>
        <v/>
      </c>
      <c r="L1001" s="16">
        <f>MAX(0,-J1001)</f>
        <v/>
      </c>
      <c r="M1001" s="16">
        <f>M1000+I1001</f>
        <v/>
      </c>
      <c r="N1001" s="16">
        <f>D1001+F1001-E1001</f>
        <v/>
      </c>
      <c r="O1001" s="15" t="inlineStr">
        <is>
          <t>能力超目标：四轮定位上、下、ARHUD+慢充</t>
        </is>
      </c>
      <c r="P1001" s="15" t="inlineStr">
        <is>
          <t>ST1 引取(开:65078.5s 加:56.0s 等前:7078.5s 等后:0.0s) | ST2 集约(开:65134.5s 加:111.0s 等前:0.0s 等后:0.0s) | ST3 空气悬挂+快充(开:65245.5s 加:108.5s 等前:0.0s 等后:0.0s) | ST4 四轮定位上、下(开:65354.0s 加:120.5s 等前:0.0s 等后:0.0s) | ST5 ADAS(开:65474.5s 加:107.0s 等前:0.0s 等后:0.0s) | ST6 ARHUD+慢充(开:65581.5s 加:143.5s 等前:0.0s 等后:0.0s) | ST7 转毂(开:65725.0s 加:114.5s 等前:0.0s 等后:0.0s) | ST8 制动(开:65839.5s 加:114.0s 等前:0.0s 等后:0.0s) | ST9 EG漏液/底盘漏液(开:65953.5s 加:112.5s 等前:0.0s 等后:0.0s) | ST10 全景/空调检查(开:66066.0s 加:0.0s 等前:0.0s 等后:0.0s) | ST11 气囊安装+绝缘(开:66066.0s 加:116.0s 等前:0.0s 等后:0.0s) | ST12 L2++(开:66182.0s 加:88.0s 等前:0.0s 等后:0.0s) | ST13 电检1(开:66270.0s 加:84.5s 等前:0.0s 等后:0.0s) | ST14 电检2(开:66354.5s 加:97.5s 等前:0.0s 等后:0.0s) | ST15 小跑道(开:66452.0s 加:50.0s 等前:0.0s 等后:0.0s)</t>
        </is>
      </c>
    </row>
    <row r="1002">
      <c r="A1002" s="13" t="n">
        <v>1001</v>
      </c>
      <c r="B1002" s="13" t="inlineStr">
        <is>
          <t>Car#1003</t>
        </is>
      </c>
      <c r="C1002" s="13" t="inlineStr">
        <is>
          <t>A</t>
        </is>
      </c>
      <c r="D1002" s="14" t="n">
        <v>65216</v>
      </c>
      <c r="E1002" s="14" t="n">
        <v>66553</v>
      </c>
      <c r="F1002" s="14" t="n">
        <v>1337</v>
      </c>
      <c r="G1002" s="14" t="n">
        <v>7576</v>
      </c>
      <c r="H1002" s="13" t="inlineStr">
        <is>
          <t>Car#1001</t>
        </is>
      </c>
      <c r="I1002" s="14">
        <f>E1002-E1001</f>
        <v/>
      </c>
      <c r="J1002" s="14">
        <f>I1002-58</f>
        <v/>
      </c>
      <c r="K1002" s="14">
        <f>MAX(0,J1002)</f>
        <v/>
      </c>
      <c r="L1002" s="14">
        <f>MAX(0,-J1002)</f>
        <v/>
      </c>
      <c r="M1002" s="14">
        <f>M1001+I1002</f>
        <v/>
      </c>
      <c r="N1002" s="14">
        <f>D1002+F1002-E1002</f>
        <v/>
      </c>
      <c r="O1002" s="13" t="inlineStr">
        <is>
          <t>能力满足</t>
        </is>
      </c>
      <c r="P1002" s="13" t="inlineStr">
        <is>
          <t>ST1 引取(开:65216.0s 加:55.0s 等前:7100.0s 等后:0.0s) | ST2 集约(开:65271.0s 加:106.0s 等前:0.0s 等后:0.0s) | ST3 空气悬挂+快充(开:65377.0s 加:0.0s 等前:0.0s 等后:97.5s) | ST4 四轮定位上、下(开:65474.5s 加:115.0s 等前:0.0s 等后:0.0s) | ST5 ADAS(开:65589.5s 加:97.0s 等前:0.0s 等后:38.5s) | ST6 ARHUD+慢充(开:65725.0s 加:0.0s 等前:0.0s 等后:114.5s) | ST7 转毂(开:65839.5s 加:116.0s 等前:0.0s 等后:0.0s) | ST8 制动(开:65955.5s 加:108.0s 等前:0.0s 等后:2.5s) | ST9 EG漏液/底盘漏液(开:66066.0s 加:115.0s 等前:0.0s 等后:0.0s) | ST10 全景/空调检查(开:66181.0s 加:98.0s 等前:0.0s 等后:0.0s) | ST11 气囊安装+绝缘(开:66279.0s 加:0.0s 等前:0.0s 等后:0.0s) | ST12 L2++(开:66279.0s 加:0.0s 等前:0.0s 等后:75.5s) | ST13 电检1(开:66354.5s 加:0.0s 等前:0.0s 等后:97.5s) | ST14 电检2(开:66452.0s 加:0.0s 等前:0.0s 等后:50.0s) | ST15 小跑道(开:66502.0s 加:51.0s 等前:0.0s 等后:0.0s)</t>
        </is>
      </c>
    </row>
    <row r="1003">
      <c r="A1003" s="15" t="n">
        <v>1002</v>
      </c>
      <c r="B1003" s="15" t="inlineStr">
        <is>
          <t>Car#1000</t>
        </is>
      </c>
      <c r="C1003" s="15" t="inlineStr">
        <is>
          <t>C</t>
        </is>
      </c>
      <c r="D1003" s="16" t="n">
        <v>65013</v>
      </c>
      <c r="E1003" s="16" t="n">
        <v>66603</v>
      </c>
      <c r="F1003" s="16" t="n">
        <v>1590</v>
      </c>
      <c r="G1003" s="16" t="n">
        <v>7237.5</v>
      </c>
      <c r="H1003" s="15" t="inlineStr">
        <is>
          <t>Car#1003</t>
        </is>
      </c>
      <c r="I1003" s="16">
        <f>E1003-E1002</f>
        <v/>
      </c>
      <c r="J1003" s="16">
        <f>I1003-58</f>
        <v/>
      </c>
      <c r="K1003" s="16">
        <f>MAX(0,J1003)</f>
        <v/>
      </c>
      <c r="L1003" s="16">
        <f>MAX(0,-J1003)</f>
        <v/>
      </c>
      <c r="M1003" s="16">
        <f>M1002+I1003</f>
        <v/>
      </c>
      <c r="N1003" s="16">
        <f>D1003+F1003-E1003</f>
        <v/>
      </c>
      <c r="O1003" s="15" t="inlineStr">
        <is>
          <t>能力超目标：四轮定位上、下、ARHUD+慢充</t>
        </is>
      </c>
      <c r="P1003" s="15" t="inlineStr">
        <is>
          <t>ST1 引取(开:65013.0s 加:56.0s 等前:7071.0s 等后:9.5s) | ST2 集约(开:65078.5s 加:111.0s 等前:0.0s 等后:26.5s) | ST3 空气悬挂+快充(开:65216.0s 加:108.5s 等前:0.0s 等后:35.0s) | ST4 四轮定位上、下(开:65359.5s 加:120.5s 等前:0.0s 等后:0.0s) | ST5 ADAS(开:65480.0s 加:107.0s 等前:0.0s 等后:30.5s) | ST6 ARHUD+慢充(开:65617.5s 加:143.5s 等前:0.0s 等后:0.0s) | ST7 转毂(开:65761.0s 加:114.5s 等前:0.0s 等后:0.0s) | ST8 制动(开:65875.5s 加:114.0s 等前:0.0s 等后:0.0s) | ST9 EG漏液/底盘漏液(开:65989.5s 加:112.5s 等前:0.0s 等后:0.0s) | ST10 全景/空调检查(开:66102.0s 加:0.0s 等前:0.0s 等后:0.0s) | ST11 气囊安装+绝缘(开:66102.0s 加:116.0s 等前:0.0s 等后:0.0s) | ST12 L2++(开:66218.0s 加:88.0s 等前:0.0s 等后:0.0s) | ST13 电检1(开:66306.0s 加:84.5s 等前:0.0s 等后:0.0s) | ST14 电检2(开:66390.5s 加:97.5s 等前:0.0s 等后:65.0s) | ST15 小跑道(开:66553.0s 加:50.0s 等前:0.0s 等后:0.0s)</t>
        </is>
      </c>
    </row>
    <row r="1004">
      <c r="A1004" s="13" t="n">
        <v>1003</v>
      </c>
      <c r="B1004" s="13" t="inlineStr">
        <is>
          <t>Car#1005</t>
        </is>
      </c>
      <c r="C1004" s="13" t="inlineStr">
        <is>
          <t>A</t>
        </is>
      </c>
      <c r="D1004" s="14" t="n">
        <v>65359.5</v>
      </c>
      <c r="E1004" s="14" t="n">
        <v>66654</v>
      </c>
      <c r="F1004" s="14" t="n">
        <v>1294.5</v>
      </c>
      <c r="G1004" s="14" t="n">
        <v>7561</v>
      </c>
      <c r="H1004" s="13" t="inlineStr">
        <is>
          <t>Car#1000</t>
        </is>
      </c>
      <c r="I1004" s="14">
        <f>E1004-E1003</f>
        <v/>
      </c>
      <c r="J1004" s="14">
        <f>I1004-58</f>
        <v/>
      </c>
      <c r="K1004" s="14">
        <f>MAX(0,J1004)</f>
        <v/>
      </c>
      <c r="L1004" s="14">
        <f>MAX(0,-J1004)</f>
        <v/>
      </c>
      <c r="M1004" s="14">
        <f>M1003+I1004</f>
        <v/>
      </c>
      <c r="N1004" s="14">
        <f>D1004+F1004-E1004</f>
        <v/>
      </c>
      <c r="O1004" s="13" t="inlineStr">
        <is>
          <t>能力满足</t>
        </is>
      </c>
      <c r="P1004" s="13" t="inlineStr">
        <is>
          <t>ST1 引取(开:65359.5s 加:55.0s 等前:7127.5s 等后:0.0s) | ST2 集约(开:65414.5s 加:106.0s 等前:0.0s 等后:0.0s) | ST3 空气悬挂+快充(开:65520.5s 加:0.0s 等前:0.0s 等后:69.0s) | ST4 四轮定位上、下(开:65589.5s 加:115.0s 等前:0.0s 等后:20.5s) | ST5 ADAS(开:65725.0s 加:97.0s 等前:0.0s 等后:17.5s) | ST6 ARHUD+慢充(开:65839.5s 加:0.0s 等前:0.0s 等后:116.0s) | ST7 转毂(开:65955.5s 加:116.0s 等前:0.0s 等后:0.0s) | ST8 制动(开:66071.5s 加:108.0s 等前:0.0s 等后:1.5s) | ST9 EG漏液/底盘漏液(开:66181.0s 加:115.0s 等前:0.0s 等后:0.0s) | ST10 全景/空调检查(开:66296.0s 加:98.0s 等前:0.0s 等后:0.0s) | ST11 气囊安装+绝缘(开:66394.0s 加:0.0s 等前:0.0s 等后:0.0s) | ST12 L2++(开:66394.0s 加:0.0s 等前:0.0s 等后:58.0s) | ST13 电检1(开:66452.0s 加:0.0s 等前:0.0s 等后:50.0s) | ST14 电检2(开:66502.0s 加:0.0s 等前:0.0s 等后:101.0s) | ST15 小跑道(开:66603.0s 加:51.0s 等前:0.0s 等后:0.0s)</t>
        </is>
      </c>
    </row>
    <row r="1005">
      <c r="A1005" s="15" t="n">
        <v>1004</v>
      </c>
      <c r="B1005" s="15" t="inlineStr">
        <is>
          <t>Car#1002</t>
        </is>
      </c>
      <c r="C1005" s="15" t="inlineStr">
        <is>
          <t>C</t>
        </is>
      </c>
      <c r="D1005" s="16" t="n">
        <v>65134.5</v>
      </c>
      <c r="E1005" s="16" t="n">
        <v>66704</v>
      </c>
      <c r="F1005" s="16" t="n">
        <v>1569.5</v>
      </c>
      <c r="G1005" s="16" t="n">
        <v>7222.5</v>
      </c>
      <c r="H1005" s="15" t="inlineStr">
        <is>
          <t>Car#1005</t>
        </is>
      </c>
      <c r="I1005" s="16">
        <f>E1005-E1004</f>
        <v/>
      </c>
      <c r="J1005" s="16">
        <f>I1005-58</f>
        <v/>
      </c>
      <c r="K1005" s="16">
        <f>MAX(0,J1005)</f>
        <v/>
      </c>
      <c r="L1005" s="16">
        <f>MAX(0,-J1005)</f>
        <v/>
      </c>
      <c r="M1005" s="16">
        <f>M1004+I1005</f>
        <v/>
      </c>
      <c r="N1005" s="16">
        <f>D1005+F1005-E1005</f>
        <v/>
      </c>
      <c r="O1005" s="15" t="inlineStr">
        <is>
          <t>能力超目标：四轮定位上、下、ARHUD+慢充</t>
        </is>
      </c>
      <c r="P1005" s="15" t="inlineStr">
        <is>
          <t>ST1 引取(开:65134.5s 加:56.0s 等前:7076.5s 等后:25.5s) | ST2 集约(开:65216.0s 加:111.0s 等前:0.0s 等后:32.5s) | ST3 空气悬挂+快充(开:65359.5s 加:108.5s 等前:0.0s 等后:12.0s) | ST4 四轮定位上、下(开:65480.0s 加:120.5s 等前:0.0s 等后:17.0s) | ST5 ADAS(开:65617.5s 加:107.0s 等前:0.0s 等后:36.5s) | ST6 ARHUD+慢充(开:65761.0s 加:143.5s 等前:0.0s 等后:0.0s) | ST7 转毂(开:65904.5s 加:114.5s 等前:0.0s 等后:0.0s) | ST8 制动(开:66019.0s 加:114.0s 等前:0.0s 等后:0.0s) | ST9 EG漏液/底盘漏液(开:66133.0s 加:112.5s 等前:0.0s 等后:0.0s) | ST10 全景/空调检查(开:66245.5s 加:0.0s 等前:0.0s 等后:0.0s) | ST11 气囊安装+绝缘(开:66245.5s 加:116.0s 等前:0.0s 等后:0.0s) | ST12 L2++(开:66361.5s 加:88.0s 等前:0.0s 等后:0.0s) | ST13 电检1(开:66449.5s 加:84.5s 等前:0.0s 等后:19.0s) | ST14 电检2(开:66553.0s 加:97.5s 等前:0.0s 等后:3.5s) | ST15 小跑道(开:66654.0s 加:50.0s 等前:0.0s 等后:0.0s)</t>
        </is>
      </c>
    </row>
    <row r="1006">
      <c r="A1006" s="13" t="n">
        <v>1005</v>
      </c>
      <c r="B1006" s="13" t="inlineStr">
        <is>
          <t>Car#1004</t>
        </is>
      </c>
      <c r="C1006" s="13" t="inlineStr">
        <is>
          <t>A</t>
        </is>
      </c>
      <c r="D1006" s="14" t="n">
        <v>65271</v>
      </c>
      <c r="E1006" s="14" t="n">
        <v>66755</v>
      </c>
      <c r="F1006" s="14" t="n">
        <v>1484</v>
      </c>
      <c r="G1006" s="14" t="n">
        <v>7720</v>
      </c>
      <c r="H1006" s="13" t="inlineStr">
        <is>
          <t>Car#1002</t>
        </is>
      </c>
      <c r="I1006" s="14">
        <f>E1006-E1005</f>
        <v/>
      </c>
      <c r="J1006" s="14">
        <f>I1006-58</f>
        <v/>
      </c>
      <c r="K1006" s="14">
        <f>MAX(0,J1006)</f>
        <v/>
      </c>
      <c r="L1006" s="14">
        <f>MAX(0,-J1006)</f>
        <v/>
      </c>
      <c r="M1006" s="14">
        <f>M1005+I1006</f>
        <v/>
      </c>
      <c r="N1006" s="14">
        <f>D1006+F1006-E1006</f>
        <v/>
      </c>
      <c r="O1006" s="13" t="inlineStr">
        <is>
          <t>能力满足</t>
        </is>
      </c>
      <c r="P1006" s="13" t="inlineStr">
        <is>
          <t>ST1 引取(开:65271.0s 加:55.0s 等前:7097.0s 等后:33.5s) | ST2 集约(开:65359.5s 加:106.0s 等前:0.0s 等后:14.5s) | ST3 空气悬挂+快充(开:65480.0s 加:0.0s 等前:0.0s 等后:137.5s) | ST4 四轮定位上、下(开:65617.5s 加:115.0s 等前:0.0s 等后:28.5s) | ST5 ADAS(开:65761.0s 加:97.0s 等前:0.0s 等后:46.5s) | ST6 ARHUD+慢充(开:65904.5s 加:0.0s 等前:0.0s 等后:114.5s) | ST7 转毂(开:66019.0s 加:116.0s 等前:0.0s 等后:0.0s) | ST8 制动(开:66135.0s 加:108.0s 等前:0.0s 等后:2.5s) | ST9 EG漏液/底盘漏液(开:66245.5s 加:115.0s 等前:0.0s 等后:0.0s) | ST10 全景/空调检查(开:66360.5s 加:98.0s 等前:0.0s 等后:0.0s) | ST11 气囊安装+绝缘(开:66458.5s 加:0.0s 等前:0.0s 等后:0.0s) | ST12 L2++(开:66458.5s 加:0.0s 等前:0.0s 等后:94.5s) | ST13 电检1(开:66553.0s 加:0.0s 等前:0.0s 等后:101.0s) | ST14 电检2(开:66654.0s 加:0.0s 等前:0.0s 等后:50.0s) | ST15 小跑道(开:66704.0s 加:51.0s 等前:0.0s 等后:0.0s)</t>
        </is>
      </c>
    </row>
    <row r="1007">
      <c r="A1007" s="15" t="n">
        <v>1006</v>
      </c>
      <c r="B1007" s="15" t="inlineStr">
        <is>
          <t>Car#1007</t>
        </is>
      </c>
      <c r="C1007" s="15" t="inlineStr">
        <is>
          <t>C</t>
        </is>
      </c>
      <c r="D1007" s="16" t="n">
        <v>65480</v>
      </c>
      <c r="E1007" s="16" t="n">
        <v>66903.5</v>
      </c>
      <c r="F1007" s="16" t="n">
        <v>1423.5</v>
      </c>
      <c r="G1007" s="16" t="n">
        <v>7132</v>
      </c>
      <c r="H1007" s="15" t="inlineStr">
        <is>
          <t>Car#1004</t>
        </is>
      </c>
      <c r="I1007" s="16">
        <f>E1007-E1006</f>
        <v/>
      </c>
      <c r="J1007" s="16">
        <f>I1007-58</f>
        <v/>
      </c>
      <c r="K1007" s="16">
        <f>MAX(0,J1007)</f>
        <v/>
      </c>
      <c r="L1007" s="16">
        <f>MAX(0,-J1007)</f>
        <v/>
      </c>
      <c r="M1007" s="16">
        <f>M1006+I1007</f>
        <v/>
      </c>
      <c r="N1007" s="16">
        <f>D1007+F1007-E1007</f>
        <v/>
      </c>
      <c r="O1007" s="15" t="inlineStr">
        <is>
          <t>能力超目标：四轮定位上、下、ARHUD+慢充</t>
        </is>
      </c>
      <c r="P1007" s="15" t="inlineStr">
        <is>
          <t>ST1 引取(开:65480.0s 加:56.0s 等前:7132.0s 等后:0.0s) | ST2 集约(开:65536.0s 加:111.0s 等前:0.0s 等后:0.0s) | ST3 空气悬挂+快充(开:65647.0s 加:108.5s 等前:0.0s 等后:0.0s) | ST4 四轮定位上、下(开:65755.5s 加:120.5s 等前:0.0s 等后:0.0s) | ST5 ADAS(开:65876.0s 加:107.0s 等前:0.0s 等后:0.0s) | ST6 ARHUD+慢充(开:65983.0s 加:143.5s 等前:0.0s 等后:0.0s) | ST7 转毂(开:66126.5s 加:114.5s 等前:0.0s 等后:0.0s) | ST8 制动(开:66241.0s 加:114.0s 等前:0.0s 等后:0.0s) | ST9 EG漏液/底盘漏液(开:66355.0s 加:112.5s 等前:0.0s 等后:0.0s) | ST10 全景/空调检查(开:66467.5s 加:0.0s 等前:0.0s 等后:0.0s) | ST11 气囊安装+绝缘(开:66467.5s 加:116.0s 等前:0.0s 等后:0.0s) | ST12 L2++(开:66583.5s 加:88.0s 等前:0.0s 等后:0.0s) | ST13 电检1(开:66671.5s 加:84.5s 等前:0.0s 等后:0.0s) | ST14 电检2(开:66756.0s 加:97.5s 等前:0.0s 等后:0.0s) | ST15 小跑道(开:66853.5s 加:50.0s 等前:0.0s 等后:0.0s)</t>
        </is>
      </c>
    </row>
    <row r="1008">
      <c r="A1008" s="13" t="n">
        <v>1007</v>
      </c>
      <c r="B1008" s="13" t="inlineStr">
        <is>
          <t>Car#1006</t>
        </is>
      </c>
      <c r="C1008" s="13" t="inlineStr">
        <is>
          <t>B</t>
        </is>
      </c>
      <c r="D1008" s="14" t="n">
        <v>65414.5</v>
      </c>
      <c r="E1008" s="14" t="n">
        <v>66953.5</v>
      </c>
      <c r="F1008" s="14" t="n">
        <v>1539</v>
      </c>
      <c r="G1008" s="14" t="n">
        <v>7332</v>
      </c>
      <c r="H1008" s="13" t="inlineStr">
        <is>
          <t>Car#1007</t>
        </is>
      </c>
      <c r="I1008" s="14">
        <f>E1008-E1007</f>
        <v/>
      </c>
      <c r="J1008" s="14">
        <f>I1008-58</f>
        <v/>
      </c>
      <c r="K1008" s="14">
        <f>MAX(0,J1008)</f>
        <v/>
      </c>
      <c r="L1008" s="14">
        <f>MAX(0,-J1008)</f>
        <v/>
      </c>
      <c r="M1008" s="14">
        <f>M1007+I1008</f>
        <v/>
      </c>
      <c r="N1008" s="14">
        <f>D1008+F1008-E1008</f>
        <v/>
      </c>
      <c r="O1008" s="13" t="inlineStr">
        <is>
          <t>能力超目标：四轮定位上、下</t>
        </is>
      </c>
      <c r="P1008" s="13" t="inlineStr">
        <is>
          <t>ST1 引取(开:65414.5s 加:56.0s 等前:7124.5s 等后:9.5s) | ST2 集约(开:65480.0s 加:111.0s 等前:0.0s 等后:26.5s) | ST3 空气悬挂+快充(开:65617.5s 加:108.5s 等前:0.0s 等后:35.0s) | ST4 四轮定位上、下(开:65761.0s 加:120.5s 等前:0.0s 等后:23.0s) | ST5 ADAS(开:65904.5s 加:107.0s 等前:0.0s 等后:7.5s) | ST6 ARHUD+慢充(开:66019.0s 加:51.5s 等前:0.0s 等后:64.5s) | ST7 转毂(开:66135.0s 加:114.5s 等前:0.0s 等后:0.0s) | ST8 制动(开:66249.5s 加:114.0s 等前:0.0s 等后:0.0s) | ST9 EG漏液/底盘漏液(开:66363.5s 加:112.5s 等前:0.0s 等后:0.0s) | ST10 全景/空调检查(开:66476.0s 加:0.0s 等前:0.0s 等后:0.0s) | ST11 气囊安装+绝缘(开:66476.0s 加:116.0s 等前:0.0s 等后:0.0s) | ST12 L2++(开:66592.0s 加:88.0s 等前:0.0s 等后:0.0s) | ST13 电检1(开:66680.0s 加:84.5s 等前:0.0s 等后:0.0s) | ST14 电检2(开:66764.5s 加:97.5s 等前:0.0s 等后:41.5s) | ST15 小跑道(开:66903.5s 加:50.0s 等前:0.0s 等后:0.0s)</t>
        </is>
      </c>
    </row>
    <row r="1009">
      <c r="A1009" s="15" t="n">
        <v>1008</v>
      </c>
      <c r="B1009" s="15" t="inlineStr">
        <is>
          <t>Car#1009</t>
        </is>
      </c>
      <c r="C1009" s="15" t="inlineStr">
        <is>
          <t>C</t>
        </is>
      </c>
      <c r="D1009" s="16" t="n">
        <v>65617.5</v>
      </c>
      <c r="E1009" s="16" t="n">
        <v>67047</v>
      </c>
      <c r="F1009" s="16" t="n">
        <v>1429.5</v>
      </c>
      <c r="G1009" s="16" t="n">
        <v>7159.5</v>
      </c>
      <c r="H1009" s="15" t="inlineStr">
        <is>
          <t>Car#1006</t>
        </is>
      </c>
      <c r="I1009" s="16">
        <f>E1009-E1008</f>
        <v/>
      </c>
      <c r="J1009" s="16">
        <f>I1009-58</f>
        <v/>
      </c>
      <c r="K1009" s="16">
        <f>MAX(0,J1009)</f>
        <v/>
      </c>
      <c r="L1009" s="16">
        <f>MAX(0,-J1009)</f>
        <v/>
      </c>
      <c r="M1009" s="16">
        <f>M1008+I1009</f>
        <v/>
      </c>
      <c r="N1009" s="16">
        <f>D1009+F1009-E1009</f>
        <v/>
      </c>
      <c r="O1009" s="15" t="inlineStr">
        <is>
          <t>能力超目标：四轮定位上、下、ARHUD+慢充</t>
        </is>
      </c>
      <c r="P1009" s="15" t="inlineStr">
        <is>
          <t>ST1 引取(开:65617.5s 加:56.0s 等前:7153.5s 等后:0.0s) | ST2 集约(开:65673.5s 加:111.0s 等前:0.0s 等后:0.0s) | ST3 空气悬挂+快充(开:65784.5s 加:108.5s 等前:0.0s 等后:0.0s) | ST4 四轮定位上、下(开:65893.0s 加:120.5s 等前:0.0s 等后:0.0s) | ST5 ADAS(开:66013.5s 加:107.0s 等前:0.0s 等后:6.0s) | ST6 ARHUD+慢充(开:66126.5s 加:143.5s 等前:0.0s 等后:0.0s) | ST7 转毂(开:66270.0s 加:114.5s 等前:0.0s 等后:0.0s) | ST8 制动(开:66384.5s 加:114.0s 等前:0.0s 等后:0.0s) | ST9 EG漏液/底盘漏液(开:66498.5s 加:112.5s 等前:0.0s 等后:0.0s) | ST10 全景/空调检查(开:66611.0s 加:0.0s 等前:0.0s 等后:0.0s) | ST11 气囊安装+绝缘(开:66611.0s 加:116.0s 等前:0.0s 等后:0.0s) | ST12 L2++(开:66727.0s 加:88.0s 等前:0.0s 等后:0.0s) | ST13 电检1(开:66815.0s 加:84.5s 等前:0.0s 等后:0.0s) | ST14 电检2(开:66899.5s 加:97.5s 等前:0.0s 等后:0.0s) | ST15 小跑道(开:66997.0s 加:50.0s 等前:0.0s 等后:0.0s)</t>
        </is>
      </c>
    </row>
    <row r="1010">
      <c r="A1010" s="13" t="n">
        <v>1009</v>
      </c>
      <c r="B1010" s="13" t="inlineStr">
        <is>
          <t>Car#1008</t>
        </is>
      </c>
      <c r="C1010" s="13" t="inlineStr">
        <is>
          <t>C</t>
        </is>
      </c>
      <c r="D1010" s="14" t="n">
        <v>65536</v>
      </c>
      <c r="E1010" s="14" t="n">
        <v>67097</v>
      </c>
      <c r="F1010" s="14" t="n">
        <v>1561</v>
      </c>
      <c r="G1010" s="14" t="n">
        <v>7267.5</v>
      </c>
      <c r="H1010" s="13" t="inlineStr">
        <is>
          <t>Car#1009</t>
        </is>
      </c>
      <c r="I1010" s="14">
        <f>E1010-E1009</f>
        <v/>
      </c>
      <c r="J1010" s="14">
        <f>I1010-58</f>
        <v/>
      </c>
      <c r="K1010" s="14">
        <f>MAX(0,J1010)</f>
        <v/>
      </c>
      <c r="L1010" s="14">
        <f>MAX(0,-J1010)</f>
        <v/>
      </c>
      <c r="M1010" s="14">
        <f>M1009+I1010</f>
        <v/>
      </c>
      <c r="N1010" s="14">
        <f>D1010+F1010-E1010</f>
        <v/>
      </c>
      <c r="O1010" s="13" t="inlineStr">
        <is>
          <t>能力超目标：四轮定位上、下、ARHUD+慢充</t>
        </is>
      </c>
      <c r="P1010" s="13" t="inlineStr">
        <is>
          <t>ST1 引取(开:65536.0s 加:56.0s 等前:7130.0s 等后:25.5s) | ST2 集约(开:65617.5s 加:111.0s 等前:0.0s 等后:32.5s) | ST3 空气悬挂+快充(开:65761.0s 加:108.5s 等前:0.0s 等后:35.0s) | ST4 四轮定位上、下(开:65904.5s 加:120.5s 等前:0.0s 等后:0.0s) | ST5 ADAS(开:66025.0s 加:107.0s 等前:0.0s 等后:3.0s) | ST6 ARHUD+慢充(开:66135.0s 加:143.5s 等前:0.0s 等后:0.0s) | ST7 转毂(开:66278.5s 加:114.5s 等前:0.0s 等后:0.0s) | ST8 制动(开:66393.0s 加:114.0s 等前:0.0s 等后:0.0s) | ST9 EG漏液/底盘漏液(开:66507.0s 加:112.5s 等前:0.0s 等后:0.0s) | ST10 全景/空调检查(开:66619.5s 加:0.0s 等前:0.0s 等后:0.0s) | ST11 气囊安装+绝缘(开:66619.5s 加:116.0s 等前:0.0s 等后:0.0s) | ST12 L2++(开:66735.5s 加:88.0s 等前:0.0s 等后:0.0s) | ST13 电检1(开:66823.5s 加:84.5s 等前:0.0s 等后:0.0s) | ST14 电检2(开:66908.0s 加:97.5s 等前:0.0s 等后:41.5s) | ST15 小跑道(开:67047.0s 加:50.0s 等前:0.0s 等后:0.0s)</t>
        </is>
      </c>
    </row>
    <row r="1011">
      <c r="A1011" s="15" t="n">
        <v>1010</v>
      </c>
      <c r="B1011" s="15" t="inlineStr">
        <is>
          <t>Car#1011</t>
        </is>
      </c>
      <c r="C1011" s="15" t="inlineStr">
        <is>
          <t>B</t>
        </is>
      </c>
      <c r="D1011" s="16" t="n">
        <v>65761</v>
      </c>
      <c r="E1011" s="16" t="n">
        <v>67163</v>
      </c>
      <c r="F1011" s="16" t="n">
        <v>1402</v>
      </c>
      <c r="G1011" s="16" t="n">
        <v>7251.5</v>
      </c>
      <c r="H1011" s="15" t="inlineStr">
        <is>
          <t>Car#1008</t>
        </is>
      </c>
      <c r="I1011" s="16">
        <f>E1011-E1010</f>
        <v/>
      </c>
      <c r="J1011" s="16">
        <f>I1011-58</f>
        <v/>
      </c>
      <c r="K1011" s="16">
        <f>MAX(0,J1011)</f>
        <v/>
      </c>
      <c r="L1011" s="16">
        <f>MAX(0,-J1011)</f>
        <v/>
      </c>
      <c r="M1011" s="16">
        <f>M1010+I1011</f>
        <v/>
      </c>
      <c r="N1011" s="16">
        <f>D1011+F1011-E1011</f>
        <v/>
      </c>
      <c r="O1011" s="15" t="inlineStr">
        <is>
          <t>能力超目标：四轮定位上、下</t>
        </is>
      </c>
      <c r="P1011" s="15" t="inlineStr">
        <is>
          <t>ST1 引取(开:65761.0s 加:56.0s 等前:7181.0s 等后:0.0s) | ST2 集约(开:65817.0s 加:111.0s 等前:0.0s 等后:0.0s) | ST3 空气悬挂+快充(开:65928.0s 加:108.5s 等前:0.0s 等后:0.0s) | ST4 四轮定位上、下(开:66036.5s 加:120.5s 等前:0.0s 等后:0.0s) | ST5 ADAS(开:66157.0s 加:107.0s 等前:0.0s 等后:6.0s) | ST6 ARHUD+慢充(开:66270.0s 加:51.5s 等前:0.0s 等后:63.0s) | ST7 转毂(开:66384.5s 加:114.5s 等前:0.0s 等后:0.0s) | ST8 制动(开:66499.0s 加:114.0s 等前:0.0s 等后:0.0s) | ST9 EG漏液/底盘漏液(开:66613.0s 加:112.5s 等前:0.0s 等后:0.0s) | ST10 全景/空调检查(开:66725.5s 加:0.0s 等前:0.0s 等后:1.5s) | ST11 气囊安装+绝缘(开:66727.0s 加:116.0s 等前:0.0s 等后:0.0s) | ST12 L2++(开:66843.0s 加:88.0s 等前:0.0s 等后:0.0s) | ST13 电检1(开:66931.0s 加:84.5s 等前:0.0s 等后:0.0s) | ST14 电检2(开:67015.5s 加:97.5s 等前:0.0s 等后:0.0s) | ST15 小跑道(开:67113.0s 加:50.0s 等前:0.0s 等后:0.0s)</t>
        </is>
      </c>
    </row>
    <row r="1012">
      <c r="A1012" s="13" t="n">
        <v>1011</v>
      </c>
      <c r="B1012" s="13" t="inlineStr">
        <is>
          <t>Car#1010</t>
        </is>
      </c>
      <c r="C1012" s="13" t="inlineStr">
        <is>
          <t>B</t>
        </is>
      </c>
      <c r="D1012" s="14" t="n">
        <v>65673.5</v>
      </c>
      <c r="E1012" s="14" t="n">
        <v>67213</v>
      </c>
      <c r="F1012" s="14" t="n">
        <v>1539.5</v>
      </c>
      <c r="G1012" s="14" t="n">
        <v>7359.5</v>
      </c>
      <c r="H1012" s="13" t="inlineStr">
        <is>
          <t>Car#1011</t>
        </is>
      </c>
      <c r="I1012" s="14">
        <f>E1012-E1011</f>
        <v/>
      </c>
      <c r="J1012" s="14">
        <f>I1012-58</f>
        <v/>
      </c>
      <c r="K1012" s="14">
        <f>MAX(0,J1012)</f>
        <v/>
      </c>
      <c r="L1012" s="14">
        <f>MAX(0,-J1012)</f>
        <v/>
      </c>
      <c r="M1012" s="14">
        <f>M1011+I1012</f>
        <v/>
      </c>
      <c r="N1012" s="14">
        <f>D1012+F1012-E1012</f>
        <v/>
      </c>
      <c r="O1012" s="13" t="inlineStr">
        <is>
          <t>能力超目标：四轮定位上、下</t>
        </is>
      </c>
      <c r="P1012" s="13" t="inlineStr">
        <is>
          <t>ST1 引取(开:65673.5s 加:56.0s 等前:7151.5s 等后:31.5s) | ST2 集约(开:65761.0s 加:111.0s 等前:0.0s 等后:32.5s) | ST3 空气悬挂+快充(开:65904.5s 加:108.5s 等前:0.0s 等后:12.0s) | ST4 四轮定位上、下(开:66025.0s 加:120.5s 等前:0.0s 等后:0.0s) | ST5 ADAS(开:66145.5s 加:107.0s 等前:0.0s 等后:26.0s) | ST6 ARHUD+慢充(开:66278.5s 加:51.5s 等前:0.0s 等后:63.0s) | ST7 转毂(开:66393.0s 加:114.5s 等前:0.0s 等后:0.0s) | ST8 制动(开:66507.5s 加:114.0s 等前:0.0s 等后:0.0s) | ST9 EG漏液/底盘漏液(开:66621.5s 加:112.5s 等前:0.0s 等后:0.0s) | ST10 全景/空调检查(开:66734.0s 加:0.0s 等前:0.0s 等后:1.5s) | ST11 气囊安装+绝缘(开:66735.5s 加:116.0s 等前:0.0s 等后:0.0s) | ST12 L2++(开:66851.5s 加:88.0s 等前:0.0s 等后:0.0s) | ST13 电检1(开:66939.5s 加:84.5s 等前:0.0s 等后:23.0s) | ST14 电检2(开:67047.0s 加:97.5s 等前:0.0s 等后:18.5s) | ST15 小跑道(开:67163.0s 加:50.0s 等前:0.0s 等后:0.0s)</t>
        </is>
      </c>
    </row>
    <row r="1013">
      <c r="A1013" s="15" t="n">
        <v>1012</v>
      </c>
      <c r="B1013" s="15" t="inlineStr">
        <is>
          <t>Car#1012</t>
        </is>
      </c>
      <c r="C1013" s="15" t="inlineStr">
        <is>
          <t>B</t>
        </is>
      </c>
      <c r="D1013" s="16" t="n">
        <v>65817</v>
      </c>
      <c r="E1013" s="16" t="n">
        <v>67310.5</v>
      </c>
      <c r="F1013" s="16" t="n">
        <v>1493.5</v>
      </c>
      <c r="G1013" s="16" t="n">
        <v>7341</v>
      </c>
      <c r="H1013" s="15" t="inlineStr">
        <is>
          <t>Car#1010</t>
        </is>
      </c>
      <c r="I1013" s="16">
        <f>E1013-E1012</f>
        <v/>
      </c>
      <c r="J1013" s="16">
        <f>I1013-58</f>
        <v/>
      </c>
      <c r="K1013" s="16">
        <f>MAX(0,J1013)</f>
        <v/>
      </c>
      <c r="L1013" s="16">
        <f>MAX(0,-J1013)</f>
        <v/>
      </c>
      <c r="M1013" s="16">
        <f>M1012+I1013</f>
        <v/>
      </c>
      <c r="N1013" s="16">
        <f>D1013+F1013-E1013</f>
        <v/>
      </c>
      <c r="O1013" s="15" t="inlineStr">
        <is>
          <t>能力超目标：四轮定位上、下</t>
        </is>
      </c>
      <c r="P1013" s="15" t="inlineStr">
        <is>
          <t>ST1 引取(开:65817.0s 加:56.0s 等前:7179.0s 等后:31.5s) | ST2 集约(开:65904.5s 加:111.0s 等前:0.0s 等后:9.5s) | ST3 空气悬挂+快充(开:66025.0s 加:108.5s 等前:0.0s 等后:12.0s) | ST4 四轮定位上、下(开:66145.5s 加:120.5s 等前:0.0s 等后:12.5s) | ST5 ADAS(开:66278.5s 加:107.0s 等前:0.0s 等后:7.5s) | ST6 ARHUD+慢充(开:66393.0s 加:51.5s 等前:0.0s 等后:63.0s) | ST7 转毂(开:66507.5s 加:114.5s 等前:0.0s 等后:0.0s) | ST8 制动(开:66622.0s 加:114.0s 等前:0.0s 等后:0.0s) | ST9 EG漏液/底盘漏液(开:66736.0s 加:112.5s 等前:0.0s 等后:0.0s) | ST10 全景/空调检查(开:66848.5s 加:0.0s 等前:0.0s 等后:3.0s) | ST11 气囊安装+绝缘(开:66851.5s 加:116.0s 等前:0.0s 等后:0.0s) | ST12 L2++(开:66967.5s 加:88.0s 等前:0.0s 等后:0.0s) | ST13 电检1(开:67055.5s 加:84.5s 等前:0.0s 等后:23.0s) | ST14 电检2(开:67163.0s 加:97.5s 等前:0.0s 等后:0.0s) | ST15 小跑道(开:67260.5s 加:50.0s 等前:0.0s 等后:0.0s)</t>
        </is>
      </c>
    </row>
    <row r="1014">
      <c r="A1014" s="13" t="n">
        <v>1013</v>
      </c>
      <c r="B1014" s="13" t="inlineStr">
        <is>
          <t>Car#1013</t>
        </is>
      </c>
      <c r="C1014" s="13" t="inlineStr">
        <is>
          <t>C</t>
        </is>
      </c>
      <c r="D1014" s="14" t="n">
        <v>65904.5</v>
      </c>
      <c r="E1014" s="14" t="n">
        <v>67360.5</v>
      </c>
      <c r="F1014" s="14" t="n">
        <v>1456</v>
      </c>
      <c r="G1014" s="14" t="n">
        <v>7241</v>
      </c>
      <c r="H1014" s="13" t="inlineStr">
        <is>
          <t>Car#1012</t>
        </is>
      </c>
      <c r="I1014" s="14">
        <f>E1014-E1013</f>
        <v/>
      </c>
      <c r="J1014" s="14">
        <f>I1014-58</f>
        <v/>
      </c>
      <c r="K1014" s="14">
        <f>MAX(0,J1014)</f>
        <v/>
      </c>
      <c r="L1014" s="14">
        <f>MAX(0,-J1014)</f>
        <v/>
      </c>
      <c r="M1014" s="14">
        <f>M1013+I1014</f>
        <v/>
      </c>
      <c r="N1014" s="14">
        <f>D1014+F1014-E1014</f>
        <v/>
      </c>
      <c r="O1014" s="13" t="inlineStr">
        <is>
          <t>能力超目标：四轮定位上、下、ARHUD+慢充</t>
        </is>
      </c>
      <c r="P1014" s="13" t="inlineStr">
        <is>
          <t>ST1 引取(开:65904.5s 加:56.0s 等前:7208.5s 等后:0.0s) | ST2 集约(开:65960.5s 加:111.0s 等前:0.0s 等后:0.0s) | ST3 空气悬挂+快充(开:66071.5s 加:108.5s 等前:0.0s 等后:0.0s) | ST4 四轮定位上、下(开:66180.0s 加:120.5s 等前:0.0s 等后:0.0s) | ST5 ADAS(开:66300.5s 加:107.0s 等前:0.0s 等后:0.0s) | ST6 ARHUD+慢充(开:66407.5s 加:143.5s 等前:0.0s 等后:0.0s) | ST7 转毂(开:66551.0s 加:114.5s 等前:0.0s 等后:0.0s) | ST8 制动(开:66665.5s 加:114.0s 等前:0.0s 等后:0.0s) | ST9 EG漏液/底盘漏液(开:66779.5s 加:112.5s 等前:0.0s 等后:0.0s) | ST10 全景/空调检查(开:66892.0s 加:0.0s 等前:0.0s 等后:0.0s) | ST11 气囊安装+绝缘(开:66892.0s 加:116.0s 等前:0.0s 等后:0.0s) | ST12 L2++(开:67008.0s 加:88.0s 等前:0.0s 等后:0.0s) | ST13 电检1(开:67096.0s 加:84.5s 等前:0.0s 等后:0.0s) | ST14 电检2(开:67180.5s 加:97.5s 等前:0.0s 等后:32.5s) | ST15 小跑道(开:67310.5s 加:50.0s 等前:0.0s 等后:0.0s)</t>
        </is>
      </c>
    </row>
    <row r="1015">
      <c r="A1015" s="15" t="n">
        <v>1014</v>
      </c>
      <c r="B1015" s="15" t="inlineStr">
        <is>
          <t>Car#1015</t>
        </is>
      </c>
      <c r="C1015" s="15" t="inlineStr">
        <is>
          <t>A</t>
        </is>
      </c>
      <c r="D1015" s="16" t="n">
        <v>66025</v>
      </c>
      <c r="E1015" s="16" t="n">
        <v>67411.5</v>
      </c>
      <c r="F1015" s="16" t="n">
        <v>1386.5</v>
      </c>
      <c r="G1015" s="16" t="n">
        <v>7738.5</v>
      </c>
      <c r="H1015" s="15" t="inlineStr">
        <is>
          <t>Car#1013</t>
        </is>
      </c>
      <c r="I1015" s="16">
        <f>E1015-E1014</f>
        <v/>
      </c>
      <c r="J1015" s="16">
        <f>I1015-58</f>
        <v/>
      </c>
      <c r="K1015" s="16">
        <f>MAX(0,J1015)</f>
        <v/>
      </c>
      <c r="L1015" s="16">
        <f>MAX(0,-J1015)</f>
        <v/>
      </c>
      <c r="M1015" s="16">
        <f>M1014+I1015</f>
        <v/>
      </c>
      <c r="N1015" s="16">
        <f>D1015+F1015-E1015</f>
        <v/>
      </c>
      <c r="O1015" s="15" t="inlineStr">
        <is>
          <t>能力满足</t>
        </is>
      </c>
      <c r="P1015" s="15" t="inlineStr">
        <is>
          <t>ST1 引取(开:66025.0s 加:55.0s 等前:7213.0s 等后:0.0s) | ST2 集约(开:66080.0s 加:106.0s 等前:0.0s 等后:0.0s) | ST3 空气悬挂+快充(开:66186.0s 加:0.0s 等前:0.0s 等后:114.5s) | ST4 四轮定位上、下(开:66300.5s 加:115.0s 等前:0.0s 等后:0.0s) | ST5 ADAS(开:66415.5s 加:97.0s 等前:0.0s 等后:38.5s) | ST6 ARHUD+慢充(开:66551.0s 加:0.0s 等前:0.0s 等后:114.5s) | ST7 转毂(开:66665.5s 加:116.0s 等前:0.0s 等后:0.0s) | ST8 制动(开:66781.5s 加:108.0s 等前:0.0s 等后:2.5s) | ST9 EG漏液/底盘漏液(开:66892.0s 加:115.0s 等前:0.0s 等后:0.0s) | ST10 全景/空调检查(开:67007.0s 加:98.0s 等前:0.0s 等后:0.0s) | ST11 气囊安装+绝缘(开:67105.0s 加:0.0s 等前:0.0s 等后:0.0s) | ST12 L2++(开:67105.0s 加:0.0s 等前:0.0s 等后:75.5s) | ST13 电检1(开:67180.5s 加:0.0s 等前:0.0s 等后:130.0s) | ST14 电检2(开:67310.5s 加:0.0s 等前:0.0s 等后:50.0s) | ST15 小跑道(开:67360.5s 加:51.0s 等前:0.0s 等后:0.0s)</t>
        </is>
      </c>
    </row>
    <row r="1016">
      <c r="A1016" s="13" t="n">
        <v>1015</v>
      </c>
      <c r="B1016" s="13" t="inlineStr">
        <is>
          <t>Car#1014</t>
        </is>
      </c>
      <c r="C1016" s="13" t="inlineStr">
        <is>
          <t>C</t>
        </is>
      </c>
      <c r="D1016" s="14" t="n">
        <v>65960.5</v>
      </c>
      <c r="E1016" s="14" t="n">
        <v>67461.5</v>
      </c>
      <c r="F1016" s="14" t="n">
        <v>1501</v>
      </c>
      <c r="G1016" s="14" t="n">
        <v>7284</v>
      </c>
      <c r="H1016" s="13" t="inlineStr">
        <is>
          <t>Car#1015</t>
        </is>
      </c>
      <c r="I1016" s="14">
        <f>E1016-E1015</f>
        <v/>
      </c>
      <c r="J1016" s="14">
        <f>I1016-58</f>
        <v/>
      </c>
      <c r="K1016" s="14">
        <f>MAX(0,J1016)</f>
        <v/>
      </c>
      <c r="L1016" s="14">
        <f>MAX(0,-J1016)</f>
        <v/>
      </c>
      <c r="M1016" s="14">
        <f>M1015+I1016</f>
        <v/>
      </c>
      <c r="N1016" s="14">
        <f>D1016+F1016-E1016</f>
        <v/>
      </c>
      <c r="O1016" s="13" t="inlineStr">
        <is>
          <t>能力超目标：四轮定位上、下、ARHUD+慢充</t>
        </is>
      </c>
      <c r="P1016" s="13" t="inlineStr">
        <is>
          <t>ST1 引取(开:65960.5s 加:56.0s 等前:7206.5s 等后:8.5s) | ST2 集约(开:66025.0s 加:111.0s 等前:0.0s 等后:9.5s) | ST3 空气悬挂+快充(开:66145.5s 加:108.5s 等前:0.0s 等后:24.5s) | ST4 四轮定位上、下(开:66278.5s 加:120.5s 等前:0.0s 等后:0.0s) | ST5 ADAS(开:66399.0s 加:107.0s 等前:0.0s 等后:1.5s) | ST6 ARHUD+慢充(开:66507.5s 加:143.5s 等前:0.0s 等后:0.0s) | ST7 转毂(开:66651.0s 加:114.5s 等前:0.0s 等后:0.0s) | ST8 制动(开:66765.5s 加:114.0s 等前:0.0s 等后:0.0s) | ST9 EG漏液/底盘漏液(开:66879.5s 加:112.5s 等前:0.0s 等后:0.0s) | ST10 全景/空调检查(开:66992.0s 加:0.0s 等前:0.0s 等后:0.0s) | ST11 气囊安装+绝缘(开:66992.0s 加:116.0s 等前:0.0s 等后:0.0s) | ST12 L2++(开:67108.0s 加:88.0s 等前:0.0s 等后:0.0s) | ST13 电检1(开:67196.0s 加:84.5s 等前:0.0s 等后:0.0s) | ST14 电检2(开:67280.5s 加:97.5s 等前:0.0s 等后:33.5s) | ST15 小跑道(开:67411.5s 加:50.0s 等前:0.0s 等后:0.0s)</t>
        </is>
      </c>
    </row>
    <row r="1017">
      <c r="A1017" s="15" t="n">
        <v>1016</v>
      </c>
      <c r="B1017" s="15" t="inlineStr">
        <is>
          <t>Car#1016</t>
        </is>
      </c>
      <c r="C1017" s="15" t="inlineStr">
        <is>
          <t>A</t>
        </is>
      </c>
      <c r="D1017" s="16" t="n">
        <v>66080</v>
      </c>
      <c r="E1017" s="16" t="n">
        <v>67512.5</v>
      </c>
      <c r="F1017" s="16" t="n">
        <v>1432.5</v>
      </c>
      <c r="G1017" s="16" t="n">
        <v>7781.5</v>
      </c>
      <c r="H1017" s="15" t="inlineStr">
        <is>
          <t>Car#1014</t>
        </is>
      </c>
      <c r="I1017" s="16">
        <f>E1017-E1016</f>
        <v/>
      </c>
      <c r="J1017" s="16">
        <f>I1017-58</f>
        <v/>
      </c>
      <c r="K1017" s="16">
        <f>MAX(0,J1017)</f>
        <v/>
      </c>
      <c r="L1017" s="16">
        <f>MAX(0,-J1017)</f>
        <v/>
      </c>
      <c r="M1017" s="16">
        <f>M1016+I1017</f>
        <v/>
      </c>
      <c r="N1017" s="16">
        <f>D1017+F1017-E1017</f>
        <v/>
      </c>
      <c r="O1017" s="15" t="inlineStr">
        <is>
          <t>能力满足</t>
        </is>
      </c>
      <c r="P1017" s="15" t="inlineStr">
        <is>
          <t>ST1 引取(开:66080.0s 加:55.0s 等前:7210.0s 等后:10.5s) | ST2 集约(开:66145.5s 加:106.0s 等前:0.0s 等后:27.0s) | ST3 空气悬挂+快充(开:66278.5s 加:0.0s 等前:0.0s 等后:120.5s) | ST4 四轮定位上、下(开:66399.0s 加:115.0s 等前:0.0s 等后:0.0s) | ST5 ADAS(开:66514.0s 加:97.0s 等前:0.0s 等后:40.0s) | ST6 ARHUD+慢充(开:66651.0s 加:0.0s 等前:0.0s 等后:114.5s) | ST7 转毂(开:66765.5s 加:116.0s 等前:0.0s 等后:0.0s) | ST8 制动(开:66881.5s 加:108.0s 等前:0.0s 等后:2.5s) | ST9 EG漏液/底盘漏液(开:66992.0s 加:115.0s 等前:0.0s 等后:0.0s) | ST10 全景/空调检查(开:67107.0s 加:98.0s 等前:0.0s 等后:0.0s) | ST11 气囊安装+绝缘(开:67205.0s 加:0.0s 等前:0.0s 等后:0.0s) | ST12 L2++(开:67205.0s 加:0.0s 等前:0.0s 等后:75.5s) | ST13 电检1(开:67280.5s 加:0.0s 等前:0.0s 等后:131.0s) | ST14 电检2(开:67411.5s 加:0.0s 等前:0.0s 等后:50.0s) | ST15 小跑道(开:67461.5s 加:51.0s 等前:0.0s 等后:0.0s)</t>
        </is>
      </c>
    </row>
    <row r="1018">
      <c r="A1018" s="13" t="n">
        <v>1017</v>
      </c>
      <c r="B1018" s="13" t="inlineStr">
        <is>
          <t>Car#1017</t>
        </is>
      </c>
      <c r="C1018" s="13" t="inlineStr">
        <is>
          <t>C</t>
        </is>
      </c>
      <c r="D1018" s="14" t="n">
        <v>66145.5</v>
      </c>
      <c r="E1018" s="14" t="n">
        <v>67586</v>
      </c>
      <c r="F1018" s="14" t="n">
        <v>1440.5</v>
      </c>
      <c r="G1018" s="14" t="n">
        <v>7234.5</v>
      </c>
      <c r="H1018" s="13" t="inlineStr">
        <is>
          <t>Car#1016</t>
        </is>
      </c>
      <c r="I1018" s="14">
        <f>E1018-E1017</f>
        <v/>
      </c>
      <c r="J1018" s="14">
        <f>I1018-58</f>
        <v/>
      </c>
      <c r="K1018" s="14">
        <f>MAX(0,J1018)</f>
        <v/>
      </c>
      <c r="L1018" s="14">
        <f>MAX(0,-J1018)</f>
        <v/>
      </c>
      <c r="M1018" s="14">
        <f>M1017+I1018</f>
        <v/>
      </c>
      <c r="N1018" s="14">
        <f>D1018+F1018-E1018</f>
        <v/>
      </c>
      <c r="O1018" s="13" t="inlineStr">
        <is>
          <t>能力超目标：四轮定位上、下、ARHUD+慢充</t>
        </is>
      </c>
      <c r="P1018" s="13" t="inlineStr">
        <is>
          <t>ST1 引取(开:66145.5s 加:56.0s 等前:7217.5s 等后:0.0s) | ST2 集约(开:66201.5s 加:111.0s 等前:0.0s 等后:0.0s) | ST3 空气悬挂+快充(开:66312.5s 加:108.5s 等前:0.0s 等后:0.0s) | ST4 四轮定位上、下(开:66421.0s 加:120.5s 等前:0.0s 等后:9.5s) | ST5 ADAS(开:66551.0s 加:107.0s 等前:0.0s 等后:7.5s) | ST6 ARHUD+慢充(开:66665.5s 加:143.5s 等前:0.0s 等后:0.0s) | ST7 转毂(开:66809.0s 加:114.5s 等前:0.0s 等后:0.0s) | ST8 制动(开:66923.5s 加:114.0s 等前:0.0s 等后:0.0s) | ST9 EG漏液/底盘漏液(开:67037.5s 加:112.5s 等前:0.0s 等后:0.0s) | ST10 全景/空调检查(开:67150.0s 加:0.0s 等前:0.0s 等后:0.0s) | ST11 气囊安装+绝缘(开:67150.0s 加:116.0s 等前:0.0s 等后:0.0s) | ST12 L2++(开:67266.0s 加:88.0s 等前:0.0s 等后:0.0s) | ST13 电检1(开:67354.0s 加:84.5s 等前:0.0s 等后:0.0s) | ST14 电检2(开:67438.5s 加:97.5s 等前:0.0s 等后:0.0s) | ST15 小跑道(开:67536.0s 加:50.0s 等前:0.0s 等后:0.0s)</t>
        </is>
      </c>
    </row>
    <row r="1019">
      <c r="A1019" s="15" t="n">
        <v>1018</v>
      </c>
      <c r="B1019" s="15" t="inlineStr">
        <is>
          <t>Car#1018</t>
        </is>
      </c>
      <c r="C1019" s="15" t="inlineStr">
        <is>
          <t>C</t>
        </is>
      </c>
      <c r="D1019" s="16" t="n">
        <v>66201.5</v>
      </c>
      <c r="E1019" s="16" t="n">
        <v>67686</v>
      </c>
      <c r="F1019" s="16" t="n">
        <v>1484.5</v>
      </c>
      <c r="G1019" s="16" t="n">
        <v>7276.5</v>
      </c>
      <c r="H1019" s="15" t="inlineStr">
        <is>
          <t>Car#1017</t>
        </is>
      </c>
      <c r="I1019" s="16">
        <f>E1019-E1018</f>
        <v/>
      </c>
      <c r="J1019" s="16">
        <f>I1019-58</f>
        <v/>
      </c>
      <c r="K1019" s="16">
        <f>MAX(0,J1019)</f>
        <v/>
      </c>
      <c r="L1019" s="16">
        <f>MAX(0,-J1019)</f>
        <v/>
      </c>
      <c r="M1019" s="16">
        <f>M1018+I1019</f>
        <v/>
      </c>
      <c r="N1019" s="16">
        <f>D1019+F1019-E1019</f>
        <v/>
      </c>
      <c r="O1019" s="15" t="inlineStr">
        <is>
          <t>能力超目标：四轮定位上、下、ARHUD+慢充</t>
        </is>
      </c>
      <c r="P1019" s="15" t="inlineStr">
        <is>
          <t>ST1 引取(开:66201.5s 加:56.0s 等前:7215.5s 等后:21.0s) | ST2 集约(开:66278.5s 加:111.0s 等前:0.0s 等后:9.5s) | ST3 空气悬挂+快充(开:66399.0s 加:108.5s 等前:0.0s 等后:6.5s) | ST4 四轮定位上、下(开:66514.0s 加:120.5s 等前:0.0s 等后:16.5s) | ST5 ADAS(开:66651.0s 加:107.0s 等前:0.0s 等后:7.5s) | ST6 ARHUD+慢充(开:66765.5s 加:143.5s 等前:0.0s 等后:0.0s) | ST7 转毂(开:66909.0s 加:114.5s 等前:0.0s 等后:0.0s) | ST8 制动(开:67023.5s 加:114.0s 等前:0.0s 等后:0.0s) | ST9 EG漏液/底盘漏液(开:67137.5s 加:112.5s 等前:0.0s 等后:0.0s) | ST10 全景/空调检查(开:67250.0s 加:0.0s 等前:0.0s 等后:0.0s) | ST11 气囊安装+绝缘(开:67250.0s 加:116.0s 等前:0.0s 等后:0.0s) | ST12 L2++(开:67366.0s 加:88.0s 等前:0.0s 等后:0.0s) | ST13 电检1(开:67454.0s 加:84.5s 等前:0.0s 等后:0.0s) | ST14 电检2(开:67538.5s 加:97.5s 等前:0.0s 等后:0.0s) | ST15 小跑道(开:67636.0s 加:50.0s 等前:0.0s 等后:0.0s)</t>
        </is>
      </c>
    </row>
    <row r="1020">
      <c r="A1020" s="13" t="n">
        <v>1019</v>
      </c>
      <c r="B1020" s="13" t="inlineStr">
        <is>
          <t>Car#1019</t>
        </is>
      </c>
      <c r="C1020" s="13" t="inlineStr">
        <is>
          <t>C</t>
        </is>
      </c>
      <c r="D1020" s="14" t="n">
        <v>66278.5</v>
      </c>
      <c r="E1020" s="14" t="n">
        <v>67736</v>
      </c>
      <c r="F1020" s="14" t="n">
        <v>1457.5</v>
      </c>
      <c r="G1020" s="14" t="n">
        <v>7268.5</v>
      </c>
      <c r="H1020" s="13" t="inlineStr">
        <is>
          <t>Car#1018</t>
        </is>
      </c>
      <c r="I1020" s="14">
        <f>E1020-E1019</f>
        <v/>
      </c>
      <c r="J1020" s="14">
        <f>I1020-58</f>
        <v/>
      </c>
      <c r="K1020" s="14">
        <f>MAX(0,J1020)</f>
        <v/>
      </c>
      <c r="L1020" s="14">
        <f>MAX(0,-J1020)</f>
        <v/>
      </c>
      <c r="M1020" s="14">
        <f>M1019+I1020</f>
        <v/>
      </c>
      <c r="N1020" s="14">
        <f>D1020+F1020-E1020</f>
        <v/>
      </c>
      <c r="O1020" s="13" t="inlineStr">
        <is>
          <t>能力超目标：四轮定位上、下、ARHUD+慢充</t>
        </is>
      </c>
      <c r="P1020" s="13" t="inlineStr">
        <is>
          <t>ST1 引取(开:66278.5s 加:56.0s 等前:7234.5s 等后:0.0s) | ST2 集约(开:66334.5s 加:111.0s 等前:0.0s 等后:0.0s) | ST3 空气悬挂+快充(开:66445.5s 加:108.5s 等前:0.0s 等后:0.0s) | ST4 四轮定位上、下(开:66554.0s 加:120.5s 等前:0.0s 等后:0.0s) | ST5 ADAS(开:66674.5s 加:107.0s 等前:0.0s 等后:27.5s) | ST6 ARHUD+慢充(开:66809.0s 加:143.5s 等前:0.0s 等后:0.0s) | ST7 转毂(开:66952.5s 加:114.5s 等前:0.0s 等后:0.0s) | ST8 制动(开:67067.0s 加:114.0s 等前:0.0s 等后:0.0s) | ST9 EG漏液/底盘漏液(开:67181.0s 加:112.5s 等前:0.0s 等后:0.0s) | ST10 全景/空调检查(开:67293.5s 加:0.0s 等前:0.0s 等后:0.0s) | ST11 气囊安装+绝缘(开:67293.5s 加:116.0s 等前:0.0s 等后:0.0s) | ST12 L2++(开:67409.5s 加:88.0s 等前:0.0s 等后:0.0s) | ST13 电检1(开:67497.5s 加:84.5s 等前:0.0s 等后:0.0s) | ST14 电检2(开:67582.0s 加:97.5s 等前:0.0s 等后:6.5s) | ST15 小跑道(开:67686.0s 加:50.0s 等前:0.0s 等后:0.0s)</t>
        </is>
      </c>
    </row>
    <row r="1021">
      <c r="A1021" s="15" t="n">
        <v>1020</v>
      </c>
      <c r="B1021" s="15" t="inlineStr">
        <is>
          <t>Car#1020</t>
        </is>
      </c>
      <c r="C1021" s="15" t="inlineStr">
        <is>
          <t>C</t>
        </is>
      </c>
      <c r="D1021" s="16" t="n">
        <v>66334.5</v>
      </c>
      <c r="E1021" s="16" t="n">
        <v>67829.5</v>
      </c>
      <c r="F1021" s="16" t="n">
        <v>1495</v>
      </c>
      <c r="G1021" s="16" t="n">
        <v>7304</v>
      </c>
      <c r="H1021" s="15" t="inlineStr">
        <is>
          <t>Car#1019</t>
        </is>
      </c>
      <c r="I1021" s="16">
        <f>E1021-E1020</f>
        <v/>
      </c>
      <c r="J1021" s="16">
        <f>I1021-58</f>
        <v/>
      </c>
      <c r="K1021" s="16">
        <f>MAX(0,J1021)</f>
        <v/>
      </c>
      <c r="L1021" s="16">
        <f>MAX(0,-J1021)</f>
        <v/>
      </c>
      <c r="M1021" s="16">
        <f>M1020+I1021</f>
        <v/>
      </c>
      <c r="N1021" s="16">
        <f>D1021+F1021-E1021</f>
        <v/>
      </c>
      <c r="O1021" s="15" t="inlineStr">
        <is>
          <t>能力超目标：四轮定位上、下、ARHUD+慢充</t>
        </is>
      </c>
      <c r="P1021" s="15" t="inlineStr">
        <is>
          <t>ST1 引取(开:66334.5s 加:56.0s 等前:7232.5s 等后:8.5s) | ST2 集约(开:66399.0s 加:111.0s 等前:0.0s 等后:4.0s) | ST3 空气悬挂+快充(开:66514.0s 加:108.5s 等前:0.0s 等后:28.5s) | ST4 四轮定位上、下(开:66651.0s 加:120.5s 等前:0.0s 等后:0.0s) | ST5 ADAS(开:66771.5s 加:107.0s 等前:0.0s 等后:30.5s) | ST6 ARHUD+慢充(开:66909.0s 加:143.5s 等前:0.0s 等后:0.0s) | ST7 转毂(开:67052.5s 加:114.5s 等前:0.0s 等后:0.0s) | ST8 制动(开:67167.0s 加:114.0s 等前:0.0s 等后:0.0s) | ST9 EG漏液/底盘漏液(开:67281.0s 加:112.5s 等前:0.0s 等后:0.0s) | ST10 全景/空调检查(开:67393.5s 加:0.0s 等前:0.0s 等后:0.0s) | ST11 气囊安装+绝缘(开:67393.5s 加:116.0s 等前:0.0s 等后:0.0s) | ST12 L2++(开:67509.5s 加:88.0s 等前:0.0s 等后:0.0s) | ST13 电检1(开:67597.5s 加:84.5s 等前:0.0s 等后:0.0s) | ST14 电检2(开:67682.0s 加:97.5s 等前:0.0s 等后:0.0s) | ST15 小跑道(开:67779.5s 加:50.0s 等前:0.0s 等后:0.0s)</t>
        </is>
      </c>
    </row>
    <row r="1022">
      <c r="A1022" s="13" t="n">
        <v>1021</v>
      </c>
      <c r="B1022" s="13" t="inlineStr">
        <is>
          <t>Car#1021</t>
        </is>
      </c>
      <c r="C1022" s="13" t="inlineStr">
        <is>
          <t>B</t>
        </is>
      </c>
      <c r="D1022" s="14" t="n">
        <v>66399</v>
      </c>
      <c r="E1022" s="14" t="n">
        <v>67879.5</v>
      </c>
      <c r="F1022" s="14" t="n">
        <v>1480.5</v>
      </c>
      <c r="G1022" s="14" t="n">
        <v>7388</v>
      </c>
      <c r="H1022" s="13" t="inlineStr">
        <is>
          <t>Car#1020</t>
        </is>
      </c>
      <c r="I1022" s="14">
        <f>E1022-E1021</f>
        <v/>
      </c>
      <c r="J1022" s="14">
        <f>I1022-58</f>
        <v/>
      </c>
      <c r="K1022" s="14">
        <f>MAX(0,J1022)</f>
        <v/>
      </c>
      <c r="L1022" s="14">
        <f>MAX(0,-J1022)</f>
        <v/>
      </c>
      <c r="M1022" s="14">
        <f>M1021+I1022</f>
        <v/>
      </c>
      <c r="N1022" s="14">
        <f>D1022+F1022-E1022</f>
        <v/>
      </c>
      <c r="O1022" s="13" t="inlineStr">
        <is>
          <t>能力超目标：四轮定位上、下</t>
        </is>
      </c>
      <c r="P1022" s="13" t="inlineStr">
        <is>
          <t>ST1 引取(开:66399.0s 加:56.0s 等前:7239.0s 等后:0.0s) | ST2 集约(开:66455.0s 加:111.0s 等前:0.0s 等后:0.0s) | ST3 空气悬挂+快充(开:66566.0s 加:108.5s 等前:0.0s 等后:0.0s) | ST4 四轮定位上、下(开:66674.5s 加:120.5s 等前:0.0s 等后:14.0s) | ST5 ADAS(开:66809.0s 加:107.0s 等前:0.0s 等后:36.5s) | ST6 ARHUD+慢充(开:66952.5s 加:51.5s 等前:0.0s 等后:63.0s) | ST7 转毂(开:67067.0s 加:114.5s 等前:0.0s 等后:0.0s) | ST8 制动(开:67181.5s 加:114.0s 等前:0.0s 等后:0.0s) | ST9 EG漏液/底盘漏液(开:67295.5s 加:112.5s 等前:0.0s 等后:0.0s) | ST10 全景/空调检查(开:67408.0s 加:0.0s 等前:0.0s 等后:1.5s) | ST11 气囊安装+绝缘(开:67409.5s 加:116.0s 等前:0.0s 等后:0.0s) | ST12 L2++(开:67525.5s 加:88.0s 等前:0.0s 等后:0.0s) | ST13 电检1(开:67613.5s 加:84.5s 等前:0.0s 等后:0.0s) | ST14 电检2(开:67698.0s 加:97.5s 等前:0.0s 等后:34.0s) | ST15 小跑道(开:67829.5s 加:50.0s 等前:0.0s 等后:0.0s)</t>
        </is>
      </c>
    </row>
    <row r="1023">
      <c r="A1023" s="15" t="n">
        <v>1022</v>
      </c>
      <c r="B1023" s="15" t="inlineStr">
        <is>
          <t>Car#1022</t>
        </is>
      </c>
      <c r="C1023" s="15" t="inlineStr">
        <is>
          <t>B</t>
        </is>
      </c>
      <c r="D1023" s="16" t="n">
        <v>66455</v>
      </c>
      <c r="E1023" s="16" t="n">
        <v>67945.5</v>
      </c>
      <c r="F1023" s="16" t="n">
        <v>1490.5</v>
      </c>
      <c r="G1023" s="16" t="n">
        <v>7396</v>
      </c>
      <c r="H1023" s="15" t="inlineStr">
        <is>
          <t>Car#1021</t>
        </is>
      </c>
      <c r="I1023" s="16">
        <f>E1023-E1022</f>
        <v/>
      </c>
      <c r="J1023" s="16">
        <f>I1023-58</f>
        <v/>
      </c>
      <c r="K1023" s="16">
        <f>MAX(0,J1023)</f>
        <v/>
      </c>
      <c r="L1023" s="16">
        <f>MAX(0,-J1023)</f>
        <v/>
      </c>
      <c r="M1023" s="16">
        <f>M1022+I1023</f>
        <v/>
      </c>
      <c r="N1023" s="16">
        <f>D1023+F1023-E1023</f>
        <v/>
      </c>
      <c r="O1023" s="15" t="inlineStr">
        <is>
          <t>能力超目标：四轮定位上、下</t>
        </is>
      </c>
      <c r="P1023" s="15" t="inlineStr">
        <is>
          <t>ST1 引取(开:66455.0s 加:56.0s 等前:7237.0s 等后:3.0s) | ST2 集约(开:66514.0s 加:111.0s 等前:0.0s 等后:26.0s) | ST3 空气悬挂+快充(开:66651.0s 加:108.5s 等前:0.0s 等后:12.0s) | ST4 四轮定位上、下(开:66771.5s 加:120.5s 等前:0.0s 等后:17.0s) | ST5 ADAS(开:66909.0s 加:107.0s 等前:0.0s 等后:36.5s) | ST6 ARHUD+慢充(开:67052.5s 加:51.5s 等前:0.0s 等后:63.0s) | ST7 转毂(开:67167.0s 加:114.5s 等前:0.0s 等后:0.0s) | ST8 制动(开:67281.5s 加:114.0s 等前:0.0s 等后:0.0s) | ST9 EG漏液/底盘漏液(开:67395.5s 加:112.5s 等前:0.0s 等后:0.0s) | ST10 全景/空调检查(开:67508.0s 加:0.0s 等前:0.0s 等后:1.5s) | ST11 气囊安装+绝缘(开:67509.5s 加:116.0s 等前:0.0s 等后:0.0s) | ST12 L2++(开:67625.5s 加:88.0s 等前:0.0s 等后:0.0s) | ST13 电检1(开:67713.5s 加:84.5s 等前:0.0s 等后:0.0s) | ST14 电检2(开:67798.0s 加:97.5s 等前:0.0s 等后:0.0s) | ST15 小跑道(开:67895.5s 加:50.0s 等前:0.0s 等后:0.0s)</t>
        </is>
      </c>
    </row>
    <row r="1024">
      <c r="A1024" s="13" t="n">
        <v>1023</v>
      </c>
      <c r="B1024" s="13" t="inlineStr">
        <is>
          <t>Car#1024</t>
        </is>
      </c>
      <c r="C1024" s="13" t="inlineStr">
        <is>
          <t>A</t>
        </is>
      </c>
      <c r="D1024" s="14" t="n">
        <v>66570</v>
      </c>
      <c r="E1024" s="14" t="n">
        <v>67996.5</v>
      </c>
      <c r="F1024" s="14" t="n">
        <v>1426.5</v>
      </c>
      <c r="G1024" s="14" t="n">
        <v>7801.5</v>
      </c>
      <c r="H1024" s="13" t="inlineStr">
        <is>
          <t>Car#1022</t>
        </is>
      </c>
      <c r="I1024" s="14">
        <f>E1024-E1023</f>
        <v/>
      </c>
      <c r="J1024" s="14">
        <f>I1024-58</f>
        <v/>
      </c>
      <c r="K1024" s="14">
        <f>MAX(0,J1024)</f>
        <v/>
      </c>
      <c r="L1024" s="14">
        <f>MAX(0,-J1024)</f>
        <v/>
      </c>
      <c r="M1024" s="14">
        <f>M1023+I1024</f>
        <v/>
      </c>
      <c r="N1024" s="14">
        <f>D1024+F1024-E1024</f>
        <v/>
      </c>
      <c r="O1024" s="13" t="inlineStr">
        <is>
          <t>能力满足</t>
        </is>
      </c>
      <c r="P1024" s="13" t="inlineStr">
        <is>
          <t>ST1 引取(开:66570.0s 加:55.0s 等前:7236.0s 等后:26.0s) | ST2 集约(开:66651.0s 加:106.0s 等前:0.0s 等后:14.5s) | ST3 空气悬挂+快充(开:66771.5s 加:0.0s 等前:0.0s 等后:137.5s) | ST4 四轮定位上、下(开:66909.0s 加:115.0s 等前:0.0s 等后:28.5s) | ST5 ADAS(开:67052.5s 加:97.0s 等前:0.0s 等后:17.5s) | ST6 ARHUD+慢充(开:67167.0s 加:0.0s 等前:0.0s 等后:114.5s) | ST7 转毂(开:67281.5s 加:116.0s 等前:0.0s 等后:0.0s) | ST8 制动(开:67397.5s 加:108.0s 等前:0.0s 等后:2.5s) | ST9 EG漏液/底盘漏液(开:67508.0s 加:115.0s 等前:0.0s 等后:0.0s) | ST10 全景/空调检查(开:67623.0s 加:98.0s 等前:0.0s 等后:0.0s) | ST11 气囊安装+绝缘(开:67721.0s 加:0.0s 等前:0.0s 等后:0.0s) | ST12 L2++(开:67721.0s 加:0.0s 等前:0.0s 等后:77.0s) | ST13 电检1(开:67798.0s 加:0.0s 等前:0.0s 等后:97.5s) | ST14 电检2(开:67895.5s 加:0.0s 等前:0.0s 等后:50.0s) | ST15 小跑道(开:67945.5s 加:51.0s 等前:0.0s 等后:0.0s)</t>
        </is>
      </c>
    </row>
    <row r="1025">
      <c r="A1025" s="15" t="n">
        <v>1024</v>
      </c>
      <c r="B1025" s="15" t="inlineStr">
        <is>
          <t>Car#1023</t>
        </is>
      </c>
      <c r="C1025" s="15" t="inlineStr">
        <is>
          <t>B</t>
        </is>
      </c>
      <c r="D1025" s="16" t="n">
        <v>66514</v>
      </c>
      <c r="E1025" s="16" t="n">
        <v>68046.5</v>
      </c>
      <c r="F1025" s="16" t="n">
        <v>1532.5</v>
      </c>
      <c r="G1025" s="16" t="n">
        <v>7439</v>
      </c>
      <c r="H1025" s="15" t="inlineStr">
        <is>
          <t>Car#1024</t>
        </is>
      </c>
      <c r="I1025" s="16">
        <f>E1025-E1024</f>
        <v/>
      </c>
      <c r="J1025" s="16">
        <f>I1025-58</f>
        <v/>
      </c>
      <c r="K1025" s="16">
        <f>MAX(0,J1025)</f>
        <v/>
      </c>
      <c r="L1025" s="16">
        <f>MAX(0,-J1025)</f>
        <v/>
      </c>
      <c r="M1025" s="16">
        <f>M1024+I1025</f>
        <v/>
      </c>
      <c r="N1025" s="16">
        <f>D1025+F1025-E1025</f>
        <v/>
      </c>
      <c r="O1025" s="15" t="inlineStr">
        <is>
          <t>能力超目标：四轮定位上、下</t>
        </is>
      </c>
      <c r="P1025" s="15" t="inlineStr">
        <is>
          <t>ST1 引取(开:66514.0s 加:56.0s 等前:7238.0s 等后:0.0s) | ST2 集约(开:66570.0s 加:111.0s 等前:0.0s 等后:0.0s) | ST3 空气悬挂+快充(开:66681.0s 加:108.5s 等前:0.0s 等后:19.5s) | ST4 四轮定位上、下(开:66809.0s 加:120.5s 等前:0.0s 等后:23.0s) | ST5 ADAS(开:66952.5s 加:107.0s 等前:0.0s 等后:7.5s) | ST6 ARHUD+慢充(开:67067.0s 加:51.5s 等前:0.0s 等后:63.0s) | ST7 转毂(开:67181.5s 加:114.5s 等前:0.0s 等后:0.0s) | ST8 制动(开:67296.0s 加:114.0s 等前:0.0s 等后:0.0s) | ST9 EG漏液/底盘漏液(开:67410.0s 加:112.5s 等前:0.0s 等后:0.0s) | ST10 全景/空调检查(开:67522.5s 加:0.0s 等前:0.0s 等后:3.0s) | ST11 气囊安装+绝缘(开:67525.5s 加:116.0s 等前:0.0s 等后:0.0s) | ST12 L2++(开:67641.5s 加:88.0s 等前:0.0s 等后:0.0s) | ST13 电检1(开:67729.5s 加:84.5s 等前:0.0s 等后:15.5s) | ST14 电检2(开:67829.5s 加:97.5s 等前:0.0s 等后:69.5s) | ST15 小跑道(开:67996.5s 加:50.0s 等前:0.0s 等后:0.0s)</t>
        </is>
      </c>
    </row>
    <row r="1026">
      <c r="A1026" s="13" t="n">
        <v>1025</v>
      </c>
      <c r="B1026" s="13" t="inlineStr">
        <is>
          <t>Car#1025</t>
        </is>
      </c>
      <c r="C1026" s="13" t="inlineStr">
        <is>
          <t>C</t>
        </is>
      </c>
      <c r="D1026" s="14" t="n">
        <v>66651</v>
      </c>
      <c r="E1026" s="14" t="n">
        <v>68144</v>
      </c>
      <c r="F1026" s="14" t="n">
        <v>1493</v>
      </c>
      <c r="G1026" s="14" t="n">
        <v>7328.5</v>
      </c>
      <c r="H1026" s="13" t="inlineStr">
        <is>
          <t>Car#1023</t>
        </is>
      </c>
      <c r="I1026" s="14">
        <f>E1026-E1025</f>
        <v/>
      </c>
      <c r="J1026" s="14">
        <f>I1026-58</f>
        <v/>
      </c>
      <c r="K1026" s="14">
        <f>MAX(0,J1026)</f>
        <v/>
      </c>
      <c r="L1026" s="14">
        <f>MAX(0,-J1026)</f>
        <v/>
      </c>
      <c r="M1026" s="14">
        <f>M1025+I1026</f>
        <v/>
      </c>
      <c r="N1026" s="14">
        <f>D1026+F1026-E1026</f>
        <v/>
      </c>
      <c r="O1026" s="13" t="inlineStr">
        <is>
          <t>能力超目标：四轮定位上、下、ARHUD+慢充</t>
        </is>
      </c>
      <c r="P1026" s="13" t="inlineStr">
        <is>
          <t>ST1 引取(开:66651.0s 加:56.0s 等前:7259.0s 等后:0.0s) | ST2 集约(开:66707.0s 加:111.0s 等前:0.0s 等后:0.0s) | ST3 空气悬挂+快充(开:66818.0s 加:108.5s 等前:0.0s 等后:26.0s) | ST4 四轮定位上、下(开:66952.5s 加:120.5s 等前:0.0s 等后:0.0s) | ST5 ADAS(开:67073.0s 加:107.0s 等前:0.0s 等后:1.5s) | ST6 ARHUD+慢充(开:67181.5s 加:143.5s 等前:0.0s 等后:0.0s) | ST7 转毂(开:67325.0s 加:114.5s 等前:0.0s 等后:0.0s) | ST8 制动(开:67439.5s 加:114.0s 等前:0.0s 等后:0.0s) | ST9 EG漏液/底盘漏液(开:67553.5s 加:112.5s 等前:0.0s 等后:0.0s) | ST10 全景/空调检查(开:67666.0s 加:0.0s 等前:0.0s 等后:0.0s) | ST11 气囊安装+绝缘(开:67666.0s 加:116.0s 等前:0.0s 等后:0.0s) | ST12 L2++(开:67782.0s 加:88.0s 等前:0.0s 等后:0.0s) | ST13 电检1(开:67870.0s 加:84.5s 等前:0.0s 等后:42.0s) | ST14 电检2(开:67996.5s 加:97.5s 等前:0.0s 等后:0.0s) | ST15 小跑道(开:68094.0s 加:50.0s 等前:0.0s 等后:0.0s)</t>
        </is>
      </c>
    </row>
    <row r="1027">
      <c r="A1027" s="15" t="n">
        <v>1026</v>
      </c>
      <c r="B1027" s="15" t="inlineStr">
        <is>
          <t>Car#1026</t>
        </is>
      </c>
      <c r="C1027" s="15" t="inlineStr">
        <is>
          <t>C</t>
        </is>
      </c>
      <c r="D1027" s="16" t="n">
        <v>66707</v>
      </c>
      <c r="E1027" s="16" t="n">
        <v>68202</v>
      </c>
      <c r="F1027" s="16" t="n">
        <v>1495</v>
      </c>
      <c r="G1027" s="16" t="n">
        <v>7328.5</v>
      </c>
      <c r="H1027" s="15" t="inlineStr">
        <is>
          <t>Car#1025</t>
        </is>
      </c>
      <c r="I1027" s="16">
        <f>E1027-E1026</f>
        <v/>
      </c>
      <c r="J1027" s="16">
        <f>I1027-58</f>
        <v/>
      </c>
      <c r="K1027" s="16">
        <f>MAX(0,J1027)</f>
        <v/>
      </c>
      <c r="L1027" s="16">
        <f>MAX(0,-J1027)</f>
        <v/>
      </c>
      <c r="M1027" s="16">
        <f>M1026+I1027</f>
        <v/>
      </c>
      <c r="N1027" s="16">
        <f>D1027+F1027-E1027</f>
        <v/>
      </c>
      <c r="O1027" s="15" t="inlineStr">
        <is>
          <t>能力超目标：四轮定位上、下、ARHUD+慢充</t>
        </is>
      </c>
      <c r="P1027" s="15" t="inlineStr">
        <is>
          <t>ST1 引取(开:66707.0s 加:56.0s 等前:7257.0s 等后:8.5s) | ST2 集约(开:66771.5s 加:111.0s 等前:0.0s 等后:26.5s) | ST3 空气悬挂+快充(开:66909.0s 加:108.5s 等前:0.0s 等后:35.0s) | ST4 四轮定位上、下(开:67052.5s 加:120.5s 等前:0.0s 等后:0.0s) | ST5 ADAS(开:67173.0s 加:107.0s 等前:0.0s 等后:1.5s) | ST6 ARHUD+慢充(开:67281.5s 加:143.5s 等前:0.0s 等后:0.0s) | ST7 转毂(开:67425.0s 加:114.5s 等前:0.0s 等后:0.0s) | ST8 制动(开:67539.5s 加:114.0s 等前:0.0s 等后:0.0s) | ST9 EG漏液/底盘漏液(开:67653.5s 加:112.5s 等前:0.0s 等后:0.0s) | ST10 全景/空调检查(开:67766.0s 加:0.0s 等前:0.0s 等后:0.0s) | ST11 气囊安装+绝缘(开:67766.0s 加:116.0s 等前:0.0s 等后:0.0s) | ST12 L2++(开:67882.0s 加:88.0s 等前:0.0s 等后:0.0s) | ST13 电检1(开:67970.0s 加:84.5s 等前:0.0s 等后:0.0s) | ST14 电检2(开:68054.5s 加:97.5s 等前:0.0s 等后:0.0s) | ST15 小跑道(开:68152.0s 加:50.0s 等前:0.0s 等后:0.0s)</t>
        </is>
      </c>
    </row>
    <row r="1028">
      <c r="A1028" s="13" t="n">
        <v>1027</v>
      </c>
      <c r="B1028" s="13" t="inlineStr">
        <is>
          <t>Car#1028</t>
        </is>
      </c>
      <c r="C1028" s="13" t="inlineStr">
        <is>
          <t>A</t>
        </is>
      </c>
      <c r="D1028" s="14" t="n">
        <v>66827.5</v>
      </c>
      <c r="E1028" s="14" t="n">
        <v>68253</v>
      </c>
      <c r="F1028" s="14" t="n">
        <v>1425.5</v>
      </c>
      <c r="G1028" s="14" t="n">
        <v>7826</v>
      </c>
      <c r="H1028" s="13" t="inlineStr">
        <is>
          <t>Car#1026</t>
        </is>
      </c>
      <c r="I1028" s="14">
        <f>E1028-E1027</f>
        <v/>
      </c>
      <c r="J1028" s="14">
        <f>I1028-58</f>
        <v/>
      </c>
      <c r="K1028" s="14">
        <f>MAX(0,J1028)</f>
        <v/>
      </c>
      <c r="L1028" s="14">
        <f>MAX(0,-J1028)</f>
        <v/>
      </c>
      <c r="M1028" s="14">
        <f>M1027+I1028</f>
        <v/>
      </c>
      <c r="N1028" s="14">
        <f>D1028+F1028-E1028</f>
        <v/>
      </c>
      <c r="O1028" s="13" t="inlineStr">
        <is>
          <t>能力满足</t>
        </is>
      </c>
      <c r="P1028" s="13" t="inlineStr">
        <is>
          <t>ST1 引取(开:66827.5s 加:55.0s 等前:7261.5s 等后:26.5s) | ST2 集约(开:66909.0s 加:106.0s 等前:0.0s 等后:37.5s) | ST3 空气悬挂+快充(开:67052.5s 加:0.0s 等前:0.0s 等后:120.5s) | ST4 四轮定位上、下(开:67173.0s 加:115.0s 等前:0.0s 等后:0.0s) | ST5 ADAS(开:67288.0s 加:97.0s 等前:0.0s 等后:40.0s) | ST6 ARHUD+慢充(开:67425.0s 加:0.0s 等前:0.0s 等后:114.5s) | ST7 转毂(开:67539.5s 加:116.0s 等前:0.0s 等后:0.0s) | ST8 制动(开:67655.5s 加:108.0s 等前:0.0s 等后:2.5s) | ST9 EG漏液/底盘漏液(开:67766.0s 加:115.0s 等前:0.0s 等后:0.0s) | ST10 全景/空调检查(开:67881.0s 加:98.0s 等前:0.0s 等后:0.0s) | ST11 气囊安装+绝缘(开:67979.0s 加:0.0s 等前:0.0s 等后:0.0s) | ST12 L2++(开:67979.0s 加:0.0s 等前:0.0s 等后:75.5s) | ST13 电检1(开:68054.5s 加:0.0s 等前:0.0s 等后:97.5s) | ST14 电检2(开:68152.0s 加:0.0s 等前:0.0s 等后:50.0s) | ST15 小跑道(开:68202.0s 加:51.0s 等前:0.0s 等后:0.0s)</t>
        </is>
      </c>
    </row>
    <row r="1029">
      <c r="A1029" s="15" t="n">
        <v>1028</v>
      </c>
      <c r="B1029" s="15" t="inlineStr">
        <is>
          <t>Car#1027</t>
        </is>
      </c>
      <c r="C1029" s="15" t="inlineStr">
        <is>
          <t>C</t>
        </is>
      </c>
      <c r="D1029" s="16" t="n">
        <v>66771.5</v>
      </c>
      <c r="E1029" s="16" t="n">
        <v>68303</v>
      </c>
      <c r="F1029" s="16" t="n">
        <v>1531.5</v>
      </c>
      <c r="G1029" s="16" t="n">
        <v>7371.5</v>
      </c>
      <c r="H1029" s="15" t="inlineStr">
        <is>
          <t>Car#1028</t>
        </is>
      </c>
      <c r="I1029" s="16">
        <f>E1029-E1028</f>
        <v/>
      </c>
      <c r="J1029" s="16">
        <f>I1029-58</f>
        <v/>
      </c>
      <c r="K1029" s="16">
        <f>MAX(0,J1029)</f>
        <v/>
      </c>
      <c r="L1029" s="16">
        <f>MAX(0,-J1029)</f>
        <v/>
      </c>
      <c r="M1029" s="16">
        <f>M1028+I1029</f>
        <v/>
      </c>
      <c r="N1029" s="16">
        <f>D1029+F1029-E1029</f>
        <v/>
      </c>
      <c r="O1029" s="15" t="inlineStr">
        <is>
          <t>能力超目标：四轮定位上、下、ARHUD+慢充</t>
        </is>
      </c>
      <c r="P1029" s="15" t="inlineStr">
        <is>
          <t>ST1 引取(开:66771.5s 加:56.0s 等前:7263.5s 等后:0.0s) | ST2 集约(开:66827.5s 加:111.0s 等前:0.0s 等后:14.0s) | ST3 空气悬挂+快充(开:66952.5s 加:108.5s 等前:0.0s 等后:12.0s) | ST4 四轮定位上、下(开:67073.0s 加:120.5s 等前:0.0s 等后:0.0s) | ST5 ADAS(开:67193.5s 加:107.0s 等前:0.0s 等后:24.5s) | ST6 ARHUD+慢充(开:67325.0s 加:143.5s 等前:0.0s 等后:0.0s) | ST7 转毂(开:67468.5s 加:114.5s 等前:0.0s 等后:0.0s) | ST8 制动(开:67583.0s 加:114.0s 等前:0.0s 等后:0.0s) | ST9 EG漏液/底盘漏液(开:67697.0s 加:112.5s 等前:0.0s 等后:0.0s) | ST10 全景/空调检查(开:67809.5s 加:0.0s 等前:0.0s 等后:0.0s) | ST11 气囊安装+绝缘(开:67809.5s 加:116.0s 等前:0.0s 等后:0.0s) | ST12 L2++(开:67925.5s 加:88.0s 等前:0.0s 等后:0.0s) | ST13 电检1(开:68013.5s 加:84.5s 等前:0.0s 等后:0.0s) | ST14 电检2(开:68098.0s 加:97.5s 等前:0.0s 等后:57.5s) | ST15 小跑道(开:68253.0s 加:50.0s 等前:0.0s 等后:0.0s)</t>
        </is>
      </c>
    </row>
    <row r="1030">
      <c r="A1030" s="13" t="n">
        <v>1029</v>
      </c>
      <c r="B1030" s="13" t="inlineStr">
        <is>
          <t>Car#1030</t>
        </is>
      </c>
      <c r="C1030" s="13" t="inlineStr">
        <is>
          <t>A</t>
        </is>
      </c>
      <c r="D1030" s="14" t="n">
        <v>66964</v>
      </c>
      <c r="E1030" s="14" t="n">
        <v>68354</v>
      </c>
      <c r="F1030" s="14" t="n">
        <v>1390</v>
      </c>
      <c r="G1030" s="14" t="n">
        <v>7811</v>
      </c>
      <c r="H1030" s="13" t="inlineStr">
        <is>
          <t>Car#1027</t>
        </is>
      </c>
      <c r="I1030" s="14">
        <f>E1030-E1029</f>
        <v/>
      </c>
      <c r="J1030" s="14">
        <f>I1030-58</f>
        <v/>
      </c>
      <c r="K1030" s="14">
        <f>MAX(0,J1030)</f>
        <v/>
      </c>
      <c r="L1030" s="14">
        <f>MAX(0,-J1030)</f>
        <v/>
      </c>
      <c r="M1030" s="14">
        <f>M1029+I1030</f>
        <v/>
      </c>
      <c r="N1030" s="14">
        <f>D1030+F1030-E1030</f>
        <v/>
      </c>
      <c r="O1030" s="13" t="inlineStr">
        <is>
          <t>能力满足</t>
        </is>
      </c>
      <c r="P1030" s="13" t="inlineStr">
        <is>
          <t>ST1 引取(开:66964.0s 加:55.0s 等前:7282.0s 等后:33.5s) | ST2 集约(开:67052.5s 加:106.0s 等前:0.0s 等后:14.5s) | ST3 空气悬挂+快充(开:67173.0s 加:0.0s 等前:0.0s 等后:115.0s) | ST4 四轮定位上、下(开:67288.0s 加:115.0s 等前:0.0s 等后:22.0s) | ST5 ADAS(开:67425.0s 加:97.0s 等前:0.0s 等后:17.5s) | ST6 ARHUD+慢充(开:67539.5s 加:0.0s 等前:0.0s 等后:116.0s) | ST7 转毂(开:67655.5s 加:116.0s 等前:0.0s 等后:0.0s) | ST8 制动(开:67771.5s 加:108.0s 等前:0.0s 等后:1.5s) | ST9 EG漏液/底盘漏液(开:67881.0s 加:115.0s 等前:0.0s 等后:0.0s) | ST10 全景/空调检查(开:67996.0s 加:98.0s 等前:0.0s 等后:0.0s) | ST11 气囊安装+绝缘(开:68094.0s 加:0.0s 等前:0.0s 等后:0.0s) | ST12 L2++(开:68094.0s 加:0.0s 等前:0.0s 等后:58.0s) | ST13 电检1(开:68152.0s 加:0.0s 等前:0.0s 等后:50.0s) | ST14 电检2(开:68202.0s 加:0.0s 等前:0.0s 等后:101.0s) | ST15 小跑道(开:68303.0s 加:51.0s 等前:0.0s 等后:0.0s)</t>
        </is>
      </c>
    </row>
    <row r="1031">
      <c r="A1031" s="15" t="n">
        <v>1030</v>
      </c>
      <c r="B1031" s="15" t="inlineStr">
        <is>
          <t>Car#1029</t>
        </is>
      </c>
      <c r="C1031" s="15" t="inlineStr">
        <is>
          <t>A</t>
        </is>
      </c>
      <c r="D1031" s="16" t="n">
        <v>66909</v>
      </c>
      <c r="E1031" s="16" t="n">
        <v>68405</v>
      </c>
      <c r="F1031" s="16" t="n">
        <v>1496</v>
      </c>
      <c r="G1031" s="16" t="n">
        <v>7920</v>
      </c>
      <c r="H1031" s="15" t="inlineStr">
        <is>
          <t>Car#1030</t>
        </is>
      </c>
      <c r="I1031" s="16">
        <f>E1031-E1030</f>
        <v/>
      </c>
      <c r="J1031" s="16">
        <f>I1031-58</f>
        <v/>
      </c>
      <c r="K1031" s="16">
        <f>MAX(0,J1031)</f>
        <v/>
      </c>
      <c r="L1031" s="16">
        <f>MAX(0,-J1031)</f>
        <v/>
      </c>
      <c r="M1031" s="16">
        <f>M1030+I1031</f>
        <v/>
      </c>
      <c r="N1031" s="16">
        <f>D1031+F1031-E1031</f>
        <v/>
      </c>
      <c r="O1031" s="15" t="inlineStr">
        <is>
          <t>能力满足</t>
        </is>
      </c>
      <c r="P1031" s="15" t="inlineStr">
        <is>
          <t>ST1 引取(开:66909.0s 加:55.0s 等前:7285.0s 等后:0.0s) | ST2 集约(开:66964.0s 加:106.0s 等前:0.0s 等后:3.0s) | ST3 空气悬挂+快充(开:67073.0s 加:0.0s 等前:0.0s 等后:120.5s) | ST4 四轮定位上、下(开:67193.5s 加:115.0s 等前:0.0s 等后:16.5s) | ST5 ADAS(开:67325.0s 加:97.0s 等前:0.0s 等后:46.5s) | ST6 ARHUD+慢充(开:67468.5s 加:0.0s 等前:0.0s 等后:114.5s) | ST7 转毂(开:67583.0s 加:116.0s 等前:0.0s 等后:0.0s) | ST8 制动(开:67699.0s 加:108.0s 等前:0.0s 等后:2.5s) | ST9 EG漏液/底盘漏液(开:67809.5s 加:115.0s 等前:0.0s 等后:0.0s) | ST10 全景/空调检查(开:67924.5s 加:98.0s 等前:0.0s 等后:0.0s) | ST11 气囊安装+绝缘(开:68022.5s 加:0.0s 等前:0.0s 等后:0.0s) | ST12 L2++(开:68022.5s 加:0.0s 等前:0.0s 等后:75.5s) | ST13 电检1(开:68098.0s 加:0.0s 等前:0.0s 等后:155.0s) | ST14 电检2(开:68253.0s 加:0.0s 等前:0.0s 等后:101.0s) | ST15 小跑道(开:68354.0s 加:51.0s 等前:0.0s 等后:0.0s)</t>
        </is>
      </c>
    </row>
    <row r="1032">
      <c r="A1032" s="13" t="n">
        <v>1031</v>
      </c>
      <c r="B1032" s="13" t="inlineStr">
        <is>
          <t>Car#1031</t>
        </is>
      </c>
      <c r="C1032" s="13" t="inlineStr">
        <is>
          <t>C</t>
        </is>
      </c>
      <c r="D1032" s="14" t="n">
        <v>67052.5</v>
      </c>
      <c r="E1032" s="14" t="n">
        <v>68503.5</v>
      </c>
      <c r="F1032" s="14" t="n">
        <v>1451</v>
      </c>
      <c r="G1032" s="14" t="n">
        <v>7340</v>
      </c>
      <c r="H1032" s="13" t="inlineStr">
        <is>
          <t>Car#1029</t>
        </is>
      </c>
      <c r="I1032" s="14">
        <f>E1032-E1031</f>
        <v/>
      </c>
      <c r="J1032" s="14">
        <f>I1032-58</f>
        <v/>
      </c>
      <c r="K1032" s="14">
        <f>MAX(0,J1032)</f>
        <v/>
      </c>
      <c r="L1032" s="14">
        <f>MAX(0,-J1032)</f>
        <v/>
      </c>
      <c r="M1032" s="14">
        <f>M1031+I1032</f>
        <v/>
      </c>
      <c r="N1032" s="14">
        <f>D1032+F1032-E1032</f>
        <v/>
      </c>
      <c r="O1032" s="13" t="inlineStr">
        <is>
          <t>能力超目标：四轮定位上、下、ARHUD+慢充</t>
        </is>
      </c>
      <c r="P1032" s="13" t="inlineStr">
        <is>
          <t>ST1 引取(开:67052.5s 加:56.0s 等前:7312.5s 等后:0.0s) | ST2 集约(开:67108.5s 加:111.0s 等前:0.0s 等后:0.0s) | ST3 空气悬挂+快充(开:67219.5s 加:108.5s 等前:0.0s 等后:0.0s) | ST4 四轮定位上、下(开:67328.0s 加:120.5s 等前:0.0s 等后:20.0s) | ST5 ADAS(开:67468.5s 加:107.0s 等前:0.0s 等后:7.5s) | ST6 ARHUD+慢充(开:67583.0s 加:143.5s 等前:0.0s 等后:0.0s) | ST7 转毂(开:67726.5s 加:114.5s 等前:0.0s 等后:0.0s) | ST8 制动(开:67841.0s 加:114.0s 等前:0.0s 等后:0.0s) | ST9 EG漏液/底盘漏液(开:67955.0s 加:112.5s 等前:0.0s 等后:0.0s) | ST10 全景/空调检查(开:68067.5s 加:0.0s 等前:0.0s 等后:0.0s) | ST11 气囊安装+绝缘(开:68067.5s 加:116.0s 等前:0.0s 等后:0.0s) | ST12 L2++(开:68183.5s 加:88.0s 等前:0.0s 等后:0.0s) | ST13 电检1(开:68271.5s 加:84.5s 等前:0.0s 等后:0.0s) | ST14 电检2(开:68356.0s 加:97.5s 等前:0.0s 等后:0.0s) | ST15 小跑道(开:68453.5s 加:50.0s 等前:0.0s 等后:0.0s)</t>
        </is>
      </c>
    </row>
    <row r="1033">
      <c r="A1033" s="15" t="n">
        <v>1032</v>
      </c>
      <c r="B1033" s="15" t="inlineStr">
        <is>
          <t>Car#1032</t>
        </is>
      </c>
      <c r="C1033" s="15" t="inlineStr">
        <is>
          <t>B</t>
        </is>
      </c>
      <c r="D1033" s="16" t="n">
        <v>67108.5</v>
      </c>
      <c r="E1033" s="16" t="n">
        <v>68553.5</v>
      </c>
      <c r="F1033" s="16" t="n">
        <v>1445</v>
      </c>
      <c r="G1033" s="16" t="n">
        <v>7424</v>
      </c>
      <c r="H1033" s="15" t="inlineStr">
        <is>
          <t>Car#1031</t>
        </is>
      </c>
      <c r="I1033" s="16">
        <f>E1033-E1032</f>
        <v/>
      </c>
      <c r="J1033" s="16">
        <f>I1033-58</f>
        <v/>
      </c>
      <c r="K1033" s="16">
        <f>MAX(0,J1033)</f>
        <v/>
      </c>
      <c r="L1033" s="16">
        <f>MAX(0,-J1033)</f>
        <v/>
      </c>
      <c r="M1033" s="16">
        <f>M1032+I1033</f>
        <v/>
      </c>
      <c r="N1033" s="16">
        <f>D1033+F1033-E1033</f>
        <v/>
      </c>
      <c r="O1033" s="15" t="inlineStr">
        <is>
          <t>能力超目标：四轮定位上、下</t>
        </is>
      </c>
      <c r="P1033" s="15" t="inlineStr">
        <is>
          <t>ST1 引取(开:67108.5s 加:56.0s 等前:7310.5s 等后:8.5s) | ST2 集约(开:67173.0s 加:111.0s 等前:0.0s 等后:4.0s) | ST3 空气悬挂+快充(开:67288.0s 加:108.5s 等前:0.0s 等后:28.5s) | ST4 四轮定位上、下(开:67425.0s 加:120.5s 等前:0.0s 等后:0.0s) | ST5 ADAS(开:67545.5s 加:107.0s 等前:0.0s 等后:3.0s) | ST6 ARHUD+慢充(开:67655.5s 加:51.5s 等前:0.0s 等后:64.5s) | ST7 转毂(开:67771.5s 加:114.5s 等前:0.0s 等后:0.0s) | ST8 制动(开:67886.0s 加:114.0s 等前:0.0s 等后:0.0s) | ST9 EG漏液/底盘漏液(开:68000.0s 加:112.5s 等前:0.0s 等后:0.0s) | ST10 全景/空调检查(开:68112.5s 加:0.0s 等前:0.0s 等后:0.0s) | ST11 气囊安装+绝缘(开:68112.5s 加:116.0s 等前:0.0s 等后:0.0s) | ST12 L2++(开:68228.5s 加:88.0s 等前:0.0s 等后:0.0s) | ST13 电检1(开:68316.5s 加:84.5s 等前:0.0s 等后:0.0s) | ST14 电检2(开:68401.0s 加:97.5s 等前:0.0s 等后:5.0s) | ST15 小跑道(开:68503.5s 加:50.0s 等前:0.0s 等后:0.0s)</t>
        </is>
      </c>
    </row>
    <row r="1034">
      <c r="A1034" s="13" t="n">
        <v>1033</v>
      </c>
      <c r="B1034" s="13" t="inlineStr">
        <is>
          <t>Car#1033</t>
        </is>
      </c>
      <c r="C1034" s="13" t="inlineStr">
        <is>
          <t>C</t>
        </is>
      </c>
      <c r="D1034" s="14" t="n">
        <v>67173</v>
      </c>
      <c r="E1034" s="14" t="n">
        <v>68647</v>
      </c>
      <c r="F1034" s="14" t="n">
        <v>1474</v>
      </c>
      <c r="G1034" s="14" t="n">
        <v>7367.5</v>
      </c>
      <c r="H1034" s="13" t="inlineStr">
        <is>
          <t>Car#1032</t>
        </is>
      </c>
      <c r="I1034" s="14">
        <f>E1034-E1033</f>
        <v/>
      </c>
      <c r="J1034" s="14">
        <f>I1034-58</f>
        <v/>
      </c>
      <c r="K1034" s="14">
        <f>MAX(0,J1034)</f>
        <v/>
      </c>
      <c r="L1034" s="14">
        <f>MAX(0,-J1034)</f>
        <v/>
      </c>
      <c r="M1034" s="14">
        <f>M1033+I1034</f>
        <v/>
      </c>
      <c r="N1034" s="14">
        <f>D1034+F1034-E1034</f>
        <v/>
      </c>
      <c r="O1034" s="13" t="inlineStr">
        <is>
          <t>能力超目标：四轮定位上、下、ARHUD+慢充</t>
        </is>
      </c>
      <c r="P1034" s="13" t="inlineStr">
        <is>
          <t>ST1 引取(开:67173.0s 加:56.0s 等前:7317.0s 等后:0.0s) | ST2 集约(开:67229.0s 加:111.0s 等前:0.0s 等后:0.0s) | ST3 空气悬挂+快充(开:67340.0s 加:108.5s 等前:0.0s 等后:20.0s) | ST4 四轮定位上、下(开:67468.5s 加:120.5s 等前:0.0s 等后:0.0s) | ST5 ADAS(开:67589.0s 加:107.0s 等前:0.0s 等后:30.5s) | ST6 ARHUD+慢充(开:67726.5s 加:143.5s 等前:0.0s 等后:0.0s) | ST7 转毂(开:67870.0s 加:114.5s 等前:0.0s 等后:0.0s) | ST8 制动(开:67984.5s 加:114.0s 等前:0.0s 等后:0.0s) | ST9 EG漏液/底盘漏液(开:68098.5s 加:112.5s 等前:0.0s 等后:0.0s) | ST10 全景/空调检查(开:68211.0s 加:0.0s 等前:0.0s 等后:0.0s) | ST11 气囊安装+绝缘(开:68211.0s 加:116.0s 等前:0.0s 等后:0.0s) | ST12 L2++(开:68327.0s 加:88.0s 等前:0.0s 等后:0.0s) | ST13 电检1(开:68415.0s 加:84.5s 等前:0.0s 等后:0.0s) | ST14 电检2(开:68499.5s 加:97.5s 等前:0.0s 等后:0.0s) | ST15 小跑道(开:68597.0s 加:50.0s 等前:0.0s 等后:0.0s)</t>
        </is>
      </c>
    </row>
    <row r="1035">
      <c r="A1035" s="15" t="n">
        <v>1034</v>
      </c>
      <c r="B1035" s="15" t="inlineStr">
        <is>
          <t>Car#1034</t>
        </is>
      </c>
      <c r="C1035" s="15" t="inlineStr">
        <is>
          <t>C</t>
        </is>
      </c>
      <c r="D1035" s="16" t="n">
        <v>67229</v>
      </c>
      <c r="E1035" s="16" t="n">
        <v>68697</v>
      </c>
      <c r="F1035" s="16" t="n">
        <v>1468</v>
      </c>
      <c r="G1035" s="16" t="n">
        <v>7359.5</v>
      </c>
      <c r="H1035" s="15" t="inlineStr">
        <is>
          <t>Car#1033</t>
        </is>
      </c>
      <c r="I1035" s="16">
        <f>E1035-E1034</f>
        <v/>
      </c>
      <c r="J1035" s="16">
        <f>I1035-58</f>
        <v/>
      </c>
      <c r="K1035" s="16">
        <f>MAX(0,J1035)</f>
        <v/>
      </c>
      <c r="L1035" s="16">
        <f>MAX(0,-J1035)</f>
        <v/>
      </c>
      <c r="M1035" s="16">
        <f>M1034+I1035</f>
        <v/>
      </c>
      <c r="N1035" s="16">
        <f>D1035+F1035-E1035</f>
        <v/>
      </c>
      <c r="O1035" s="15" t="inlineStr">
        <is>
          <t>能力超目标：四轮定位上、下、ARHUD+慢充</t>
        </is>
      </c>
      <c r="P1035" s="15" t="inlineStr">
        <is>
          <t>ST1 引取(开:67229.0s 加:56.0s 等前:7315.0s 等后:3.0s) | ST2 集约(开:67288.0s 加:111.0s 等前:0.0s 等后:26.0s) | ST3 空气悬挂+快充(开:67425.0s 加:108.5s 等前:0.0s 等后:12.0s) | ST4 四轮定位上、下(开:67545.5s 加:120.5s 等前:0.0s 等后:0.0s) | ST5 ADAS(开:67666.0s 加:107.0s 等前:0.0s 等后:0.0s) | ST6 ARHUD+慢充(开:67773.0s 加:143.5s 等前:0.0s 等后:0.0s) | ST7 转毂(开:67916.5s 加:114.5s 等前:0.0s 等后:0.0s) | ST8 制动(开:68031.0s 加:114.0s 等前:0.0s 等后:0.0s) | ST9 EG漏液/底盘漏液(开:68145.0s 加:112.5s 等前:0.0s 等后:0.0s) | ST10 全景/空调检查(开:68257.5s 加:0.0s 等前:0.0s 等后:0.0s) | ST11 气囊安装+绝缘(开:68257.5s 加:116.0s 等前:0.0s 等后:0.0s) | ST12 L2++(开:68373.5s 加:88.0s 等前:0.0s 等后:0.0s) | ST13 电检1(开:68461.5s 加:84.5s 等前:0.0s 等后:0.0s) | ST14 电检2(开:68546.0s 加:97.5s 等前:0.0s 等后:3.5s) | ST15 小跑道(开:68647.0s 加:50.0s 等前:0.0s 等后:0.0s)</t>
        </is>
      </c>
    </row>
    <row r="1036">
      <c r="A1036" s="13" t="n">
        <v>1035</v>
      </c>
      <c r="B1036" s="13" t="inlineStr">
        <is>
          <t>Car#1035</t>
        </is>
      </c>
      <c r="C1036" s="13" t="inlineStr">
        <is>
          <t>C</t>
        </is>
      </c>
      <c r="D1036" s="14" t="n">
        <v>67288</v>
      </c>
      <c r="E1036" s="14" t="n">
        <v>68790.5</v>
      </c>
      <c r="F1036" s="14" t="n">
        <v>1502.5</v>
      </c>
      <c r="G1036" s="14" t="n">
        <v>7395</v>
      </c>
      <c r="H1036" s="13" t="inlineStr">
        <is>
          <t>Car#1034</t>
        </is>
      </c>
      <c r="I1036" s="14">
        <f>E1036-E1035</f>
        <v/>
      </c>
      <c r="J1036" s="14">
        <f>I1036-58</f>
        <v/>
      </c>
      <c r="K1036" s="14">
        <f>MAX(0,J1036)</f>
        <v/>
      </c>
      <c r="L1036" s="14">
        <f>MAX(0,-J1036)</f>
        <v/>
      </c>
      <c r="M1036" s="14">
        <f>M1035+I1036</f>
        <v/>
      </c>
      <c r="N1036" s="14">
        <f>D1036+F1036-E1036</f>
        <v/>
      </c>
      <c r="O1036" s="13" t="inlineStr">
        <is>
          <t>能力超目标：四轮定位上、下、ARHUD+慢充</t>
        </is>
      </c>
      <c r="P1036" s="13" t="inlineStr">
        <is>
          <t>ST1 引取(开:67288.0s 加:56.0s 等前:7316.0s 等后:0.0s) | ST2 集约(开:67344.0s 加:111.0s 等前:0.0s 等后:13.5s) | ST3 空气悬挂+快充(开:67468.5s 加:108.5s 等前:0.0s 等后:12.0s) | ST4 四轮定位上、下(开:67589.0s 加:120.5s 等前:0.0s 等后:17.0s) | ST5 ADAS(开:67726.5s 加:107.0s 等前:0.0s 等后:36.5s) | ST6 ARHUD+慢充(开:67870.0s 加:143.5s 等前:0.0s 等后:0.0s) | ST7 转毂(开:68013.5s 加:114.5s 等前:0.0s 等后:0.0s) | ST8 制动(开:68128.0s 加:114.0s 等前:0.0s 等后:0.0s) | ST9 EG漏液/底盘漏液(开:68242.0s 加:112.5s 等前:0.0s 等后:0.0s) | ST10 全景/空调检查(开:68354.5s 加:0.0s 等前:0.0s 等后:0.0s) | ST11 气囊安装+绝缘(开:68354.5s 加:116.0s 等前:0.0s 等后:0.0s) | ST12 L2++(开:68470.5s 加:88.0s 等前:0.0s 等后:0.0s) | ST13 电检1(开:68558.5s 加:84.5s 等前:0.0s 等后:0.0s) | ST14 电检2(开:68643.0s 加:97.5s 等前:0.0s 等后:0.0s) | ST15 小跑道(开:68740.5s 加:50.0s 等前:0.0s 等后:0.0s)</t>
        </is>
      </c>
    </row>
    <row r="1037">
      <c r="A1037" s="15" t="n">
        <v>1036</v>
      </c>
      <c r="B1037" s="15" t="inlineStr">
        <is>
          <t>Car#1036</t>
        </is>
      </c>
      <c r="C1037" s="15" t="inlineStr">
        <is>
          <t>B</t>
        </is>
      </c>
      <c r="D1037" s="16" t="n">
        <v>67344</v>
      </c>
      <c r="E1037" s="16" t="n">
        <v>68840.5</v>
      </c>
      <c r="F1037" s="16" t="n">
        <v>1496.5</v>
      </c>
      <c r="G1037" s="16" t="n">
        <v>7479</v>
      </c>
      <c r="H1037" s="15" t="inlineStr">
        <is>
          <t>Car#1035</t>
        </is>
      </c>
      <c r="I1037" s="16">
        <f>E1037-E1036</f>
        <v/>
      </c>
      <c r="J1037" s="16">
        <f>I1037-58</f>
        <v/>
      </c>
      <c r="K1037" s="16">
        <f>MAX(0,J1037)</f>
        <v/>
      </c>
      <c r="L1037" s="16">
        <f>MAX(0,-J1037)</f>
        <v/>
      </c>
      <c r="M1037" s="16">
        <f>M1036+I1037</f>
        <v/>
      </c>
      <c r="N1037" s="16">
        <f>D1037+F1037-E1037</f>
        <v/>
      </c>
      <c r="O1037" s="15" t="inlineStr">
        <is>
          <t>能力超目标：四轮定位上、下</t>
        </is>
      </c>
      <c r="P1037" s="15" t="inlineStr">
        <is>
          <t>ST1 引取(开:67344.0s 加:56.0s 等前:7314.0s 等后:25.0s) | ST2 集约(开:67425.0s 加:111.0s 等前:0.0s 等后:9.5s) | ST3 空气悬挂+快充(开:67545.5s 加:108.5s 等前:0.0s 等后:12.0s) | ST4 四轮定位上、下(开:67666.0s 加:120.5s 等前:0.0s 等后:0.0s) | ST5 ADAS(开:67786.5s 加:107.0s 等前:0.0s 等后:23.0s) | ST6 ARHUD+慢充(开:67916.5s 加:51.5s 等前:0.0s 等后:63.0s) | ST7 转毂(开:68031.0s 加:114.5s 等前:0.0s 等后:0.0s) | ST8 制动(开:68145.5s 加:114.0s 等前:0.0s 等后:0.0s) | ST9 EG漏液/底盘漏液(开:68259.5s 加:112.5s 等前:0.0s 等后:0.0s) | ST10 全景/空调检查(开:68372.0s 加:0.0s 等前:0.0s 等后:1.5s) | ST11 气囊安装+绝缘(开:68373.5s 加:116.0s 等前:0.0s 等后:0.0s) | ST12 L2++(开:68489.5s 加:88.0s 等前:0.0s 等后:0.0s) | ST13 电检1(开:68577.5s 加:84.5s 等前:0.0s 等后:0.0s) | ST14 电检2(开:68662.0s 加:97.5s 等前:0.0s 等后:31.0s) | ST15 小跑道(开:68790.5s 加:50.0s 等前:0.0s 等后:0.0s)</t>
        </is>
      </c>
    </row>
    <row r="1038">
      <c r="A1038" s="13" t="n">
        <v>1037</v>
      </c>
      <c r="B1038" s="13" t="inlineStr">
        <is>
          <t>Car#1037</t>
        </is>
      </c>
      <c r="C1038" s="13" t="inlineStr">
        <is>
          <t>B</t>
        </is>
      </c>
      <c r="D1038" s="14" t="n">
        <v>67425</v>
      </c>
      <c r="E1038" s="14" t="n">
        <v>68906.5</v>
      </c>
      <c r="F1038" s="14" t="n">
        <v>1481.5</v>
      </c>
      <c r="G1038" s="14" t="n">
        <v>7487</v>
      </c>
      <c r="H1038" s="13" t="inlineStr">
        <is>
          <t>Car#1036</t>
        </is>
      </c>
      <c r="I1038" s="14">
        <f>E1038-E1037</f>
        <v/>
      </c>
      <c r="J1038" s="14">
        <f>I1038-58</f>
        <v/>
      </c>
      <c r="K1038" s="14">
        <f>MAX(0,J1038)</f>
        <v/>
      </c>
      <c r="L1038" s="14">
        <f>MAX(0,-J1038)</f>
        <v/>
      </c>
      <c r="M1038" s="14">
        <f>M1037+I1038</f>
        <v/>
      </c>
      <c r="N1038" s="14">
        <f>D1038+F1038-E1038</f>
        <v/>
      </c>
      <c r="O1038" s="13" t="inlineStr">
        <is>
          <t>能力超目标：四轮定位上、下</t>
        </is>
      </c>
      <c r="P1038" s="13" t="inlineStr">
        <is>
          <t>ST1 引取(开:67425.0s 加:56.0s 等前:7337.0s 等后:0.0s) | ST2 集约(开:67481.0s 加:111.0s 等前:0.0s 等后:0.0s) | ST3 空气悬挂+快充(开:67592.0s 加:108.5s 等前:0.0s 等后:26.0s) | ST4 四轮定位上、下(开:67726.5s 加:120.5s 等前:0.0s 等后:23.0s) | ST5 ADAS(开:67870.0s 加:107.0s 等前:0.0s 等后:36.5s) | ST6 ARHUD+慢充(开:68013.5s 加:51.5s 等前:0.0s 等后:63.0s) | ST7 转毂(开:68128.0s 加:114.5s 等前:0.0s 等后:0.0s) | ST8 制动(开:68242.5s 加:114.0s 等前:0.0s 等后:0.0s) | ST9 EG漏液/底盘漏液(开:68356.5s 加:112.5s 等前:0.0s 等后:0.0s) | ST10 全景/空调检查(开:68469.0s 加:0.0s 等前:0.0s 等后:1.5s) | ST11 气囊安装+绝缘(开:68470.5s 加:116.0s 等前:0.0s 等后:0.0s) | ST12 L2++(开:68586.5s 加:88.0s 等前:0.0s 等后:0.0s) | ST13 电检1(开:68674.5s 加:84.5s 等前:0.0s 等后:0.0s) | ST14 电检2(开:68759.0s 加:97.5s 等前:0.0s 等后:0.0s) | ST15 小跑道(开:68856.5s 加:50.0s 等前:0.0s 等后:0.0s)</t>
        </is>
      </c>
    </row>
    <row r="1039">
      <c r="A1039" s="15" t="n">
        <v>1038</v>
      </c>
      <c r="B1039" s="15" t="inlineStr">
        <is>
          <t>Car#1038</t>
        </is>
      </c>
      <c r="C1039" s="15" t="inlineStr">
        <is>
          <t>B</t>
        </is>
      </c>
      <c r="D1039" s="16" t="n">
        <v>67481</v>
      </c>
      <c r="E1039" s="16" t="n">
        <v>68956.5</v>
      </c>
      <c r="F1039" s="16" t="n">
        <v>1475.5</v>
      </c>
      <c r="G1039" s="16" t="n">
        <v>7479</v>
      </c>
      <c r="H1039" s="15" t="inlineStr">
        <is>
          <t>Car#1037</t>
        </is>
      </c>
      <c r="I1039" s="16">
        <f>E1039-E1038</f>
        <v/>
      </c>
      <c r="J1039" s="16">
        <f>I1039-58</f>
        <v/>
      </c>
      <c r="K1039" s="16">
        <f>MAX(0,J1039)</f>
        <v/>
      </c>
      <c r="L1039" s="16">
        <f>MAX(0,-J1039)</f>
        <v/>
      </c>
      <c r="M1039" s="16">
        <f>M1038+I1039</f>
        <v/>
      </c>
      <c r="N1039" s="16">
        <f>D1039+F1039-E1039</f>
        <v/>
      </c>
      <c r="O1039" s="15" t="inlineStr">
        <is>
          <t>能力超目标：四轮定位上、下</t>
        </is>
      </c>
      <c r="P1039" s="15" t="inlineStr">
        <is>
          <t>ST1 引取(开:67481.0s 加:56.0s 等前:7335.0s 等后:8.5s) | ST2 集约(开:67545.5s 加:111.0s 等前:0.0s 等后:9.5s) | ST3 空气悬挂+快充(开:67666.0s 加:108.5s 等前:0.0s 等后:12.0s) | ST4 四轮定位上、下(开:67786.5s 加:120.5s 等前:0.0s 等后:9.5s) | ST5 ADAS(开:67916.5s 加:107.0s 等前:0.0s 等后:7.5s) | ST6 ARHUD+慢充(开:68031.0s 加:51.5s 等前:0.0s 等后:63.0s) | ST7 转毂(开:68145.5s 加:114.5s 等前:0.0s 等后:0.0s) | ST8 制动(开:68260.0s 加:114.0s 等前:0.0s 等后:0.0s) | ST9 EG漏液/底盘漏液(开:68374.0s 加:112.5s 等前:0.0s 等后:0.0s) | ST10 全景/空调检查(开:68486.5s 加:0.0s 等前:0.0s 等后:3.0s) | ST11 气囊安装+绝缘(开:68489.5s 加:116.0s 等前:0.0s 等后:0.0s) | ST12 L2++(开:68605.5s 加:88.0s 等前:0.0s 等后:0.0s) | ST13 电检1(开:68693.5s 加:84.5s 等前:0.0s 等后:12.5s) | ST14 电检2(开:68790.5s 加:97.5s 等前:0.0s 等后:18.5s) | ST15 小跑道(开:68906.5s 加:50.0s 等前:0.0s 等后:0.0s)</t>
        </is>
      </c>
    </row>
    <row r="1040">
      <c r="A1040" s="13" t="n">
        <v>1039</v>
      </c>
      <c r="B1040" s="13" t="inlineStr">
        <is>
          <t>Car#1040</t>
        </is>
      </c>
      <c r="C1040" s="13" t="inlineStr">
        <is>
          <t>A</t>
        </is>
      </c>
      <c r="D1040" s="14" t="n">
        <v>67601.5</v>
      </c>
      <c r="E1040" s="14" t="n">
        <v>69007.5</v>
      </c>
      <c r="F1040" s="14" t="n">
        <v>1406</v>
      </c>
      <c r="G1040" s="14" t="n">
        <v>7884.5</v>
      </c>
      <c r="H1040" s="13" t="inlineStr">
        <is>
          <t>Car#1038</t>
        </is>
      </c>
      <c r="I1040" s="14">
        <f>E1040-E1039</f>
        <v/>
      </c>
      <c r="J1040" s="14">
        <f>I1040-58</f>
        <v/>
      </c>
      <c r="K1040" s="14">
        <f>MAX(0,J1040)</f>
        <v/>
      </c>
      <c r="L1040" s="14">
        <f>MAX(0,-J1040)</f>
        <v/>
      </c>
      <c r="M1040" s="14">
        <f>M1039+I1040</f>
        <v/>
      </c>
      <c r="N1040" s="14">
        <f>D1040+F1040-E1040</f>
        <v/>
      </c>
      <c r="O1040" s="13" t="inlineStr">
        <is>
          <t>能力满足</t>
        </is>
      </c>
      <c r="P1040" s="13" t="inlineStr">
        <is>
          <t>ST1 引取(开:67601.5s 加:55.0s 等前:7339.5s 等后:9.5s) | ST2 集约(开:67666.0s 加:106.0s 等前:0.0s 等后:14.5s) | ST3 空气悬挂+快充(开:67786.5s 加:0.0s 等前:0.0s 等后:130.0s) | ST4 四轮定位上、下(开:67916.5s 加:115.0s 等前:0.0s 等后:0.0s) | ST5 ADAS(开:68031.5s 加:97.0s 等前:0.0s 等后:17.0s) | ST6 ARHUD+慢充(开:68145.5s 加:0.0s 等前:0.0s 等后:114.5s) | ST7 转毂(开:68260.0s 加:116.0s 等前:0.0s 等后:0.0s) | ST8 制动(开:68376.0s 加:108.0s 等前:0.0s 等后:2.5s) | ST9 EG漏液/底盘漏液(开:68486.5s 加:115.0s 等前:0.0s 等后:0.0s) | ST10 全景/空调检查(开:68601.5s 加:98.0s 等前:0.0s 等后:0.0s) | ST11 气囊安装+绝缘(开:68699.5s 加:0.0s 等前:0.0s 等后:0.0s) | ST12 L2++(开:68699.5s 加:0.0s 等前:0.0s 等后:91.0s) | ST13 电检1(开:68790.5s 加:0.0s 等前:0.0s 等后:116.0s) | ST14 电检2(开:68906.5s 加:0.0s 等前:0.0s 等后:50.0s) | ST15 小跑道(开:68956.5s 加:51.0s 等前:0.0s 等后:0.0s)</t>
        </is>
      </c>
    </row>
    <row r="1041">
      <c r="A1041" s="15" t="n">
        <v>1040</v>
      </c>
      <c r="B1041" s="15" t="inlineStr">
        <is>
          <t>Car#1039</t>
        </is>
      </c>
      <c r="C1041" s="15" t="inlineStr">
        <is>
          <t>C</t>
        </is>
      </c>
      <c r="D1041" s="16" t="n">
        <v>67545.5</v>
      </c>
      <c r="E1041" s="16" t="n">
        <v>69057.5</v>
      </c>
      <c r="F1041" s="16" t="n">
        <v>1512</v>
      </c>
      <c r="G1041" s="16" t="n">
        <v>7430</v>
      </c>
      <c r="H1041" s="15" t="inlineStr">
        <is>
          <t>Car#1040</t>
        </is>
      </c>
      <c r="I1041" s="16">
        <f>E1041-E1040</f>
        <v/>
      </c>
      <c r="J1041" s="16">
        <f>I1041-58</f>
        <v/>
      </c>
      <c r="K1041" s="16">
        <f>MAX(0,J1041)</f>
        <v/>
      </c>
      <c r="L1041" s="16">
        <f>MAX(0,-J1041)</f>
        <v/>
      </c>
      <c r="M1041" s="16">
        <f>M1040+I1041</f>
        <v/>
      </c>
      <c r="N1041" s="16">
        <f>D1041+F1041-E1041</f>
        <v/>
      </c>
      <c r="O1041" s="15" t="inlineStr">
        <is>
          <t>能力超目标：四轮定位上、下、ARHUD+慢充</t>
        </is>
      </c>
      <c r="P1041" s="15" t="inlineStr">
        <is>
          <t>ST1 引取(开:67545.5s 加:56.0s 等前:7341.5s 等后:0.0s) | ST2 集约(开:67601.5s 加:111.0s 等前:0.0s 等后:14.0s) | ST3 空气悬挂+快充(开:67726.5s 加:108.5s 等前:0.0s 等后:35.0s) | ST4 四轮定位上、下(开:67870.0s 加:120.5s 等前:0.0s 等后:23.0s) | ST5 ADAS(开:68013.5s 加:107.0s 等前:0.0s 等后:7.5s) | ST6 ARHUD+慢充(开:68128.0s 加:143.5s 等前:0.0s 等后:0.0s) | ST7 转毂(开:68271.5s 加:114.5s 等前:0.0s 等后:0.0s) | ST8 制动(开:68386.0s 加:114.0s 等前:0.0s 等后:0.0s) | ST9 EG漏液/底盘漏液(开:68500.0s 加:112.5s 等前:0.0s 等后:0.0s) | ST10 全景/空调检查(开:68612.5s 加:0.0s 等前:0.0s 等后:0.0s) | ST11 气囊安装+绝缘(开:68612.5s 加:116.0s 等前:0.0s 等后:0.0s) | ST12 L2++(开:68728.5s 加:88.0s 等前:0.0s 等后:0.0s) | ST13 电检1(开:68816.5s 加:84.5s 等前:0.0s 等后:0.0s) | ST14 电检2(开:68901.0s 加:97.5s 等前:0.0s 等后:9.0s) | ST15 小跑道(开:69007.5s 加:50.0s 等前:0.0s 等后:0.0s)</t>
        </is>
      </c>
    </row>
    <row r="1042">
      <c r="A1042" s="13" t="n">
        <v>1041</v>
      </c>
      <c r="B1042" s="13" t="inlineStr">
        <is>
          <t>Car#1042</t>
        </is>
      </c>
      <c r="C1042" s="13" t="inlineStr">
        <is>
          <t>C</t>
        </is>
      </c>
      <c r="D1042" s="14" t="n">
        <v>67726.5</v>
      </c>
      <c r="E1042" s="14" t="n">
        <v>69180.5</v>
      </c>
      <c r="F1042" s="14" t="n">
        <v>1454</v>
      </c>
      <c r="G1042" s="14" t="n">
        <v>7379</v>
      </c>
      <c r="H1042" s="13" t="inlineStr">
        <is>
          <t>Car#1039</t>
        </is>
      </c>
      <c r="I1042" s="14">
        <f>E1042-E1041</f>
        <v/>
      </c>
      <c r="J1042" s="14">
        <f>I1042-58</f>
        <v/>
      </c>
      <c r="K1042" s="14">
        <f>MAX(0,J1042)</f>
        <v/>
      </c>
      <c r="L1042" s="14">
        <f>MAX(0,-J1042)</f>
        <v/>
      </c>
      <c r="M1042" s="14">
        <f>M1041+I1042</f>
        <v/>
      </c>
      <c r="N1042" s="14">
        <f>D1042+F1042-E1042</f>
        <v/>
      </c>
      <c r="O1042" s="13" t="inlineStr">
        <is>
          <t>能力超目标：四轮定位上、下、ARHUD+慢充</t>
        </is>
      </c>
      <c r="P1042" s="13" t="inlineStr">
        <is>
          <t>ST1 引取(开:67726.5s 加:56.0s 等前:7348.5s 等后:4.0s) | ST2 集约(开:67786.5s 加:111.0s 等前:0.0s 等后:19.0s) | ST3 空气悬挂+快充(开:67916.5s 加:108.5s 等前:0.0s 等后:6.5s) | ST4 四轮定位上、下(开:68031.5s 加:120.5s 等前:0.0s 等后:0.0s) | ST5 ADAS(开:68152.0s 加:107.0s 等前:0.0s 等后:1.0s) | ST6 ARHUD+慢充(开:68260.0s 加:143.5s 等前:0.0s 等后:0.0s) | ST7 转毂(开:68403.5s 加:114.5s 等前:0.0s 等后:0.0s) | ST8 制动(开:68518.0s 加:114.0s 等前:0.0s 等后:0.0s) | ST9 EG漏液/底盘漏液(开:68632.0s 加:112.5s 等前:0.0s 等后:0.0s) | ST10 全景/空调检查(开:68744.5s 加:0.0s 等前:0.0s 等后:0.0s) | ST11 气囊安装+绝缘(开:68744.5s 加:116.0s 等前:0.0s 等后:0.0s) | ST12 L2++(开:68860.5s 加:88.0s 等前:0.0s 等后:0.0s) | ST13 电检1(开:68948.5s 加:84.5s 等前:0.0s 等后:0.0s) | ST14 电检2(开:69033.0s 加:97.5s 等前:0.0s 等后:0.0s) | ST15 小跑道(开:69130.5s 加:50.0s 等前:0.0s 等后:0.0s)</t>
        </is>
      </c>
    </row>
    <row r="1043">
      <c r="A1043" s="15" t="n">
        <v>1042</v>
      </c>
      <c r="B1043" s="15" t="inlineStr">
        <is>
          <t>Car#1041</t>
        </is>
      </c>
      <c r="C1043" s="15" t="inlineStr">
        <is>
          <t>C</t>
        </is>
      </c>
      <c r="D1043" s="16" t="n">
        <v>67666</v>
      </c>
      <c r="E1043" s="16" t="n">
        <v>69230.5</v>
      </c>
      <c r="F1043" s="16" t="n">
        <v>1564.5</v>
      </c>
      <c r="G1043" s="16" t="n">
        <v>7487</v>
      </c>
      <c r="H1043" s="15" t="inlineStr">
        <is>
          <t>Car#1042</t>
        </is>
      </c>
      <c r="I1043" s="16">
        <f>E1043-E1042</f>
        <v/>
      </c>
      <c r="J1043" s="16">
        <f>I1043-58</f>
        <v/>
      </c>
      <c r="K1043" s="16">
        <f>MAX(0,J1043)</f>
        <v/>
      </c>
      <c r="L1043" s="16">
        <f>MAX(0,-J1043)</f>
        <v/>
      </c>
      <c r="M1043" s="16">
        <f>M1042+I1043</f>
        <v/>
      </c>
      <c r="N1043" s="16">
        <f>D1043+F1043-E1043</f>
        <v/>
      </c>
      <c r="O1043" s="15" t="inlineStr">
        <is>
          <t>能力超目标：四轮定位上、下、ARHUD+慢充</t>
        </is>
      </c>
      <c r="P1043" s="15" t="inlineStr">
        <is>
          <t>ST1 引取(开:67666.0s 加:56.0s 等前:7346.0s 等后:4.5s) | ST2 集约(开:67726.5s 加:111.0s 等前:0.0s 等后:32.5s) | ST3 空气悬挂+快充(开:67870.0s 加:108.5s 等前:0.0s 等后:35.0s) | ST4 四轮定位上、下(开:68013.5s 加:120.5s 等前:0.0s 等后:0.0s) | ST5 ADAS(开:68134.0s 加:107.0s 等前:0.0s 等后:30.5s) | ST6 ARHUD+慢充(开:68271.5s 加:143.5s 等前:0.0s 等后:0.0s) | ST7 转毂(开:68415.0s 加:114.5s 等前:0.0s 等后:0.0s) | ST8 制动(开:68529.5s 加:114.0s 等前:0.0s 等后:0.0s) | ST9 EG漏液/底盘漏液(开:68643.5s 加:112.5s 等前:0.0s 等后:0.0s) | ST10 全景/空调检查(开:68756.0s 加:0.0s 等前:0.0s 等后:0.0s) | ST11 气囊安装+绝缘(开:68756.0s 加:116.0s 等前:0.0s 等后:0.0s) | ST12 L2++(开:68872.0s 加:88.0s 等前:0.0s 等后:0.0s) | ST13 电检1(开:68960.0s 加:84.5s 等前:0.0s 等后:0.0s) | ST14 电检2(开:69044.5s 加:97.5s 等前:0.0s 等后:38.5s) | ST15 小跑道(开:69180.5s 加:50.0s 等前:0.0s 等后:0.0s)</t>
        </is>
      </c>
    </row>
    <row r="1044">
      <c r="A1044" s="13" t="n">
        <v>1043</v>
      </c>
      <c r="B1044" s="13" t="inlineStr">
        <is>
          <t>Car#1044</t>
        </is>
      </c>
      <c r="C1044" s="13" t="inlineStr">
        <is>
          <t>C</t>
        </is>
      </c>
      <c r="D1044" s="14" t="n">
        <v>67870</v>
      </c>
      <c r="E1044" s="14" t="n">
        <v>69324</v>
      </c>
      <c r="F1044" s="14" t="n">
        <v>1454</v>
      </c>
      <c r="G1044" s="14" t="n">
        <v>7406.5</v>
      </c>
      <c r="H1044" s="13" t="inlineStr">
        <is>
          <t>Car#1041</t>
        </is>
      </c>
      <c r="I1044" s="14">
        <f>E1044-E1043</f>
        <v/>
      </c>
      <c r="J1044" s="14">
        <f>I1044-58</f>
        <v/>
      </c>
      <c r="K1044" s="14">
        <f>MAX(0,J1044)</f>
        <v/>
      </c>
      <c r="L1044" s="14">
        <f>MAX(0,-J1044)</f>
        <v/>
      </c>
      <c r="M1044" s="14">
        <f>M1043+I1044</f>
        <v/>
      </c>
      <c r="N1044" s="14">
        <f>D1044+F1044-E1044</f>
        <v/>
      </c>
      <c r="O1044" s="13" t="inlineStr">
        <is>
          <t>能力超目标：四轮定位上、下、ARHUD+慢充</t>
        </is>
      </c>
      <c r="P1044" s="13" t="inlineStr">
        <is>
          <t>ST1 引取(开:67870.0s 加:56.0s 等前:7376.0s 等后:0.0s) | ST2 集约(开:67926.0s 加:111.0s 等前:0.0s 等后:0.0s) | ST3 空气悬挂+快充(开:68037.0s 加:108.5s 等前:0.0s 等后:6.5s) | ST4 四轮定位上、下(开:68152.0s 加:120.5s 等前:0.0s 等后:0.0s) | ST5 ADAS(开:68272.5s 加:107.0s 等前:0.0s 等后:24.0s) | ST6 ARHUD+慢充(开:68403.5s 加:143.5s 等前:0.0s 等后:0.0s) | ST7 转毂(开:68547.0s 加:114.5s 等前:0.0s 等后:0.0s) | ST8 制动(开:68661.5s 加:114.0s 等前:0.0s 等后:0.0s) | ST9 EG漏液/底盘漏液(开:68775.5s 加:112.5s 等前:0.0s 等后:0.0s) | ST10 全景/空调检查(开:68888.0s 加:0.0s 等前:0.0s 等后:0.0s) | ST11 气囊安装+绝缘(开:68888.0s 加:116.0s 等前:0.0s 等后:0.0s) | ST12 L2++(开:69004.0s 加:88.0s 等前:0.0s 等后:0.0s) | ST13 电检1(开:69092.0s 加:84.5s 等前:0.0s 等后:0.0s) | ST14 电检2(开:69176.5s 加:97.5s 等前:0.0s 等后:0.0s) | ST15 小跑道(开:69274.0s 加:50.0s 等前:0.0s 等后:0.0s)</t>
        </is>
      </c>
    </row>
    <row r="1045">
      <c r="A1045" s="15" t="n">
        <v>1044</v>
      </c>
      <c r="B1045" s="15" t="inlineStr">
        <is>
          <t>Car#1046</t>
        </is>
      </c>
      <c r="C1045" s="15" t="inlineStr">
        <is>
          <t>A</t>
        </is>
      </c>
      <c r="D1045" s="16" t="n">
        <v>68013.5</v>
      </c>
      <c r="E1045" s="16" t="n">
        <v>69375</v>
      </c>
      <c r="F1045" s="16" t="n">
        <v>1361.5</v>
      </c>
      <c r="G1045" s="16" t="n">
        <v>7904</v>
      </c>
      <c r="H1045" s="15" t="inlineStr">
        <is>
          <t>Car#1044</t>
        </is>
      </c>
      <c r="I1045" s="16">
        <f>E1045-E1044</f>
        <v/>
      </c>
      <c r="J1045" s="16">
        <f>I1045-58</f>
        <v/>
      </c>
      <c r="K1045" s="16">
        <f>MAX(0,J1045)</f>
        <v/>
      </c>
      <c r="L1045" s="16">
        <f>MAX(0,-J1045)</f>
        <v/>
      </c>
      <c r="M1045" s="16">
        <f>M1044+I1045</f>
        <v/>
      </c>
      <c r="N1045" s="16">
        <f>D1045+F1045-E1045</f>
        <v/>
      </c>
      <c r="O1045" s="15" t="inlineStr">
        <is>
          <t>能力满足</t>
        </is>
      </c>
      <c r="P1045" s="15" t="inlineStr">
        <is>
          <t>ST1 引取(开:68013.5s 加:55.0s 等前:7403.5s 等后:0.0s) | ST2 集约(开:68068.5s 加:106.0s 等前:0.0s 等后:0.0s) | ST3 空气悬挂+快充(开:68174.5s 加:0.0s 等前:0.0s 等后:98.0s) | ST4 四轮定位上、下(开:68272.5s 加:115.0s 等前:0.0s 等后:16.0s) | ST5 ADAS(开:68403.5s 加:97.0s 等前:0.0s 等后:46.5s) | ST6 ARHUD+慢充(开:68547.0s 加:0.0s 等前:0.0s 等后:114.5s) | ST7 转毂(开:68661.5s 加:116.0s 等前:0.0s 等后:0.0s) | ST8 制动(开:68777.5s 加:108.0s 等前:0.0s 等后:2.5s) | ST9 EG漏液/底盘漏液(开:68888.0s 加:115.0s 等前:0.0s 等后:0.0s) | ST10 全景/空调检查(开:69003.0s 加:98.0s 等前:0.0s 等后:0.0s) | ST11 气囊安装+绝缘(开:69101.0s 加:0.0s 等前:0.0s 等后:0.0s) | ST12 L2++(开:69101.0s 加:0.0s 等前:0.0s 等后:75.5s) | ST13 电检1(开:69176.5s 加:0.0s 等前:0.0s 等后:97.5s) | ST14 电检2(开:69274.0s 加:0.0s 等前:0.0s 等后:50.0s) | ST15 小跑道(开:69324.0s 加:51.0s 等前:0.0s 等后:0.0s)</t>
        </is>
      </c>
    </row>
    <row r="1046">
      <c r="A1046" s="13" t="n">
        <v>1045</v>
      </c>
      <c r="B1046" s="13" t="inlineStr">
        <is>
          <t>Car#1043</t>
        </is>
      </c>
      <c r="C1046" s="13" t="inlineStr">
        <is>
          <t>C</t>
        </is>
      </c>
      <c r="D1046" s="14" t="n">
        <v>67786.5</v>
      </c>
      <c r="E1046" s="14" t="n">
        <v>69425</v>
      </c>
      <c r="F1046" s="14" t="n">
        <v>1638.5</v>
      </c>
      <c r="G1046" s="14" t="n">
        <v>7565.5</v>
      </c>
      <c r="H1046" s="13" t="inlineStr">
        <is>
          <t>Car#1046</t>
        </is>
      </c>
      <c r="I1046" s="14">
        <f>E1046-E1045</f>
        <v/>
      </c>
      <c r="J1046" s="14">
        <f>I1046-58</f>
        <v/>
      </c>
      <c r="K1046" s="14">
        <f>MAX(0,J1046)</f>
        <v/>
      </c>
      <c r="L1046" s="14">
        <f>MAX(0,-J1046)</f>
        <v/>
      </c>
      <c r="M1046" s="14">
        <f>M1045+I1046</f>
        <v/>
      </c>
      <c r="N1046" s="14">
        <f>D1046+F1046-E1046</f>
        <v/>
      </c>
      <c r="O1046" s="13" t="inlineStr">
        <is>
          <t>能力超目标：四轮定位上、下、ARHUD+慢充</t>
        </is>
      </c>
      <c r="P1046" s="13" t="inlineStr">
        <is>
          <t>ST1 引取(开:67786.5s 加:56.0s 等前:7350.5s 等后:27.5s) | ST2 集约(开:67870.0s 加:111.0s 等前:0.0s 等后:32.5s) | ST3 空气悬挂+快充(开:68013.5s 加:108.5s 等前:0.0s 等后:12.0s) | ST4 四轮定位上、下(开:68134.0s 加:120.5s 等前:0.0s 等后:17.0s) | ST5 ADAS(开:68271.5s 加:107.0s 等前:0.0s 等后:36.5s) | ST6 ARHUD+慢充(开:68415.0s 加:143.5s 等前:0.0s 等后:0.0s) | ST7 转毂(开:68558.5s 加:114.5s 等前:0.0s 等后:0.0s) | ST8 制动(开:68673.0s 加:114.0s 等前:0.0s 等后:0.0s) | ST9 EG漏液/底盘漏液(开:68787.0s 加:112.5s 等前:0.0s 等后:0.0s) | ST10 全景/空调检查(开:68899.5s 加:0.0s 等前:0.0s 等后:0.0s) | ST11 气囊安装+绝缘(开:68899.5s 加:116.0s 等前:0.0s 等后:0.0s) | ST12 L2++(开:69015.5s 加:88.0s 等前:0.0s 等后:0.0s) | ST13 电检1(开:69103.5s 加:84.5s 等前:0.0s 等后:0.0s) | ST14 电检2(开:69188.0s 加:97.5s 等前:0.0s 等后:89.5s) | ST15 小跑道(开:69375.0s 加:50.0s 等前:0.0s 等后:0.0s)</t>
        </is>
      </c>
    </row>
    <row r="1047">
      <c r="A1047" s="15" t="n">
        <v>1046</v>
      </c>
      <c r="B1047" s="15" t="inlineStr">
        <is>
          <t>Car#1045</t>
        </is>
      </c>
      <c r="C1047" s="15" t="inlineStr">
        <is>
          <t>A</t>
        </is>
      </c>
      <c r="D1047" s="16" t="n">
        <v>67926</v>
      </c>
      <c r="E1047" s="16" t="n">
        <v>69476</v>
      </c>
      <c r="F1047" s="16" t="n">
        <v>1550</v>
      </c>
      <c r="G1047" s="16" t="n">
        <v>8063</v>
      </c>
      <c r="H1047" s="15" t="inlineStr">
        <is>
          <t>Car#1043</t>
        </is>
      </c>
      <c r="I1047" s="16">
        <f>E1047-E1046</f>
        <v/>
      </c>
      <c r="J1047" s="16">
        <f>I1047-58</f>
        <v/>
      </c>
      <c r="K1047" s="16">
        <f>MAX(0,J1047)</f>
        <v/>
      </c>
      <c r="L1047" s="16">
        <f>MAX(0,-J1047)</f>
        <v/>
      </c>
      <c r="M1047" s="16">
        <f>M1046+I1047</f>
        <v/>
      </c>
      <c r="N1047" s="16">
        <f>D1047+F1047-E1047</f>
        <v/>
      </c>
      <c r="O1047" s="15" t="inlineStr">
        <is>
          <t>能力满足</t>
        </is>
      </c>
      <c r="P1047" s="15" t="inlineStr">
        <is>
          <t>ST1 引取(开:67926.0s 加:55.0s 等前:7374.0s 等后:32.5s) | ST2 集约(开:68013.5s 加:106.0s 等前:0.0s 等后:14.5s) | ST3 空气悬挂+快充(开:68134.0s 加:0.0s 等前:0.0s 等后:137.5s) | ST4 四轮定位上、下(开:68271.5s 加:115.0s 等前:0.0s 等后:28.5s) | ST5 ADAS(开:68415.0s 加:97.0s 等前:0.0s 等后:46.5s) | ST6 ARHUD+慢充(开:68558.5s 加:0.0s 等前:0.0s 等后:114.5s) | ST7 转毂(开:68673.0s 加:116.0s 等前:0.0s 等后:0.0s) | ST8 制动(开:68789.0s 加:108.0s 等前:0.0s 等后:2.5s) | ST9 EG漏液/底盘漏液(开:68899.5s 加:115.0s 等前:0.0s 等后:0.0s) | ST10 全景/空调检查(开:69014.5s 加:98.0s 等前:0.0s 等后:0.0s) | ST11 气囊安装+绝缘(开:69112.5s 加:0.0s 等前:0.0s 等后:0.0s) | ST12 L2++(开:69112.5s 加:0.0s 等前:0.0s 等后:75.5s) | ST13 电检1(开:69188.0s 加:0.0s 等前:0.0s 等后:187.0s) | ST14 电检2(开:69375.0s 加:0.0s 等前:0.0s 等后:50.0s) | ST15 小跑道(开:69425.0s 加:51.0s 等前:0.0s 等后:0.0s)</t>
        </is>
      </c>
    </row>
    <row r="1048">
      <c r="A1048" s="13" t="n">
        <v>1047</v>
      </c>
      <c r="B1048" s="13" t="inlineStr">
        <is>
          <t>Car#1048</t>
        </is>
      </c>
      <c r="C1048" s="13" t="inlineStr">
        <is>
          <t>B</t>
        </is>
      </c>
      <c r="D1048" s="14" t="n">
        <v>68134</v>
      </c>
      <c r="E1048" s="14" t="n">
        <v>69554.5</v>
      </c>
      <c r="F1048" s="14" t="n">
        <v>1420.5</v>
      </c>
      <c r="G1048" s="14" t="n">
        <v>7497</v>
      </c>
      <c r="H1048" s="13" t="inlineStr">
        <is>
          <t>Car#1045</t>
        </is>
      </c>
      <c r="I1048" s="14">
        <f>E1048-E1047</f>
        <v/>
      </c>
      <c r="J1048" s="14">
        <f>I1048-58</f>
        <v/>
      </c>
      <c r="K1048" s="14">
        <f>MAX(0,J1048)</f>
        <v/>
      </c>
      <c r="L1048" s="14">
        <f>MAX(0,-J1048)</f>
        <v/>
      </c>
      <c r="M1048" s="14">
        <f>M1047+I1048</f>
        <v/>
      </c>
      <c r="N1048" s="14">
        <f>D1048+F1048-E1048</f>
        <v/>
      </c>
      <c r="O1048" s="13" t="inlineStr">
        <is>
          <t>能力超目标：四轮定位上、下</t>
        </is>
      </c>
      <c r="P1048" s="13" t="inlineStr">
        <is>
          <t>ST1 引取(开:68134.0s 加:56.0s 等前:7408.0s 等后:0.0s) | ST2 集约(开:68190.0s 加:111.0s 等前:0.0s 等后:0.0s) | ST3 空气悬挂+快充(开:68301.0s 加:108.5s 等前:0.0s 等后:0.0s) | ST4 四轮定位上、下(开:68409.5s 加:120.5s 等前:0.0s 等后:17.0s) | ST5 ADAS(开:68547.0s 加:107.0s 等前:0.0s 等后:7.5s) | ST6 ARHUD+慢充(开:68661.5s 加:51.5s 等前:0.0s 等后:64.5s) | ST7 转毂(开:68777.5s 加:114.5s 等前:0.0s 等后:0.0s) | ST8 制动(开:68892.0s 加:114.0s 等前:0.0s 等后:0.0s) | ST9 EG漏液/底盘漏液(开:69006.0s 加:112.5s 等前:0.0s 等后:0.0s) | ST10 全景/空调检查(开:69118.5s 加:0.0s 等前:0.0s 等后:0.0s) | ST11 气囊安装+绝缘(开:69118.5s 加:116.0s 等前:0.0s 等后:0.0s) | ST12 L2++(开:69234.5s 加:88.0s 等前:0.0s 等后:0.0s) | ST13 电检1(开:69322.5s 加:84.5s 等前:0.0s 等后:0.0s) | ST14 电检2(开:69407.0s 加:97.5s 等前:0.0s 等后:0.0s) | ST15 小跑道(开:69504.5s 加:50.0s 等前:0.0s 等后:0.0s)</t>
        </is>
      </c>
    </row>
    <row r="1049">
      <c r="A1049" s="15" t="n">
        <v>1048</v>
      </c>
      <c r="B1049" s="15" t="inlineStr">
        <is>
          <t>Car#1047</t>
        </is>
      </c>
      <c r="C1049" s="15" t="inlineStr">
        <is>
          <t>B</t>
        </is>
      </c>
      <c r="D1049" s="16" t="n">
        <v>68068.5</v>
      </c>
      <c r="E1049" s="16" t="n">
        <v>69607</v>
      </c>
      <c r="F1049" s="16" t="n">
        <v>1538.5</v>
      </c>
      <c r="G1049" s="16" t="n">
        <v>7607.5</v>
      </c>
      <c r="H1049" s="15" t="inlineStr">
        <is>
          <t>Car#1048</t>
        </is>
      </c>
      <c r="I1049" s="16">
        <f>E1049-E1048</f>
        <v/>
      </c>
      <c r="J1049" s="16">
        <f>I1049-58</f>
        <v/>
      </c>
      <c r="K1049" s="16">
        <f>MAX(0,J1049)</f>
        <v/>
      </c>
      <c r="L1049" s="16">
        <f>MAX(0,-J1049)</f>
        <v/>
      </c>
      <c r="M1049" s="16">
        <f>M1048+I1049</f>
        <v/>
      </c>
      <c r="N1049" s="16">
        <f>D1049+F1049-E1049</f>
        <v/>
      </c>
      <c r="O1049" s="15" t="inlineStr">
        <is>
          <t>能力超目标：四轮定位上、下</t>
        </is>
      </c>
      <c r="P1049" s="15" t="inlineStr">
        <is>
          <t>ST1 引取(开:68068.5s 加:56.0s 等前:7400.5s 等后:9.5s) | ST2 集约(开:68134.0s 加:111.0s 等前:0.0s 等后:26.5s) | ST3 空气悬挂+快充(开:68271.5s 加:108.5s 等前:0.0s 等后:35.0s) | ST4 四轮定位上、下(开:68415.0s 加:120.5s 等前:0.0s 等后:23.0s) | ST5 ADAS(开:68558.5s 加:107.0s 等前:0.0s 等后:7.5s) | ST6 ARHUD+慢充(开:68673.0s 加:51.5s 等前:0.0s 等后:64.5s) | ST7 转毂(开:68789.0s 加:114.5s 等前:0.0s 等后:0.0s) | ST8 制动(开:68903.5s 加:114.0s 等前:0.0s 等后:0.0s) | ST9 EG漏液/底盘漏液(开:69017.5s 加:112.5s 等前:0.0s 等后:0.0s) | ST10 全景/空调检查(开:69130.0s 加:0.0s 等前:0.0s 等后:0.0s) | ST11 气囊安装+绝缘(开:69130.0s 加:116.0s 等前:0.0s 等后:0.0s) | ST12 L2++(开:69246.0s 加:88.0s 等前:0.0s 等后:41.0s) | ST13 电检1(开:69375.0s 加:84.5s 等前:0.0s 等后:0.0s) | ST14 电检2(开:69459.5s 加:97.5s 等前:0.0s 等后:0.0s) | ST15 小跑道(开:69557.0s 加:50.0s 等前:0.0s 等后:0.0s)</t>
        </is>
      </c>
    </row>
    <row r="1050">
      <c r="A1050" s="13" t="n">
        <v>1049</v>
      </c>
      <c r="B1050" s="13" t="inlineStr">
        <is>
          <t>Car#1050</t>
        </is>
      </c>
      <c r="C1050" s="13" t="inlineStr">
        <is>
          <t>C</t>
        </is>
      </c>
      <c r="D1050" s="14" t="n">
        <v>68271.5</v>
      </c>
      <c r="E1050" s="14" t="n">
        <v>69698</v>
      </c>
      <c r="F1050" s="14" t="n">
        <v>1426.5</v>
      </c>
      <c r="G1050" s="14" t="n">
        <v>7432.5</v>
      </c>
      <c r="H1050" s="13" t="inlineStr">
        <is>
          <t>Car#1047</t>
        </is>
      </c>
      <c r="I1050" s="14">
        <f>E1050-E1049</f>
        <v/>
      </c>
      <c r="J1050" s="14">
        <f>I1050-58</f>
        <v/>
      </c>
      <c r="K1050" s="14">
        <f>MAX(0,J1050)</f>
        <v/>
      </c>
      <c r="L1050" s="14">
        <f>MAX(0,-J1050)</f>
        <v/>
      </c>
      <c r="M1050" s="14">
        <f>M1049+I1050</f>
        <v/>
      </c>
      <c r="N1050" s="14">
        <f>D1050+F1050-E1050</f>
        <v/>
      </c>
      <c r="O1050" s="13" t="inlineStr">
        <is>
          <t>能力超目标：四轮定位上、下、ARHUD+慢充</t>
        </is>
      </c>
      <c r="P1050" s="13" t="inlineStr">
        <is>
          <t>ST1 引取(开:68271.5s 加:56.0s 等前:7429.5s 等后:0.0s) | ST2 集约(开:68327.5s 加:111.0s 等前:0.0s 等后:0.0s) | ST3 空气悬挂+快充(开:68438.5s 加:108.5s 等前:0.0s 等后:0.0s) | ST4 四轮定位上、下(开:68547.0s 加:120.5s 等前:0.0s 等后:0.0s) | ST5 ADAS(开:68667.5s 加:107.0s 等前:0.0s 等后:3.0s) | ST6 ARHUD+慢充(开:68777.5s 加:143.5s 等前:0.0s 等后:0.0s) | ST7 转毂(开:68921.0s 加:114.5s 等前:0.0s 等后:0.0s) | ST8 制动(开:69035.5s 加:114.0s 等前:0.0s 等后:0.0s) | ST9 EG漏液/底盘漏液(开:69149.5s 加:112.5s 等前:0.0s 等后:0.0s) | ST10 全景/空调检查(开:69262.0s 加:0.0s 等前:0.0s 等后:0.0s) | ST11 气囊安装+绝缘(开:69262.0s 加:116.0s 等前:0.0s 等后:0.0s) | ST12 L2++(开:69378.0s 加:88.0s 等前:0.0s 等后:0.0s) | ST13 电检1(开:69466.0s 加:84.5s 等前:0.0s 等后:0.0s) | ST14 电检2(开:69550.5s 加:97.5s 等前:0.0s 等后:0.0s) | ST15 小跑道(开:69648.0s 加:50.0s 等前:0.0s 等后:0.0s)</t>
        </is>
      </c>
    </row>
    <row r="1051">
      <c r="A1051" s="15" t="n">
        <v>1050</v>
      </c>
      <c r="B1051" s="15" t="inlineStr">
        <is>
          <t>Car#1049</t>
        </is>
      </c>
      <c r="C1051" s="15" t="inlineStr">
        <is>
          <t>C</t>
        </is>
      </c>
      <c r="D1051" s="16" t="n">
        <v>68190</v>
      </c>
      <c r="E1051" s="16" t="n">
        <v>69748</v>
      </c>
      <c r="F1051" s="16" t="n">
        <v>1558</v>
      </c>
      <c r="G1051" s="16" t="n">
        <v>7540.5</v>
      </c>
      <c r="H1051" s="15" t="inlineStr">
        <is>
          <t>Car#1050</t>
        </is>
      </c>
      <c r="I1051" s="16">
        <f>E1051-E1050</f>
        <v/>
      </c>
      <c r="J1051" s="16">
        <f>I1051-58</f>
        <v/>
      </c>
      <c r="K1051" s="16">
        <f>MAX(0,J1051)</f>
        <v/>
      </c>
      <c r="L1051" s="16">
        <f>MAX(0,-J1051)</f>
        <v/>
      </c>
      <c r="M1051" s="16">
        <f>M1050+I1051</f>
        <v/>
      </c>
      <c r="N1051" s="16">
        <f>D1051+F1051-E1051</f>
        <v/>
      </c>
      <c r="O1051" s="15" t="inlineStr">
        <is>
          <t>能力超目标：四轮定位上、下、ARHUD+慢充</t>
        </is>
      </c>
      <c r="P1051" s="15" t="inlineStr">
        <is>
          <t>ST1 引取(开:68190.0s 加:56.0s 等前:7406.0s 等后:25.5s) | ST2 集约(开:68271.5s 加:111.0s 等前:0.0s 等后:32.5s) | ST3 空气悬挂+快充(开:68415.0s 加:108.5s 等前:0.0s 等后:35.0s) | ST4 四轮定位上、下(开:68558.5s 加:120.5s 等前:0.0s 等后:0.0s) | ST5 ADAS(开:68679.0s 加:107.0s 等前:0.0s 等后:3.0s) | ST6 ARHUD+慢充(开:68789.0s 加:143.5s 等前:0.0s 等后:0.0s) | ST7 转毂(开:68932.5s 加:114.5s 等前:0.0s 等后:0.0s) | ST8 制动(开:69047.0s 加:114.0s 等前:0.0s 等后:0.0s) | ST9 EG漏液/底盘漏液(开:69161.0s 加:112.5s 等前:0.0s 等后:0.0s) | ST10 全景/空调检查(开:69273.5s 加:0.0s 等前:0.0s 等后:0.0s) | ST11 气囊安装+绝缘(开:69273.5s 加:116.0s 等前:0.0s 等后:0.0s) | ST12 L2++(开:69389.5s 加:88.0s 等前:0.0s 等后:0.0s) | ST13 电检1(开:69477.5s 加:84.5s 等前:0.0s 等后:0.0s) | ST14 电检2(开:69562.0s 加:97.5s 等前:0.0s 等后:38.5s) | ST15 小跑道(开:69698.0s 加:50.0s 等前:0.0s 等后:0.0s)</t>
        </is>
      </c>
    </row>
    <row r="1052">
      <c r="A1052" s="13" t="n">
        <v>1051</v>
      </c>
      <c r="B1052" s="13" t="inlineStr">
        <is>
          <t>Car#1052</t>
        </is>
      </c>
      <c r="C1052" s="13" t="inlineStr">
        <is>
          <t>C</t>
        </is>
      </c>
      <c r="D1052" s="14" t="n">
        <v>68415</v>
      </c>
      <c r="E1052" s="14" t="n">
        <v>69841.5</v>
      </c>
      <c r="F1052" s="14" t="n">
        <v>1426.5</v>
      </c>
      <c r="G1052" s="14" t="n">
        <v>7460</v>
      </c>
      <c r="H1052" s="13" t="inlineStr">
        <is>
          <t>Car#1049</t>
        </is>
      </c>
      <c r="I1052" s="14">
        <f>E1052-E1051</f>
        <v/>
      </c>
      <c r="J1052" s="14">
        <f>I1052-58</f>
        <v/>
      </c>
      <c r="K1052" s="14">
        <f>MAX(0,J1052)</f>
        <v/>
      </c>
      <c r="L1052" s="14">
        <f>MAX(0,-J1052)</f>
        <v/>
      </c>
      <c r="M1052" s="14">
        <f>M1051+I1052</f>
        <v/>
      </c>
      <c r="N1052" s="14">
        <f>D1052+F1052-E1052</f>
        <v/>
      </c>
      <c r="O1052" s="13" t="inlineStr">
        <is>
          <t>能力超目标：四轮定位上、下、ARHUD+慢充</t>
        </is>
      </c>
      <c r="P1052" s="13" t="inlineStr">
        <is>
          <t>ST1 引取(开:68415.0s 加:56.0s 等前:7457.0s 等后:0.0s) | ST2 集约(开:68471.0s 加:111.0s 等前:0.0s 等后:0.0s) | ST3 空气悬挂+快充(开:68582.0s 加:108.5s 等前:0.0s 等后:0.0s) | ST4 四轮定位上、下(开:68690.5s 加:120.5s 等前:0.0s 等后:0.0s) | ST5 ADAS(开:68811.0s 加:107.0s 等前:0.0s 等后:3.0s) | ST6 ARHUD+慢充(开:68921.0s 加:143.5s 等前:0.0s 等后:0.0s) | ST7 转毂(开:69064.5s 加:114.5s 等前:0.0s 等后:0.0s) | ST8 制动(开:69179.0s 加:114.0s 等前:0.0s 等后:0.0s) | ST9 EG漏液/底盘漏液(开:69293.0s 加:112.5s 等前:0.0s 等后:0.0s) | ST10 全景/空调检查(开:69405.5s 加:0.0s 等前:0.0s 等后:0.0s) | ST11 气囊安装+绝缘(开:69405.5s 加:116.0s 等前:0.0s 等后:0.0s) | ST12 L2++(开:69521.5s 加:88.0s 等前:0.0s 等后:0.0s) | ST13 电检1(开:69609.5s 加:84.5s 等前:0.0s 等后:0.0s) | ST14 电检2(开:69694.0s 加:97.5s 等前:0.0s 等后:0.0s) | ST15 小跑道(开:69791.5s 加:50.0s 等前:0.0s 等后:0.0s)</t>
        </is>
      </c>
    </row>
    <row r="1053">
      <c r="A1053" s="15" t="n">
        <v>1052</v>
      </c>
      <c r="B1053" s="15" t="inlineStr">
        <is>
          <t>Car#1054</t>
        </is>
      </c>
      <c r="C1053" s="15" t="inlineStr">
        <is>
          <t>A</t>
        </is>
      </c>
      <c r="D1053" s="16" t="n">
        <v>68558.5</v>
      </c>
      <c r="E1053" s="16" t="n">
        <v>69892.5</v>
      </c>
      <c r="F1053" s="16" t="n">
        <v>1334</v>
      </c>
      <c r="G1053" s="16" t="n">
        <v>7957.5</v>
      </c>
      <c r="H1053" s="15" t="inlineStr">
        <is>
          <t>Car#1052</t>
        </is>
      </c>
      <c r="I1053" s="16">
        <f>E1053-E1052</f>
        <v/>
      </c>
      <c r="J1053" s="16">
        <f>I1053-58</f>
        <v/>
      </c>
      <c r="K1053" s="16">
        <f>MAX(0,J1053)</f>
        <v/>
      </c>
      <c r="L1053" s="16">
        <f>MAX(0,-J1053)</f>
        <v/>
      </c>
      <c r="M1053" s="16">
        <f>M1052+I1053</f>
        <v/>
      </c>
      <c r="N1053" s="16">
        <f>D1053+F1053-E1053</f>
        <v/>
      </c>
      <c r="O1053" s="15" t="inlineStr">
        <is>
          <t>能力满足</t>
        </is>
      </c>
      <c r="P1053" s="15" t="inlineStr">
        <is>
          <t>ST1 引取(开:68558.5s 加:55.0s 等前:7484.5s 等后:0.0s) | ST2 集约(开:68613.5s 加:106.0s 等前:0.0s 等后:0.0s) | ST3 空气悬挂+快充(开:68719.5s 加:0.0s 等前:0.0s 等后:91.5s) | ST4 四轮定位上、下(开:68811.0s 加:115.0s 等前:0.0s 等后:0.0s) | ST5 ADAS(开:68926.0s 加:97.0s 等前:0.0s 等后:41.5s) | ST6 ARHUD+慢充(开:69064.5s 加:0.0s 等前:0.0s 等后:114.5s) | ST7 转毂(开:69179.0s 加:116.0s 等前:0.0s 等后:0.0s) | ST8 制动(开:69295.0s 加:108.0s 等前:0.0s 等后:2.5s) | ST9 EG漏液/底盘漏液(开:69405.5s 加:115.0s 等前:0.0s 等后:0.0s) | ST10 全景/空调检查(开:69520.5s 加:98.0s 等前:0.0s 等后:0.0s) | ST11 气囊安装+绝缘(开:69618.5s 加:0.0s 等前:0.0s 等后:0.0s) | ST12 L2++(开:69618.5s 加:0.0s 等前:0.0s 等后:75.5s) | ST13 电检1(开:69694.0s 加:0.0s 等前:0.0s 等后:97.5s) | ST14 电检2(开:69791.5s 加:0.0s 等前:0.0s 等后:50.0s) | ST15 小跑道(开:69841.5s 加:51.0s 等前:0.0s 等后:0.0s)</t>
        </is>
      </c>
    </row>
    <row r="1054">
      <c r="A1054" s="13" t="n">
        <v>1053</v>
      </c>
      <c r="B1054" s="13" t="inlineStr">
        <is>
          <t>Car#1051</t>
        </is>
      </c>
      <c r="C1054" s="13" t="inlineStr">
        <is>
          <t>C</t>
        </is>
      </c>
      <c r="D1054" s="14" t="n">
        <v>68327.5</v>
      </c>
      <c r="E1054" s="14" t="n">
        <v>69942.5</v>
      </c>
      <c r="F1054" s="14" t="n">
        <v>1615</v>
      </c>
      <c r="G1054" s="14" t="n">
        <v>7619</v>
      </c>
      <c r="H1054" s="13" t="inlineStr">
        <is>
          <t>Car#1054</t>
        </is>
      </c>
      <c r="I1054" s="14">
        <f>E1054-E1053</f>
        <v/>
      </c>
      <c r="J1054" s="14">
        <f>I1054-58</f>
        <v/>
      </c>
      <c r="K1054" s="14">
        <f>MAX(0,J1054)</f>
        <v/>
      </c>
      <c r="L1054" s="14">
        <f>MAX(0,-J1054)</f>
        <v/>
      </c>
      <c r="M1054" s="14">
        <f>M1053+I1054</f>
        <v/>
      </c>
      <c r="N1054" s="14">
        <f>D1054+F1054-E1054</f>
        <v/>
      </c>
      <c r="O1054" s="13" t="inlineStr">
        <is>
          <t>能力超目标：四轮定位上、下、ARHUD+慢充</t>
        </is>
      </c>
      <c r="P1054" s="13" t="inlineStr">
        <is>
          <t>ST1 引取(开:68327.5s 加:56.0s 等前:7427.5s 等后:31.5s) | ST2 集约(开:68415.0s 加:111.0s 等前:0.0s 等后:32.5s) | ST3 空气悬挂+快充(开:68558.5s 加:108.5s 等前:0.0s 等后:12.0s) | ST4 四轮定位上、下(开:68679.0s 加:120.5s 等前:0.0s 等后:0.0s) | ST5 ADAS(开:68799.5s 加:107.0s 等前:0.0s 等后:26.0s) | ST6 ARHUD+慢充(开:68932.5s 加:143.5s 等前:0.0s 等后:0.0s) | ST7 转毂(开:69076.0s 加:114.5s 等前:0.0s 等后:0.0s) | ST8 制动(开:69190.5s 加:114.0s 等前:0.0s 等后:0.0s) | ST9 EG漏液/底盘漏液(开:69304.5s 加:112.5s 等前:0.0s 等后:0.0s) | ST10 全景/空调检查(开:69417.0s 加:0.0s 等前:0.0s 等后:0.0s) | ST11 气囊安装+绝缘(开:69417.0s 加:116.0s 等前:0.0s 等后:0.0s) | ST12 L2++(开:69533.0s 加:88.0s 等前:0.0s 等后:0.0s) | ST13 电检1(开:69621.0s 加:84.5s 等前:0.0s 等后:0.0s) | ST14 电检2(开:69705.5s 加:97.5s 等前:0.0s 等后:89.5s) | ST15 小跑道(开:69892.5s 加:50.0s 等前:0.0s 等后:0.0s)</t>
        </is>
      </c>
    </row>
    <row r="1055">
      <c r="A1055" s="15" t="n">
        <v>1054</v>
      </c>
      <c r="B1055" s="15" t="inlineStr">
        <is>
          <t>Car#1053</t>
        </is>
      </c>
      <c r="C1055" s="15" t="inlineStr">
        <is>
          <t>A</t>
        </is>
      </c>
      <c r="D1055" s="16" t="n">
        <v>68471</v>
      </c>
      <c r="E1055" s="16" t="n">
        <v>69993.5</v>
      </c>
      <c r="F1055" s="16" t="n">
        <v>1522.5</v>
      </c>
      <c r="G1055" s="16" t="n">
        <v>8116.5</v>
      </c>
      <c r="H1055" s="15" t="inlineStr">
        <is>
          <t>Car#1051</t>
        </is>
      </c>
      <c r="I1055" s="16">
        <f>E1055-E1054</f>
        <v/>
      </c>
      <c r="J1055" s="16">
        <f>I1055-58</f>
        <v/>
      </c>
      <c r="K1055" s="16">
        <f>MAX(0,J1055)</f>
        <v/>
      </c>
      <c r="L1055" s="16">
        <f>MAX(0,-J1055)</f>
        <v/>
      </c>
      <c r="M1055" s="16">
        <f>M1054+I1055</f>
        <v/>
      </c>
      <c r="N1055" s="16">
        <f>D1055+F1055-E1055</f>
        <v/>
      </c>
      <c r="O1055" s="15" t="inlineStr">
        <is>
          <t>能力满足</t>
        </is>
      </c>
      <c r="P1055" s="15" t="inlineStr">
        <is>
          <t>ST1 引取(开:68471.0s 加:55.0s 等前:7455.0s 等后:32.5s) | ST2 集约(开:68558.5s 加:106.0s 等前:0.0s 等后:14.5s) | ST3 空气悬挂+快充(开:68679.0s 加:0.0s 等前:0.0s 等后:120.5s) | ST4 四轮定位上、下(开:68799.5s 加:115.0s 等前:0.0s 等后:18.0s) | ST5 ADAS(开:68932.5s 加:97.0s 等前:0.0s 等后:46.5s) | ST6 ARHUD+慢充(开:69076.0s 加:0.0s 等前:0.0s 等后:114.5s) | ST7 转毂(开:69190.5s 加:116.0s 等前:0.0s 等后:0.0s) | ST8 制动(开:69306.5s 加:108.0s 等前:0.0s 等后:2.5s) | ST9 EG漏液/底盘漏液(开:69417.0s 加:115.0s 等前:0.0s 等后:0.0s) | ST10 全景/空调检查(开:69532.0s 加:98.0s 等前:0.0s 等后:0.0s) | ST11 气囊安装+绝缘(开:69630.0s 加:0.0s 等前:0.0s 等后:0.0s) | ST12 L2++(开:69630.0s 加:0.0s 等前:0.0s 等后:75.5s) | ST13 电检1(开:69705.5s 加:0.0s 等前:0.0s 等后:187.0s) | ST14 电检2(开:69892.5s 加:0.0s 等前:0.0s 等后:50.0s) | ST15 小跑道(开:69942.5s 加:51.0s 等前:0.0s 等后:0.0s)</t>
        </is>
      </c>
    </row>
    <row r="1056">
      <c r="A1056" s="13" t="n">
        <v>1055</v>
      </c>
      <c r="B1056" s="13" t="inlineStr">
        <is>
          <t>Car#1056</t>
        </is>
      </c>
      <c r="C1056" s="13" t="inlineStr">
        <is>
          <t>B</t>
        </is>
      </c>
      <c r="D1056" s="14" t="n">
        <v>68679</v>
      </c>
      <c r="E1056" s="14" t="n">
        <v>70072</v>
      </c>
      <c r="F1056" s="14" t="n">
        <v>1393</v>
      </c>
      <c r="G1056" s="14" t="n">
        <v>7550.5</v>
      </c>
      <c r="H1056" s="13" t="inlineStr">
        <is>
          <t>Car#1053</t>
        </is>
      </c>
      <c r="I1056" s="14">
        <f>E1056-E1055</f>
        <v/>
      </c>
      <c r="J1056" s="14">
        <f>I1056-58</f>
        <v/>
      </c>
      <c r="K1056" s="14">
        <f>MAX(0,J1056)</f>
        <v/>
      </c>
      <c r="L1056" s="14">
        <f>MAX(0,-J1056)</f>
        <v/>
      </c>
      <c r="M1056" s="14">
        <f>M1055+I1056</f>
        <v/>
      </c>
      <c r="N1056" s="14">
        <f>D1056+F1056-E1056</f>
        <v/>
      </c>
      <c r="O1056" s="13" t="inlineStr">
        <is>
          <t>能力超目标：四轮定位上、下</t>
        </is>
      </c>
      <c r="P1056" s="13" t="inlineStr">
        <is>
          <t>ST1 引取(开:68679.0s 加:56.0s 等前:7489.0s 等后:0.0s) | ST2 集约(开:68735.0s 加:111.0s 等前:0.0s 等后:0.0s) | ST3 空气悬挂+快充(开:68846.0s 加:108.5s 等前:0.0s 等后:0.0s) | ST4 四轮定位上、下(开:68954.5s 加:120.5s 等前:0.0s 等后:0.0s) | ST5 ADAS(开:69075.0s 加:107.0s 等前:0.0s 等后:0.0s) | ST6 ARHUD+慢充(开:69182.0s 加:51.5s 等前:0.0s 等后:61.5s) | ST7 转毂(开:69295.0s 加:114.5s 等前:0.0s 等后:0.0s) | ST8 制动(开:69409.5s 加:114.0s 等前:0.0s 等后:0.0s) | ST9 EG漏液/底盘漏液(开:69523.5s 加:112.5s 等前:0.0s 等后:0.0s) | ST10 全景/空调检查(开:69636.0s 加:0.0s 等前:0.0s 等后:0.0s) | ST11 气囊安装+绝缘(开:69636.0s 加:116.0s 等前:0.0s 等后:0.0s) | ST12 L2++(开:69752.0s 加:88.0s 等前:0.0s 等后:0.0s) | ST13 电检1(开:69840.0s 加:84.5s 等前:0.0s 等后:0.0s) | ST14 电检2(开:69924.5s 加:97.5s 等前:0.0s 等后:0.0s) | ST15 小跑道(开:70022.0s 加:50.0s 等前:0.0s 等后:0.0s)</t>
        </is>
      </c>
    </row>
    <row r="1057">
      <c r="A1057" s="15" t="n">
        <v>1056</v>
      </c>
      <c r="B1057" s="15" t="inlineStr">
        <is>
          <t>Car#1055</t>
        </is>
      </c>
      <c r="C1057" s="15" t="inlineStr">
        <is>
          <t>B</t>
        </is>
      </c>
      <c r="D1057" s="16" t="n">
        <v>68613.5</v>
      </c>
      <c r="E1057" s="16" t="n">
        <v>70124.5</v>
      </c>
      <c r="F1057" s="16" t="n">
        <v>1511</v>
      </c>
      <c r="G1057" s="16" t="n">
        <v>7661</v>
      </c>
      <c r="H1057" s="15" t="inlineStr">
        <is>
          <t>Car#1056</t>
        </is>
      </c>
      <c r="I1057" s="16">
        <f>E1057-E1056</f>
        <v/>
      </c>
      <c r="J1057" s="16">
        <f>I1057-58</f>
        <v/>
      </c>
      <c r="K1057" s="16">
        <f>MAX(0,J1057)</f>
        <v/>
      </c>
      <c r="L1057" s="16">
        <f>MAX(0,-J1057)</f>
        <v/>
      </c>
      <c r="M1057" s="16">
        <f>M1056+I1057</f>
        <v/>
      </c>
      <c r="N1057" s="16">
        <f>D1057+F1057-E1057</f>
        <v/>
      </c>
      <c r="O1057" s="15" t="inlineStr">
        <is>
          <t>能力超目标：四轮定位上、下</t>
        </is>
      </c>
      <c r="P1057" s="15" t="inlineStr">
        <is>
          <t>ST1 引取(开:68613.5s 加:56.0s 等前:7481.5s 等后:9.5s) | ST2 集约(开:68679.0s 加:111.0s 等前:0.0s 等后:9.5s) | ST3 空气悬挂+快充(开:68799.5s 加:108.5s 等前:0.0s 等后:24.5s) | ST4 四轮定位上、下(开:68932.5s 加:120.5s 等前:0.0s 等后:23.0s) | ST5 ADAS(开:69076.0s 加:107.0s 等前:0.0s 等后:7.5s) | ST6 ARHUD+慢充(开:69190.5s 加:51.5s 等前:0.0s 等后:64.5s) | ST7 转毂(开:69306.5s 加:114.5s 等前:0.0s 等后:0.0s) | ST8 制动(开:69421.0s 加:114.0s 等前:0.0s 等后:0.0s) | ST9 EG漏液/底盘漏液(开:69535.0s 加:112.5s 等前:0.0s 等后:0.0s) | ST10 全景/空调检查(开:69647.5s 加:0.0s 等前:0.0s 等后:0.0s) | ST11 气囊安装+绝缘(开:69647.5s 加:116.0s 等前:0.0s 等后:0.0s) | ST12 L2++(开:69763.5s 加:88.0s 等前:0.0s 等后:41.0s) | ST13 电检1(开:69892.5s 加:84.5s 等前:0.0s 等后:0.0s) | ST14 电检2(开:69977.0s 加:97.5s 等前:0.0s 等后:0.0s) | ST15 小跑道(开:70074.5s 加:50.0s 等前:0.0s 等后:0.0s)</t>
        </is>
      </c>
    </row>
    <row r="1058">
      <c r="A1058" s="13" t="n">
        <v>1057</v>
      </c>
      <c r="B1058" s="13" t="inlineStr">
        <is>
          <t>Car#1058</t>
        </is>
      </c>
      <c r="C1058" s="13" t="inlineStr">
        <is>
          <t>C</t>
        </is>
      </c>
      <c r="D1058" s="14" t="n">
        <v>68799.5</v>
      </c>
      <c r="E1058" s="14" t="n">
        <v>70223</v>
      </c>
      <c r="F1058" s="14" t="n">
        <v>1423.5</v>
      </c>
      <c r="G1058" s="14" t="n">
        <v>7493.5</v>
      </c>
      <c r="H1058" s="13" t="inlineStr">
        <is>
          <t>Car#1055</t>
        </is>
      </c>
      <c r="I1058" s="14">
        <f>E1058-E1057</f>
        <v/>
      </c>
      <c r="J1058" s="14">
        <f>I1058-58</f>
        <v/>
      </c>
      <c r="K1058" s="14">
        <f>MAX(0,J1058)</f>
        <v/>
      </c>
      <c r="L1058" s="14">
        <f>MAX(0,-J1058)</f>
        <v/>
      </c>
      <c r="M1058" s="14">
        <f>M1057+I1058</f>
        <v/>
      </c>
      <c r="N1058" s="14">
        <f>D1058+F1058-E1058</f>
        <v/>
      </c>
      <c r="O1058" s="13" t="inlineStr">
        <is>
          <t>能力超目标：四轮定位上、下、ARHUD+慢充</t>
        </is>
      </c>
      <c r="P1058" s="13" t="inlineStr">
        <is>
          <t>ST1 引取(开:68799.5s 加:56.0s 等前:7493.5s 等后:0.0s) | ST2 集约(开:68855.5s 加:111.0s 等前:0.0s 等后:0.0s) | ST3 空气悬挂+快充(开:68966.5s 加:108.5s 等前:0.0s 等后:0.0s) | ST4 四轮定位上、下(开:69075.0s 加:120.5s 等前:0.0s 等后:0.0s) | ST5 ADAS(开:69195.5s 加:107.0s 等前:0.0s 等后:0.0s) | ST6 ARHUD+慢充(开:69302.5s 加:143.5s 等前:0.0s 等后:0.0s) | ST7 转毂(开:69446.0s 加:114.5s 等前:0.0s 等后:0.0s) | ST8 制动(开:69560.5s 加:114.0s 等前:0.0s 等后:0.0s) | ST9 EG漏液/底盘漏液(开:69674.5s 加:112.5s 等前:0.0s 等后:0.0s) | ST10 全景/空调检查(开:69787.0s 加:0.0s 等前:0.0s 等后:0.0s) | ST11 气囊安装+绝缘(开:69787.0s 加:116.0s 等前:0.0s 等后:0.0s) | ST12 L2++(开:69903.0s 加:88.0s 等前:0.0s 等后:0.0s) | ST13 电检1(开:69991.0s 加:84.5s 等前:0.0s 等后:0.0s) | ST14 电检2(开:70075.5s 加:97.5s 等前:0.0s 等后:0.0s) | ST15 小跑道(开:70173.0s 加:50.0s 等前:0.0s 等后:0.0s)</t>
        </is>
      </c>
    </row>
    <row r="1059">
      <c r="A1059" s="15" t="n">
        <v>1058</v>
      </c>
      <c r="B1059" s="15" t="inlineStr">
        <is>
          <t>Car#1057</t>
        </is>
      </c>
      <c r="C1059" s="15" t="inlineStr">
        <is>
          <t>C</t>
        </is>
      </c>
      <c r="D1059" s="16" t="n">
        <v>68735</v>
      </c>
      <c r="E1059" s="16" t="n">
        <v>70273</v>
      </c>
      <c r="F1059" s="16" t="n">
        <v>1538</v>
      </c>
      <c r="G1059" s="16" t="n">
        <v>7601.5</v>
      </c>
      <c r="H1059" s="15" t="inlineStr">
        <is>
          <t>Car#1058</t>
        </is>
      </c>
      <c r="I1059" s="16">
        <f>E1059-E1058</f>
        <v/>
      </c>
      <c r="J1059" s="16">
        <f>I1059-58</f>
        <v/>
      </c>
      <c r="K1059" s="16">
        <f>MAX(0,J1059)</f>
        <v/>
      </c>
      <c r="L1059" s="16">
        <f>MAX(0,-J1059)</f>
        <v/>
      </c>
      <c r="M1059" s="16">
        <f>M1058+I1059</f>
        <v/>
      </c>
      <c r="N1059" s="16">
        <f>D1059+F1059-E1059</f>
        <v/>
      </c>
      <c r="O1059" s="15" t="inlineStr">
        <is>
          <t>能力超目标：四轮定位上、下、ARHUD+慢充</t>
        </is>
      </c>
      <c r="P1059" s="15" t="inlineStr">
        <is>
          <t>ST1 引取(开:68735.0s 加:56.0s 等前:7487.0s 等后:8.5s) | ST2 集约(开:68799.5s 加:111.0s 等前:0.0s 等后:22.0s) | ST3 空气悬挂+快充(开:68932.5s 加:108.5s 等前:0.0s 等后:35.0s) | ST4 四轮定位上、下(开:69076.0s 加:120.5s 等前:0.0s 等后:0.0s) | ST5 ADAS(开:69196.5s 加:107.0s 等前:0.0s 等后:3.0s) | ST6 ARHUD+慢充(开:69306.5s 加:143.5s 等前:0.0s 等后:0.0s) | ST7 转毂(开:69450.0s 加:114.5s 等前:0.0s 等后:0.0s) | ST8 制动(开:69564.5s 加:114.0s 等前:0.0s 等后:0.0s) | ST9 EG漏液/底盘漏液(开:69678.5s 加:112.5s 等前:0.0s 等后:0.0s) | ST10 全景/空调检查(开:69791.0s 加:0.0s 等前:0.0s 等后:0.0s) | ST11 气囊安装+绝缘(开:69791.0s 加:116.0s 等前:0.0s 等后:0.0s) | ST12 L2++(开:69907.0s 加:88.0s 等前:0.0s 等后:0.0s) | ST13 电检1(开:69995.0s 加:84.5s 等前:0.0s 等后:0.0s) | ST14 电检2(开:70079.5s 加:97.5s 等前:0.0s 等后:46.0s) | ST15 小跑道(开:70223.0s 加:50.0s 等前:0.0s 等后:0.0s)</t>
        </is>
      </c>
    </row>
    <row r="1060">
      <c r="A1060" s="13" t="n">
        <v>1059</v>
      </c>
      <c r="B1060" s="13" t="inlineStr">
        <is>
          <t>Car#1060</t>
        </is>
      </c>
      <c r="C1060" s="13" t="inlineStr">
        <is>
          <t>C</t>
        </is>
      </c>
      <c r="D1060" s="14" t="n">
        <v>68932.5</v>
      </c>
      <c r="E1060" s="14" t="n">
        <v>70366.5</v>
      </c>
      <c r="F1060" s="14" t="n">
        <v>1434</v>
      </c>
      <c r="G1060" s="14" t="n">
        <v>7521</v>
      </c>
      <c r="H1060" s="13" t="inlineStr">
        <is>
          <t>Car#1057</t>
        </is>
      </c>
      <c r="I1060" s="14">
        <f>E1060-E1059</f>
        <v/>
      </c>
      <c r="J1060" s="14">
        <f>I1060-58</f>
        <v/>
      </c>
      <c r="K1060" s="14">
        <f>MAX(0,J1060)</f>
        <v/>
      </c>
      <c r="L1060" s="14">
        <f>MAX(0,-J1060)</f>
        <v/>
      </c>
      <c r="M1060" s="14">
        <f>M1059+I1060</f>
        <v/>
      </c>
      <c r="N1060" s="14">
        <f>D1060+F1060-E1060</f>
        <v/>
      </c>
      <c r="O1060" s="13" t="inlineStr">
        <is>
          <t>能力超目标：四轮定位上、下、ARHUD+慢充</t>
        </is>
      </c>
      <c r="P1060" s="13" t="inlineStr">
        <is>
          <t>ST1 引取(开:68932.5s 加:56.0s 等前:7510.5s 等后:0.0s) | ST2 集约(开:68988.5s 加:111.0s 等前:0.0s 等后:0.0s) | ST3 空气悬挂+快充(开:69099.5s 加:108.5s 等前:0.0s 等后:0.0s) | ST4 四轮定位上、下(开:69208.0s 加:120.5s 等前:0.0s 等后:0.0s) | ST5 ADAS(开:69328.5s 加:107.0s 等前:0.0s 等后:10.5s) | ST6 ARHUD+慢充(开:69446.0s 加:143.5s 等前:0.0s 等后:0.0s) | ST7 转毂(开:69589.5s 加:114.5s 等前:0.0s 等后:0.0s) | ST8 制动(开:69704.0s 加:114.0s 等前:0.0s 等后:0.0s) | ST9 EG漏液/底盘漏液(开:69818.0s 加:112.5s 等前:0.0s 等后:0.0s) | ST10 全景/空调检查(开:69930.5s 加:0.0s 等前:0.0s 等后:0.0s) | ST11 气囊安装+绝缘(开:69930.5s 加:116.0s 等前:0.0s 等后:0.0s) | ST12 L2++(开:70046.5s 加:88.0s 等前:0.0s 等后:0.0s) | ST13 电检1(开:70134.5s 加:84.5s 等前:0.0s 等后:0.0s) | ST14 电检2(开:70219.0s 加:97.5s 等前:0.0s 等后:0.0s) | ST15 小跑道(开:70316.5s 加:50.0s 等前:0.0s 等后:0.0s)</t>
        </is>
      </c>
    </row>
    <row r="1061">
      <c r="A1061" s="15" t="n">
        <v>1060</v>
      </c>
      <c r="B1061" s="15" t="inlineStr">
        <is>
          <t>Car#1059</t>
        </is>
      </c>
      <c r="C1061" s="15" t="inlineStr">
        <is>
          <t>C</t>
        </is>
      </c>
      <c r="D1061" s="16" t="n">
        <v>68855.5</v>
      </c>
      <c r="E1061" s="16" t="n">
        <v>70416.5</v>
      </c>
      <c r="F1061" s="16" t="n">
        <v>1561</v>
      </c>
      <c r="G1061" s="16" t="n">
        <v>7629</v>
      </c>
      <c r="H1061" s="15" t="inlineStr">
        <is>
          <t>Car#1060</t>
        </is>
      </c>
      <c r="I1061" s="16">
        <f>E1061-E1060</f>
        <v/>
      </c>
      <c r="J1061" s="16">
        <f>I1061-58</f>
        <v/>
      </c>
      <c r="K1061" s="16">
        <f>MAX(0,J1061)</f>
        <v/>
      </c>
      <c r="L1061" s="16">
        <f>MAX(0,-J1061)</f>
        <v/>
      </c>
      <c r="M1061" s="16">
        <f>M1060+I1061</f>
        <v/>
      </c>
      <c r="N1061" s="16">
        <f>D1061+F1061-E1061</f>
        <v/>
      </c>
      <c r="O1061" s="15" t="inlineStr">
        <is>
          <t>能力超目标：四轮定位上、下、ARHUD+慢充</t>
        </is>
      </c>
      <c r="P1061" s="15" t="inlineStr">
        <is>
          <t>ST1 引取(开:68855.5s 加:56.0s 等前:7491.5s 等后:21.0s) | ST2 集约(开:68932.5s 加:111.0s 等前:0.0s 等后:32.5s) | ST3 空气悬挂+快充(开:69076.0s 加:108.5s 等前:0.0s 等后:12.0s) | ST4 四轮定位上、下(开:69196.5s 加:120.5s 等前:0.0s 等后:0.0s) | ST5 ADAS(开:69317.0s 加:107.0s 等前:0.0s 等后:26.0s) | ST6 ARHUD+慢充(开:69450.0s 加:143.5s 等前:0.0s 等后:0.0s) | ST7 转毂(开:69593.5s 加:114.5s 等前:0.0s 等后:0.0s) | ST8 制动(开:69708.0s 加:114.0s 等前:0.0s 等后:0.0s) | ST9 EG漏液/底盘漏液(开:69822.0s 加:112.5s 等前:0.0s 等后:0.0s) | ST10 全景/空调检查(开:69934.5s 加:0.0s 等前:0.0s 等后:0.0s) | ST11 气囊安装+绝缘(开:69934.5s 加:116.0s 等前:0.0s 等后:0.0s) | ST12 L2++(开:70050.5s 加:88.0s 等前:0.0s 等后:0.0s) | ST13 电检1(开:70138.5s 加:84.5s 等前:0.0s 等后:0.0s) | ST14 电检2(开:70223.0s 加:97.5s 等前:0.0s 等后:46.0s) | ST15 小跑道(开:70366.5s 加:50.0s 等前:0.0s 等后:0.0s)</t>
        </is>
      </c>
    </row>
    <row r="1062">
      <c r="A1062" s="13" t="n">
        <v>1061</v>
      </c>
      <c r="B1062" s="13" t="inlineStr">
        <is>
          <t>Car#1061</t>
        </is>
      </c>
      <c r="C1062" s="13" t="inlineStr">
        <is>
          <t>A</t>
        </is>
      </c>
      <c r="D1062" s="14" t="n">
        <v>68988.5</v>
      </c>
      <c r="E1062" s="14" t="n">
        <v>70467.5</v>
      </c>
      <c r="F1062" s="14" t="n">
        <v>1479</v>
      </c>
      <c r="G1062" s="14" t="n">
        <v>8126.5</v>
      </c>
      <c r="H1062" s="13" t="inlineStr">
        <is>
          <t>Car#1059</t>
        </is>
      </c>
      <c r="I1062" s="14">
        <f>E1062-E1061</f>
        <v/>
      </c>
      <c r="J1062" s="14">
        <f>I1062-58</f>
        <v/>
      </c>
      <c r="K1062" s="14">
        <f>MAX(0,J1062)</f>
        <v/>
      </c>
      <c r="L1062" s="14">
        <f>MAX(0,-J1062)</f>
        <v/>
      </c>
      <c r="M1062" s="14">
        <f>M1061+I1062</f>
        <v/>
      </c>
      <c r="N1062" s="14">
        <f>D1062+F1062-E1062</f>
        <v/>
      </c>
      <c r="O1062" s="13" t="inlineStr">
        <is>
          <t>能力满足</t>
        </is>
      </c>
      <c r="P1062" s="13" t="inlineStr">
        <is>
          <t>ST1 引取(开:68988.5s 加:55.0s 等前:7508.5s 等后:32.5s) | ST2 集约(开:69076.0s 加:106.0s 等前:0.0s 等后:14.5s) | ST3 空气悬挂+快充(开:69196.5s 加:0.0s 等前:0.0s 等后:120.5s) | ST4 四轮定位上、下(开:69317.0s 加:115.0s 等前:0.0s 等后:18.0s) | ST5 ADAS(开:69450.0s 加:97.0s 等前:0.0s 等后:46.5s) | ST6 ARHUD+慢充(开:69593.5s 加:0.0s 等前:0.0s 等后:114.5s) | ST7 转毂(开:69708.0s 加:116.0s 等前:0.0s 等后:0.0s) | ST8 制动(开:69824.0s 加:108.0s 等前:0.0s 等后:2.5s) | ST9 EG漏液/底盘漏液(开:69934.5s 加:115.0s 等前:0.0s 等后:0.0s) | ST10 全景/空调检查(开:70049.5s 加:98.0s 等前:0.0s 等后:0.0s) | ST11 气囊安装+绝缘(开:70147.5s 加:0.0s 等前:0.0s 等后:0.0s) | ST12 L2++(开:70147.5s 加:0.0s 等前:0.0s 等后:75.5s) | ST13 电检1(开:70223.0s 加:0.0s 等前:0.0s 等后:143.5s) | ST14 电检2(开:70366.5s 加:0.0s 等前:0.0s 等后:50.0s) | ST15 小跑道(开:70416.5s 加:51.0s 等前:0.0s 等后:0.0s)</t>
        </is>
      </c>
    </row>
    <row r="1063">
      <c r="A1063" s="15" t="n">
        <v>1062</v>
      </c>
      <c r="B1063" s="15" t="inlineStr">
        <is>
          <t>Car#1062</t>
        </is>
      </c>
      <c r="C1063" s="15" t="inlineStr">
        <is>
          <t>B</t>
        </is>
      </c>
      <c r="D1063" s="16" t="n">
        <v>69076</v>
      </c>
      <c r="E1063" s="16" t="n">
        <v>70517.5</v>
      </c>
      <c r="F1063" s="16" t="n">
        <v>1441.5</v>
      </c>
      <c r="G1063" s="16" t="n">
        <v>7648</v>
      </c>
      <c r="H1063" s="15" t="inlineStr">
        <is>
          <t>Car#1061</t>
        </is>
      </c>
      <c r="I1063" s="16">
        <f>E1063-E1062</f>
        <v/>
      </c>
      <c r="J1063" s="16">
        <f>I1063-58</f>
        <v/>
      </c>
      <c r="K1063" s="16">
        <f>MAX(0,J1063)</f>
        <v/>
      </c>
      <c r="L1063" s="16">
        <f>MAX(0,-J1063)</f>
        <v/>
      </c>
      <c r="M1063" s="16">
        <f>M1062+I1063</f>
        <v/>
      </c>
      <c r="N1063" s="16">
        <f>D1063+F1063-E1063</f>
        <v/>
      </c>
      <c r="O1063" s="15" t="inlineStr">
        <is>
          <t>能力超目标：四轮定位上、下</t>
        </is>
      </c>
      <c r="P1063" s="15" t="inlineStr">
        <is>
          <t>ST1 引取(开:69076.0s 加:56.0s 等前:7538.0s 等后:0.0s) | ST2 集约(开:69132.0s 加:111.0s 等前:0.0s 等后:0.0s) | ST3 空气悬挂+快充(开:69243.0s 加:108.5s 等前:0.0s 等后:0.0s) | ST4 四轮定位上、下(开:69351.5s 加:120.5s 等前:0.0s 等后:0.0s) | ST5 ADAS(开:69472.0s 加:107.0s 等前:0.0s 等后:10.5s) | ST6 ARHUD+慢充(开:69589.5s 加:51.5s 等前:0.0s 等后:63.0s) | ST7 转毂(开:69704.0s 加:114.5s 等前:0.0s 等后:0.0s) | ST8 制动(开:69818.5s 加:114.0s 等前:0.0s 等后:0.0s) | ST9 EG漏液/底盘漏液(开:69932.5s 加:112.5s 等前:0.0s 等后:0.0s) | ST10 全景/空调检查(开:70045.0s 加:0.0s 等前:0.0s 等后:1.5s) | ST11 气囊安装+绝缘(开:70046.5s 加:116.0s 等前:0.0s 等后:0.0s) | ST12 L2++(开:70162.5s 加:88.0s 等前:0.0s 等后:0.0s) | ST13 电检1(开:70250.5s 加:84.5s 等前:0.0s 等后:0.0s) | ST14 电检2(开:70335.0s 加:97.5s 等前:0.0s 等后:35.0s) | ST15 小跑道(开:70467.5s 加:50.0s 等前:0.0s 等后:0.0s)</t>
        </is>
      </c>
    </row>
    <row r="1064">
      <c r="A1064" s="13" t="n">
        <v>1063</v>
      </c>
      <c r="B1064" s="13" t="inlineStr">
        <is>
          <t>Car#1063</t>
        </is>
      </c>
      <c r="C1064" s="13" t="inlineStr">
        <is>
          <t>B</t>
        </is>
      </c>
      <c r="D1064" s="14" t="n">
        <v>69132</v>
      </c>
      <c r="E1064" s="14" t="n">
        <v>70601</v>
      </c>
      <c r="F1064" s="14" t="n">
        <v>1469</v>
      </c>
      <c r="G1064" s="14" t="n">
        <v>7673.5</v>
      </c>
      <c r="H1064" s="13" t="inlineStr">
        <is>
          <t>Car#1062</t>
        </is>
      </c>
      <c r="I1064" s="14">
        <f>E1064-E1063</f>
        <v/>
      </c>
      <c r="J1064" s="14">
        <f>I1064-58</f>
        <v/>
      </c>
      <c r="K1064" s="14">
        <f>MAX(0,J1064)</f>
        <v/>
      </c>
      <c r="L1064" s="14">
        <f>MAX(0,-J1064)</f>
        <v/>
      </c>
      <c r="M1064" s="14">
        <f>M1063+I1064</f>
        <v/>
      </c>
      <c r="N1064" s="14">
        <f>D1064+F1064-E1064</f>
        <v/>
      </c>
      <c r="O1064" s="13" t="inlineStr">
        <is>
          <t>能力超目标：四轮定位上、下</t>
        </is>
      </c>
      <c r="P1064" s="13" t="inlineStr">
        <is>
          <t>ST1 引取(开:69132.0s 加:56.0s 等前:7536.0s 等后:8.5s) | ST2 集约(开:69196.5s 加:111.0s 等前:0.0s 等后:9.5s) | ST3 空气悬挂+快充(开:69317.0s 加:108.5s 等前:0.0s 等后:24.5s) | ST4 四轮定位上、下(开:69450.0s 加:120.5s 等前:0.0s 等后:23.0s) | ST5 ADAS(开:69593.5s 加:107.0s 等前:0.0s 等后:7.5s) | ST6 ARHUD+慢充(开:69708.0s 加:51.5s 等前:0.0s 等后:64.5s) | ST7 转毂(开:69824.0s 加:114.5s 等前:0.0s 等后:0.0s) | ST8 制动(开:69938.5s 加:114.0s 等前:0.0s 等后:0.0s) | ST9 EG漏液/底盘漏液(开:70052.5s 加:112.5s 等前:0.0s 等后:0.0s) | ST10 全景/空调检查(开:70165.0s 加:0.0s 等前:0.0s 等后:0.0s) | ST11 气囊安装+绝缘(开:70165.0s 加:116.0s 等前:0.0s 等后:0.0s) | ST12 L2++(开:70281.0s 加:88.0s 等前:0.0s 等后:0.0s) | ST13 电检1(开:70369.0s 加:84.5s 等前:0.0s 等后:0.0s) | ST14 电检2(开:70453.5s 加:97.5s 等前:0.0s 等后:0.0s) | ST15 小跑道(开:70551.0s 加:50.0s 等前:0.0s 等后:0.0s)</t>
        </is>
      </c>
    </row>
    <row r="1065">
      <c r="A1065" s="15" t="n">
        <v>1064</v>
      </c>
      <c r="B1065" s="15" t="inlineStr">
        <is>
          <t>Car#1064</t>
        </is>
      </c>
      <c r="C1065" s="15" t="inlineStr">
        <is>
          <t>B</t>
        </is>
      </c>
      <c r="D1065" s="16" t="n">
        <v>69196.5</v>
      </c>
      <c r="E1065" s="16" t="n">
        <v>70651</v>
      </c>
      <c r="F1065" s="16" t="n">
        <v>1454.5</v>
      </c>
      <c r="G1065" s="16" t="n">
        <v>7665.5</v>
      </c>
      <c r="H1065" s="15" t="inlineStr">
        <is>
          <t>Car#1063</t>
        </is>
      </c>
      <c r="I1065" s="16">
        <f>E1065-E1064</f>
        <v/>
      </c>
      <c r="J1065" s="16">
        <f>I1065-58</f>
        <v/>
      </c>
      <c r="K1065" s="16">
        <f>MAX(0,J1065)</f>
        <v/>
      </c>
      <c r="L1065" s="16">
        <f>MAX(0,-J1065)</f>
        <v/>
      </c>
      <c r="M1065" s="16">
        <f>M1064+I1065</f>
        <v/>
      </c>
      <c r="N1065" s="16">
        <f>D1065+F1065-E1065</f>
        <v/>
      </c>
      <c r="O1065" s="15" t="inlineStr">
        <is>
          <t>能力超目标：四轮定位上、下</t>
        </is>
      </c>
      <c r="P1065" s="15" t="inlineStr">
        <is>
          <t>ST1 引取(开:69196.5s 加:56.0s 等前:7542.5s 等后:0.0s) | ST2 集约(开:69252.5s 加:111.0s 等前:0.0s 等后:0.0s) | ST3 空气悬挂+快充(开:69363.5s 加:108.5s 等前:0.0s 等后:0.0s) | ST4 四轮定位上、下(开:69472.0s 加:120.5s 等前:0.0s 等后:0.0s) | ST5 ADAS(开:69592.5s 加:107.0s 等前:0.0s 等后:4.5s) | ST6 ARHUD+慢充(开:69704.0s 加:51.5s 等前:0.0s 等后:63.0s) | ST7 转毂(开:69818.5s 加:114.5s 等前:0.0s 等后:0.0s) | ST8 制动(开:69933.0s 加:114.0s 等前:0.0s 等后:0.0s) | ST9 EG漏液/底盘漏液(开:70047.0s 加:112.5s 等前:0.0s 等后:0.0s) | ST10 全景/空调检查(开:70159.5s 加:0.0s 等前:0.0s 等后:3.0s) | ST11 气囊安装+绝缘(开:70162.5s 加:116.0s 等前:0.0s 等后:0.0s) | ST12 L2++(开:70278.5s 加:88.0s 等前:0.0s 等后:0.0s) | ST13 电检1(开:70366.5s 加:84.5s 等前:0.0s 等后:16.5s) | ST14 电检2(开:70467.5s 加:97.5s 等前:0.0s 等后:36.0s) | ST15 小跑道(开:70601.0s 加:50.0s 等前:0.0s 等后:0.0s)</t>
        </is>
      </c>
    </row>
    <row r="1066">
      <c r="A1066" s="13" t="n">
        <v>1065</v>
      </c>
      <c r="B1066" s="13" t="inlineStr">
        <is>
          <t>Car#1066</t>
        </is>
      </c>
      <c r="C1066" s="13" t="inlineStr">
        <is>
          <t>A</t>
        </is>
      </c>
      <c r="D1066" s="14" t="n">
        <v>69317</v>
      </c>
      <c r="E1066" s="14" t="n">
        <v>70702</v>
      </c>
      <c r="F1066" s="14" t="n">
        <v>1385</v>
      </c>
      <c r="G1066" s="14" t="n">
        <v>8071</v>
      </c>
      <c r="H1066" s="13" t="inlineStr">
        <is>
          <t>Car#1064</t>
        </is>
      </c>
      <c r="I1066" s="14">
        <f>E1066-E1065</f>
        <v/>
      </c>
      <c r="J1066" s="14">
        <f>I1066-58</f>
        <v/>
      </c>
      <c r="K1066" s="14">
        <f>MAX(0,J1066)</f>
        <v/>
      </c>
      <c r="L1066" s="14">
        <f>MAX(0,-J1066)</f>
        <v/>
      </c>
      <c r="M1066" s="14">
        <f>M1065+I1066</f>
        <v/>
      </c>
      <c r="N1066" s="14">
        <f>D1066+F1066-E1066</f>
        <v/>
      </c>
      <c r="O1066" s="13" t="inlineStr">
        <is>
          <t>能力满足</t>
        </is>
      </c>
      <c r="P1066" s="13" t="inlineStr">
        <is>
          <t>ST1 引取(开:69317.0s 加:55.0s 等前:7547.0s 等后:0.0s) | ST2 集约(开:69372.0s 加:106.0s 等前:0.0s 等后:0.0s) | ST3 空气悬挂+快充(开:69478.0s 加:0.0s 等前:0.0s 等后:114.5s) | ST4 四轮定位上、下(开:69592.5s 加:115.0s 等前:0.0s 等后:0.0s) | ST5 ADAS(开:69707.5s 加:97.0s 等前:0.0s 等后:14.0s) | ST6 ARHUD+慢充(开:69818.5s 加:0.0s 等前:0.0s 等后:114.5s) | ST7 转毂(开:69933.0s 加:116.0s 等前:0.0s 等后:0.0s) | ST8 制动(开:70049.0s 加:108.0s 等前:0.0s 等后:2.5s) | ST9 EG漏液/底盘漏液(开:70159.5s 加:115.0s 等前:0.0s 等后:0.0s) | ST10 全景/空调检查(开:70274.5s 加:98.0s 等前:0.0s 等后:0.0s) | ST11 气囊安装+绝缘(开:70372.5s 加:0.0s 等前:0.0s 等后:0.0s) | ST12 L2++(开:70372.5s 加:0.0s 等前:0.0s 等后:95.0s) | ST13 电检1(开:70467.5s 加:0.0s 等前:0.0s 等后:133.5s) | ST14 电检2(开:70601.0s 加:0.0s 等前:0.0s 等后:50.0s) | ST15 小跑道(开:70651.0s 加:51.0s 等前:0.0s 等后:0.0s)</t>
        </is>
      </c>
    </row>
    <row r="1067">
      <c r="A1067" s="15" t="n">
        <v>1066</v>
      </c>
      <c r="B1067" s="15" t="inlineStr">
        <is>
          <t>Car#1065</t>
        </is>
      </c>
      <c r="C1067" s="15" t="inlineStr">
        <is>
          <t>C</t>
        </is>
      </c>
      <c r="D1067" s="16" t="n">
        <v>69252.5</v>
      </c>
      <c r="E1067" s="16" t="n">
        <v>70752</v>
      </c>
      <c r="F1067" s="16" t="n">
        <v>1499.5</v>
      </c>
      <c r="G1067" s="16" t="n">
        <v>7616.5</v>
      </c>
      <c r="H1067" s="15" t="inlineStr">
        <is>
          <t>Car#1066</t>
        </is>
      </c>
      <c r="I1067" s="16">
        <f>E1067-E1066</f>
        <v/>
      </c>
      <c r="J1067" s="16">
        <f>I1067-58</f>
        <v/>
      </c>
      <c r="K1067" s="16">
        <f>MAX(0,J1067)</f>
        <v/>
      </c>
      <c r="L1067" s="16">
        <f>MAX(0,-J1067)</f>
        <v/>
      </c>
      <c r="M1067" s="16">
        <f>M1066+I1067</f>
        <v/>
      </c>
      <c r="N1067" s="16">
        <f>D1067+F1067-E1067</f>
        <v/>
      </c>
      <c r="O1067" s="15" t="inlineStr">
        <is>
          <t>能力超目标：四轮定位上、下、ARHUD+慢充</t>
        </is>
      </c>
      <c r="P1067" s="15" t="inlineStr">
        <is>
          <t>ST1 引取(开:69252.5s 加:56.0s 等前:7540.5s 等后:8.5s) | ST2 集约(开:69317.0s 加:111.0s 等前:0.0s 等后:22.0s) | ST3 空气悬挂+快充(开:69450.0s 加:108.5s 等前:0.0s 等后:35.0s) | ST4 四轮定位上、下(开:69593.5s 加:120.5s 等前:0.0s 等后:0.0s) | ST5 ADAS(开:69714.0s 加:107.0s 等前:0.0s 等后:3.0s) | ST6 ARHUD+慢充(开:69824.0s 加:143.5s 等前:0.0s 等后:0.0s) | ST7 转毂(开:69967.5s 加:114.5s 等前:0.0s 等后:0.0s) | ST8 制动(开:70082.0s 加:114.0s 等前:0.0s 等后:0.0s) | ST9 EG漏液/底盘漏液(开:70196.0s 加:112.5s 等前:0.0s 等后:0.0s) | ST10 全景/空调检查(开:70308.5s 加:0.0s 等前:0.0s 等后:0.0s) | ST11 气囊安装+绝缘(开:70308.5s 加:116.0s 等前:0.0s 等后:0.0s) | ST12 L2++(开:70424.5s 加:88.0s 等前:0.0s 等后:0.0s) | ST13 电检1(开:70512.5s 加:84.5s 等前:0.0s 等后:0.0s) | ST14 电检2(开:70597.0s 加:97.5s 等前:0.0s 等后:7.5s) | ST15 小跑道(开:70702.0s 加:50.0s 等前:0.0s 等后:0.0s)</t>
        </is>
      </c>
    </row>
    <row r="1068">
      <c r="A1068" s="13" t="n">
        <v>1067</v>
      </c>
      <c r="B1068" s="13" t="inlineStr">
        <is>
          <t>Car#1068</t>
        </is>
      </c>
      <c r="C1068" s="13" t="inlineStr">
        <is>
          <t>C</t>
        </is>
      </c>
      <c r="D1068" s="14" t="n">
        <v>69450</v>
      </c>
      <c r="E1068" s="14" t="n">
        <v>70873.5</v>
      </c>
      <c r="F1068" s="14" t="n">
        <v>1423.5</v>
      </c>
      <c r="G1068" s="14" t="n">
        <v>7564</v>
      </c>
      <c r="H1068" s="13" t="inlineStr">
        <is>
          <t>Car#1065</t>
        </is>
      </c>
      <c r="I1068" s="14">
        <f>E1068-E1067</f>
        <v/>
      </c>
      <c r="J1068" s="14">
        <f>I1068-58</f>
        <v/>
      </c>
      <c r="K1068" s="14">
        <f>MAX(0,J1068)</f>
        <v/>
      </c>
      <c r="L1068" s="14">
        <f>MAX(0,-J1068)</f>
        <v/>
      </c>
      <c r="M1068" s="14">
        <f>M1067+I1068</f>
        <v/>
      </c>
      <c r="N1068" s="14">
        <f>D1068+F1068-E1068</f>
        <v/>
      </c>
      <c r="O1068" s="13" t="inlineStr">
        <is>
          <t>能力超目标：四轮定位上、下、ARHUD+慢充</t>
        </is>
      </c>
      <c r="P1068" s="13" t="inlineStr">
        <is>
          <t>ST1 引取(开:69450.0s 加:56.0s 等前:7564.0s 等后:0.0s) | ST2 集约(开:69506.0s 加:111.0s 等前:0.0s 等后:0.0s) | ST3 空气悬挂+快充(开:69617.0s 加:108.5s 等前:0.0s 等后:0.0s) | ST4 四轮定位上、下(开:69725.5s 加:120.5s 等前:0.0s 等后:0.0s) | ST5 ADAS(开:69846.0s 加:107.0s 等前:0.0s 等后:0.0s) | ST6 ARHUD+慢充(开:69953.0s 加:143.5s 等前:0.0s 等后:0.0s) | ST7 转毂(开:70096.5s 加:114.5s 等前:0.0s 等后:0.0s) | ST8 制动(开:70211.0s 加:114.0s 等前:0.0s 等后:0.0s) | ST9 EG漏液/底盘漏液(开:70325.0s 加:112.5s 等前:0.0s 等后:0.0s) | ST10 全景/空调检查(开:70437.5s 加:0.0s 等前:0.0s 等后:0.0s) | ST11 气囊安装+绝缘(开:70437.5s 加:116.0s 等前:0.0s 等后:0.0s) | ST12 L2++(开:70553.5s 加:88.0s 等前:0.0s 等后:0.0s) | ST13 电检1(开:70641.5s 加:84.5s 等前:0.0s 等后:0.0s) | ST14 电检2(开:70726.0s 加:97.5s 等前:0.0s 等后:0.0s) | ST15 小跑道(开:70823.5s 加:50.0s 等前:0.0s 等后:0.0s)</t>
        </is>
      </c>
    </row>
    <row r="1069">
      <c r="A1069" s="15" t="n">
        <v>1068</v>
      </c>
      <c r="B1069" s="15" t="inlineStr">
        <is>
          <t>Car#1070</t>
        </is>
      </c>
      <c r="C1069" s="15" t="inlineStr">
        <is>
          <t>A</t>
        </is>
      </c>
      <c r="D1069" s="16" t="n">
        <v>69593.5</v>
      </c>
      <c r="E1069" s="16" t="n">
        <v>70924.5</v>
      </c>
      <c r="F1069" s="16" t="n">
        <v>1331</v>
      </c>
      <c r="G1069" s="16" t="n">
        <v>8061.5</v>
      </c>
      <c r="H1069" s="15" t="inlineStr">
        <is>
          <t>Car#1068</t>
        </is>
      </c>
      <c r="I1069" s="16">
        <f>E1069-E1068</f>
        <v/>
      </c>
      <c r="J1069" s="16">
        <f>I1069-58</f>
        <v/>
      </c>
      <c r="K1069" s="16">
        <f>MAX(0,J1069)</f>
        <v/>
      </c>
      <c r="L1069" s="16">
        <f>MAX(0,-J1069)</f>
        <v/>
      </c>
      <c r="M1069" s="16">
        <f>M1068+I1069</f>
        <v/>
      </c>
      <c r="N1069" s="16">
        <f>D1069+F1069-E1069</f>
        <v/>
      </c>
      <c r="O1069" s="15" t="inlineStr">
        <is>
          <t>能力满足</t>
        </is>
      </c>
      <c r="P1069" s="15" t="inlineStr">
        <is>
          <t>ST1 引取(开:69593.5s 加:55.0s 等前:7591.5s 等后:0.0s) | ST2 集约(开:69648.5s 加:106.0s 等前:0.0s 等后:0.0s) | ST3 空气悬挂+快充(开:69754.5s 加:0.0s 等前:0.0s 等后:91.5s) | ST4 四轮定位上、下(开:69846.0s 加:115.0s 等前:0.0s 等后:0.0s) | ST5 ADAS(开:69961.0s 加:97.0s 等前:0.0s 等后:38.5s) | ST6 ARHUD+慢充(开:70096.5s 加:0.0s 等前:0.0s 等后:114.5s) | ST7 转毂(开:70211.0s 加:116.0s 等前:0.0s 等后:0.0s) | ST8 制动(开:70327.0s 加:108.0s 等前:0.0s 等后:2.5s) | ST9 EG漏液/底盘漏液(开:70437.5s 加:115.0s 等前:0.0s 等后:0.0s) | ST10 全景/空调检查(开:70552.5s 加:98.0s 等前:0.0s 等后:0.0s) | ST11 气囊安装+绝缘(开:70650.5s 加:0.0s 等前:0.0s 等后:0.0s) | ST12 L2++(开:70650.5s 加:0.0s 等前:0.0s 等后:75.5s) | ST13 电检1(开:70726.0s 加:0.0s 等前:0.0s 等后:97.5s) | ST14 电检2(开:70823.5s 加:0.0s 等前:0.0s 等后:50.0s) | ST15 小跑道(开:70873.5s 加:51.0s 等前:0.0s 等后:0.0s)</t>
        </is>
      </c>
    </row>
    <row r="1070">
      <c r="A1070" s="13" t="n">
        <v>1069</v>
      </c>
      <c r="B1070" s="13" t="inlineStr">
        <is>
          <t>Car#1067</t>
        </is>
      </c>
      <c r="C1070" s="13" t="inlineStr">
        <is>
          <t>C</t>
        </is>
      </c>
      <c r="D1070" s="14" t="n">
        <v>69372</v>
      </c>
      <c r="E1070" s="14" t="n">
        <v>70974.5</v>
      </c>
      <c r="F1070" s="14" t="n">
        <v>1602.5</v>
      </c>
      <c r="G1070" s="14" t="n">
        <v>7723</v>
      </c>
      <c r="H1070" s="13" t="inlineStr">
        <is>
          <t>Car#1070</t>
        </is>
      </c>
      <c r="I1070" s="14">
        <f>E1070-E1069</f>
        <v/>
      </c>
      <c r="J1070" s="14">
        <f>I1070-58</f>
        <v/>
      </c>
      <c r="K1070" s="14">
        <f>MAX(0,J1070)</f>
        <v/>
      </c>
      <c r="L1070" s="14">
        <f>MAX(0,-J1070)</f>
        <v/>
      </c>
      <c r="M1070" s="14">
        <f>M1069+I1070</f>
        <v/>
      </c>
      <c r="N1070" s="14">
        <f>D1070+F1070-E1070</f>
        <v/>
      </c>
      <c r="O1070" s="13" t="inlineStr">
        <is>
          <t>能力超目标：四轮定位上、下、ARHUD+慢充</t>
        </is>
      </c>
      <c r="P1070" s="13" t="inlineStr">
        <is>
          <t>ST1 引取(开:69372.0s 加:56.0s 等前:7544.0s 等后:22.0s) | ST2 集约(开:69450.0s 加:111.0s 等前:0.0s 等后:32.5s) | ST3 空气悬挂+快充(开:69593.5s 加:108.5s 等前:0.0s 等后:12.0s) | ST4 四轮定位上、下(开:69714.0s 加:120.5s 等前:0.0s 等后:0.0s) | ST5 ADAS(开:69834.5s 加:107.0s 等前:0.0s 等后:26.0s) | ST6 ARHUD+慢充(开:69967.5s 加:143.5s 等前:0.0s 等后:0.0s) | ST7 转毂(开:70111.0s 加:114.5s 等前:0.0s 等后:0.0s) | ST8 制动(开:70225.5s 加:114.0s 等前:0.0s 等后:0.0s) | ST9 EG漏液/底盘漏液(开:70339.5s 加:112.5s 等前:0.0s 等后:0.0s) | ST10 全景/空调检查(开:70452.0s 加:0.0s 等前:0.0s 等后:0.0s) | ST11 气囊安装+绝缘(开:70452.0s 加:116.0s 等前:0.0s 等后:0.0s) | ST12 L2++(开:70568.0s 加:88.0s 等前:0.0s 等后:0.0s) | ST13 电检1(开:70656.0s 加:84.5s 等前:0.0s 等后:0.0s) | ST14 电检2(开:70740.5s 加:97.5s 等前:0.0s 等后:86.5s) | ST15 小跑道(开:70924.5s 加:50.0s 等前:0.0s 等后:0.0s)</t>
        </is>
      </c>
    </row>
    <row r="1071">
      <c r="A1071" s="15" t="n">
        <v>1070</v>
      </c>
      <c r="B1071" s="15" t="inlineStr">
        <is>
          <t>Car#1069</t>
        </is>
      </c>
      <c r="C1071" s="15" t="inlineStr">
        <is>
          <t>A</t>
        </is>
      </c>
      <c r="D1071" s="16" t="n">
        <v>69506</v>
      </c>
      <c r="E1071" s="16" t="n">
        <v>71025.5</v>
      </c>
      <c r="F1071" s="16" t="n">
        <v>1519.5</v>
      </c>
      <c r="G1071" s="16" t="n">
        <v>8220.5</v>
      </c>
      <c r="H1071" s="15" t="inlineStr">
        <is>
          <t>Car#1067</t>
        </is>
      </c>
      <c r="I1071" s="16">
        <f>E1071-E1070</f>
        <v/>
      </c>
      <c r="J1071" s="16">
        <f>I1071-58</f>
        <v/>
      </c>
      <c r="K1071" s="16">
        <f>MAX(0,J1071)</f>
        <v/>
      </c>
      <c r="L1071" s="16">
        <f>MAX(0,-J1071)</f>
        <v/>
      </c>
      <c r="M1071" s="16">
        <f>M1070+I1071</f>
        <v/>
      </c>
      <c r="N1071" s="16">
        <f>D1071+F1071-E1071</f>
        <v/>
      </c>
      <c r="O1071" s="15" t="inlineStr">
        <is>
          <t>能力满足</t>
        </is>
      </c>
      <c r="P1071" s="15" t="inlineStr">
        <is>
          <t>ST1 引取(开:69506.0s 加:55.0s 等前:7562.0s 等后:32.5s) | ST2 集约(开:69593.5s 加:106.0s 等前:0.0s 等后:14.5s) | ST3 空气悬挂+快充(开:69714.0s 加:0.0s 等前:0.0s 等后:120.5s) | ST4 四轮定位上、下(开:69834.5s 加:115.0s 等前:0.0s 等后:18.0s) | ST5 ADAS(开:69967.5s 加:97.0s 等前:0.0s 等后:46.5s) | ST6 ARHUD+慢充(开:70111.0s 加:0.0s 等前:0.0s 等后:114.5s) | ST7 转毂(开:70225.5s 加:116.0s 等前:0.0s 等后:0.0s) | ST8 制动(开:70341.5s 加:108.0s 等前:0.0s 等后:2.5s) | ST9 EG漏液/底盘漏液(开:70452.0s 加:115.0s 等前:0.0s 等后:0.0s) | ST10 全景/空调检查(开:70567.0s 加:98.0s 等前:0.0s 等后:0.0s) | ST11 气囊安装+绝缘(开:70665.0s 加:0.0s 等前:0.0s 等后:0.0s) | ST12 L2++(开:70665.0s 加:0.0s 等前:0.0s 等后:75.5s) | ST13 电检1(开:70740.5s 加:0.0s 等前:0.0s 等后:184.0s) | ST14 电检2(开:70924.5s 加:0.0s 等前:0.0s 等后:50.0s) | ST15 小跑道(开:70974.5s 加:51.0s 等前:0.0s 等后:0.0s)</t>
        </is>
      </c>
    </row>
    <row r="1072">
      <c r="A1072" s="13" t="n">
        <v>1071</v>
      </c>
      <c r="B1072" s="13" t="inlineStr">
        <is>
          <t>Car#1072</t>
        </is>
      </c>
      <c r="C1072" s="13" t="inlineStr">
        <is>
          <t>C</t>
        </is>
      </c>
      <c r="D1072" s="14" t="n">
        <v>69714</v>
      </c>
      <c r="E1072" s="14" t="n">
        <v>71137.5</v>
      </c>
      <c r="F1072" s="14" t="n">
        <v>1423.5</v>
      </c>
      <c r="G1072" s="14" t="n">
        <v>7596</v>
      </c>
      <c r="H1072" s="13" t="inlineStr">
        <is>
          <t>Car#1069</t>
        </is>
      </c>
      <c r="I1072" s="14">
        <f>E1072-E1071</f>
        <v/>
      </c>
      <c r="J1072" s="14">
        <f>I1072-58</f>
        <v/>
      </c>
      <c r="K1072" s="14">
        <f>MAX(0,J1072)</f>
        <v/>
      </c>
      <c r="L1072" s="14">
        <f>MAX(0,-J1072)</f>
        <v/>
      </c>
      <c r="M1072" s="14">
        <f>M1071+I1072</f>
        <v/>
      </c>
      <c r="N1072" s="14">
        <f>D1072+F1072-E1072</f>
        <v/>
      </c>
      <c r="O1072" s="13" t="inlineStr">
        <is>
          <t>能力超目标：四轮定位上、下、ARHUD+慢充</t>
        </is>
      </c>
      <c r="P1072" s="13" t="inlineStr">
        <is>
          <t>ST1 引取(开:69714.0s 加:56.0s 等前:7596.0s 等后:0.0s) | ST2 集约(开:69770.0s 加:111.0s 等前:0.0s 等后:0.0s) | ST3 空气悬挂+快充(开:69881.0s 加:108.5s 等前:0.0s 等后:0.0s) | ST4 四轮定位上、下(开:69989.5s 加:120.5s 等前:0.0s 等后:0.0s) | ST5 ADAS(开:70110.0s 加:107.0s 等前:0.0s 等后:0.0s) | ST6 ARHUD+慢充(开:70217.0s 加:143.5s 等前:0.0s 等后:0.0s) | ST7 转毂(开:70360.5s 加:114.5s 等前:0.0s 等后:0.0s) | ST8 制动(开:70475.0s 加:114.0s 等前:0.0s 等后:0.0s) | ST9 EG漏液/底盘漏液(开:70589.0s 加:112.5s 等前:0.0s 等后:0.0s) | ST10 全景/空调检查(开:70701.5s 加:0.0s 等前:0.0s 等后:0.0s) | ST11 气囊安装+绝缘(开:70701.5s 加:116.0s 等前:0.0s 等后:0.0s) | ST12 L2++(开:70817.5s 加:88.0s 等前:0.0s 等后:0.0s) | ST13 电检1(开:70905.5s 加:84.5s 等前:0.0s 等后:0.0s) | ST14 电检2(开:70990.0s 加:97.5s 等前:0.0s 等后:0.0s) | ST15 小跑道(开:71087.5s 加:50.0s 等前:0.0s 等后:0.0s)</t>
        </is>
      </c>
    </row>
    <row r="1073">
      <c r="A1073" s="15" t="n">
        <v>1072</v>
      </c>
      <c r="B1073" s="15" t="inlineStr">
        <is>
          <t>Car#1071</t>
        </is>
      </c>
      <c r="C1073" s="15" t="inlineStr">
        <is>
          <t>C</t>
        </is>
      </c>
      <c r="D1073" s="16" t="n">
        <v>69648.5</v>
      </c>
      <c r="E1073" s="16" t="n">
        <v>71187.5</v>
      </c>
      <c r="F1073" s="16" t="n">
        <v>1539</v>
      </c>
      <c r="G1073" s="16" t="n">
        <v>7704</v>
      </c>
      <c r="H1073" s="15" t="inlineStr">
        <is>
          <t>Car#1072</t>
        </is>
      </c>
      <c r="I1073" s="16">
        <f>E1073-E1072</f>
        <v/>
      </c>
      <c r="J1073" s="16">
        <f>I1073-58</f>
        <v/>
      </c>
      <c r="K1073" s="16">
        <f>MAX(0,J1073)</f>
        <v/>
      </c>
      <c r="L1073" s="16">
        <f>MAX(0,-J1073)</f>
        <v/>
      </c>
      <c r="M1073" s="16">
        <f>M1072+I1073</f>
        <v/>
      </c>
      <c r="N1073" s="16">
        <f>D1073+F1073-E1073</f>
        <v/>
      </c>
      <c r="O1073" s="15" t="inlineStr">
        <is>
          <t>能力超目标：四轮定位上、下、ARHUD+慢充</t>
        </is>
      </c>
      <c r="P1073" s="15" t="inlineStr">
        <is>
          <t>ST1 引取(开:69648.5s 加:56.0s 等前:7588.5s 等后:9.5s) | ST2 集约(开:69714.0s 加:111.0s 等前:0.0s 等后:9.5s) | ST3 空气悬挂+快充(开:69834.5s 加:108.5s 等前:0.0s 等后:24.5s) | ST4 四轮定位上、下(开:69967.5s 加:120.5s 等前:0.0s 等后:23.0s) | ST5 ADAS(开:70111.0s 加:107.0s 等前:0.0s 等后:7.5s) | ST6 ARHUD+慢充(开:70225.5s 加:143.5s 等前:0.0s 等后:0.0s) | ST7 转毂(开:70369.0s 加:114.5s 等前:0.0s 等后:0.0s) | ST8 制动(开:70483.5s 加:114.0s 等前:0.0s 等后:0.0s) | ST9 EG漏液/底盘漏液(开:70597.5s 加:112.5s 等前:0.0s 等后:0.0s) | ST10 全景/空调检查(开:70710.0s 加:0.0s 等前:0.0s 等后:0.0s) | ST11 气囊安装+绝缘(开:70710.0s 加:116.0s 等前:0.0s 等后:0.0s) | ST12 L2++(开:70826.0s 加:88.0s 等前:0.0s 等后:10.5s) | ST13 电检1(开:70924.5s 加:84.5s 等前:0.0s 等后:0.0s) | ST14 电检2(开:71009.0s 加:97.5s 等前:0.0s 等后:31.0s) | ST15 小跑道(开:71137.5s 加:50.0s 等前:0.0s 等后:0.0s)</t>
        </is>
      </c>
    </row>
    <row r="1074">
      <c r="A1074" s="13" t="n">
        <v>1073</v>
      </c>
      <c r="B1074" s="13" t="inlineStr">
        <is>
          <t>Car#1074</t>
        </is>
      </c>
      <c r="C1074" s="13" t="inlineStr">
        <is>
          <t>B</t>
        </is>
      </c>
      <c r="D1074" s="14" t="n">
        <v>69834.5</v>
      </c>
      <c r="E1074" s="14" t="n">
        <v>71253.5</v>
      </c>
      <c r="F1074" s="14" t="n">
        <v>1419</v>
      </c>
      <c r="G1074" s="14" t="n">
        <v>7688</v>
      </c>
      <c r="H1074" s="13" t="inlineStr">
        <is>
          <t>Car#1071</t>
        </is>
      </c>
      <c r="I1074" s="14">
        <f>E1074-E1073</f>
        <v/>
      </c>
      <c r="J1074" s="14">
        <f>I1074-58</f>
        <v/>
      </c>
      <c r="K1074" s="14">
        <f>MAX(0,J1074)</f>
        <v/>
      </c>
      <c r="L1074" s="14">
        <f>MAX(0,-J1074)</f>
        <v/>
      </c>
      <c r="M1074" s="14">
        <f>M1073+I1074</f>
        <v/>
      </c>
      <c r="N1074" s="14">
        <f>D1074+F1074-E1074</f>
        <v/>
      </c>
      <c r="O1074" s="13" t="inlineStr">
        <is>
          <t>能力超目标：四轮定位上、下</t>
        </is>
      </c>
      <c r="P1074" s="13" t="inlineStr">
        <is>
          <t>ST1 引取(开:69834.5s 加:56.0s 等前:7600.5s 等后:0.0s) | ST2 集约(开:69890.5s 加:111.0s 等前:0.0s 等后:0.0s) | ST3 空气悬挂+快充(开:70001.5s 加:108.5s 等前:0.0s 等后:0.0s) | ST4 四轮定位上、下(开:70110.0s 加:120.5s 等前:0.0s 等后:0.0s) | ST5 ADAS(开:70230.5s 加:107.0s 等前:0.0s 等后:23.0s) | ST6 ARHUD+慢充(开:70360.5s 加:51.5s 等前:0.0s 等后:63.0s) | ST7 转毂(开:70475.0s 加:114.5s 等前:0.0s 等后:0.0s) | ST8 制动(开:70589.5s 加:114.0s 等前:0.0s 等后:0.0s) | ST9 EG漏液/底盘漏液(开:70703.5s 加:112.5s 等前:0.0s 等后:0.0s) | ST10 全景/空调检查(开:70816.0s 加:0.0s 等前:0.0s 等后:1.5s) | ST11 气囊安装+绝缘(开:70817.5s 加:116.0s 等前:0.0s 等后:0.0s) | ST12 L2++(开:70933.5s 加:88.0s 等前:0.0s 等后:0.0s) | ST13 电检1(开:71021.5s 加:84.5s 等前:0.0s 等后:0.0s) | ST14 电检2(开:71106.0s 加:97.5s 等前:0.0s 等后:0.0s) | ST15 小跑道(开:71203.5s 加:50.0s 等前:0.0s 等后:0.0s)</t>
        </is>
      </c>
    </row>
    <row r="1075">
      <c r="A1075" s="15" t="n">
        <v>1074</v>
      </c>
      <c r="B1075" s="15" t="inlineStr">
        <is>
          <t>Car#1073</t>
        </is>
      </c>
      <c r="C1075" s="15" t="inlineStr">
        <is>
          <t>B</t>
        </is>
      </c>
      <c r="D1075" s="16" t="n">
        <v>69770</v>
      </c>
      <c r="E1075" s="16" t="n">
        <v>71303.5</v>
      </c>
      <c r="F1075" s="16" t="n">
        <v>1533.5</v>
      </c>
      <c r="G1075" s="16" t="n">
        <v>7796</v>
      </c>
      <c r="H1075" s="15" t="inlineStr">
        <is>
          <t>Car#1074</t>
        </is>
      </c>
      <c r="I1075" s="16">
        <f>E1075-E1074</f>
        <v/>
      </c>
      <c r="J1075" s="16">
        <f>I1075-58</f>
        <v/>
      </c>
      <c r="K1075" s="16">
        <f>MAX(0,J1075)</f>
        <v/>
      </c>
      <c r="L1075" s="16">
        <f>MAX(0,-J1075)</f>
        <v/>
      </c>
      <c r="M1075" s="16">
        <f>M1074+I1075</f>
        <v/>
      </c>
      <c r="N1075" s="16">
        <f>D1075+F1075-E1075</f>
        <v/>
      </c>
      <c r="O1075" s="15" t="inlineStr">
        <is>
          <t>能力超目标：四轮定位上、下</t>
        </is>
      </c>
      <c r="P1075" s="15" t="inlineStr">
        <is>
          <t>ST1 引取(开:69770.0s 加:56.0s 等前:7594.0s 等后:8.5s) | ST2 集约(开:69834.5s 加:111.0s 等前:0.0s 等后:22.0s) | ST3 空气悬挂+快充(开:69967.5s 加:108.5s 等前:0.0s 等后:35.0s) | ST4 四轮定位上、下(开:70111.0s 加:120.5s 等前:0.0s 等后:0.0s) | ST5 ADAS(开:70231.5s 加:107.0s 等前:0.0s 等后:30.5s) | ST6 ARHUD+慢充(开:70369.0s 加:51.5s 等前:0.0s 等后:63.0s) | ST7 转毂(开:70483.5s 加:114.5s 等前:0.0s 等后:0.0s) | ST8 制动(开:70598.0s 加:114.0s 等前:0.0s 等后:0.0s) | ST9 EG漏液/底盘漏液(开:70712.0s 加:112.5s 等前:0.0s 等后:0.0s) | ST10 全景/空调检查(开:70824.5s 加:0.0s 等前:0.0s 等后:1.5s) | ST11 气囊安装+绝缘(开:70826.0s 加:116.0s 等前:0.0s 等后:0.0s) | ST12 L2++(开:70942.0s 加:88.0s 等前:0.0s 等后:0.0s) | ST13 电检1(开:71030.0s 加:84.5s 等前:0.0s 等后:23.0s) | ST14 电检2(开:71137.5s 加:97.5s 等前:0.0s 等后:18.5s) | ST15 小跑道(开:71253.5s 加:50.0s 等前:0.0s 等后:0.0s)</t>
        </is>
      </c>
    </row>
    <row r="1076">
      <c r="A1076" s="13" t="n">
        <v>1075</v>
      </c>
      <c r="B1076" s="13" t="inlineStr">
        <is>
          <t>Car#1076</t>
        </is>
      </c>
      <c r="C1076" s="13" t="inlineStr">
        <is>
          <t>C</t>
        </is>
      </c>
      <c r="D1076" s="14" t="n">
        <v>69967.5</v>
      </c>
      <c r="E1076" s="14" t="n">
        <v>71395.5</v>
      </c>
      <c r="F1076" s="14" t="n">
        <v>1428</v>
      </c>
      <c r="G1076" s="14" t="n">
        <v>7622</v>
      </c>
      <c r="H1076" s="13" t="inlineStr">
        <is>
          <t>Car#1073</t>
        </is>
      </c>
      <c r="I1076" s="14">
        <f>E1076-E1075</f>
        <v/>
      </c>
      <c r="J1076" s="14">
        <f>I1076-58</f>
        <v/>
      </c>
      <c r="K1076" s="14">
        <f>MAX(0,J1076)</f>
        <v/>
      </c>
      <c r="L1076" s="14">
        <f>MAX(0,-J1076)</f>
        <v/>
      </c>
      <c r="M1076" s="14">
        <f>M1075+I1076</f>
        <v/>
      </c>
      <c r="N1076" s="14">
        <f>D1076+F1076-E1076</f>
        <v/>
      </c>
      <c r="O1076" s="13" t="inlineStr">
        <is>
          <t>能力超目标：四轮定位上、下、ARHUD+慢充</t>
        </is>
      </c>
      <c r="P1076" s="13" t="inlineStr">
        <is>
          <t>ST1 引取(开:69967.5s 加:56.0s 等前:7617.5s 等后:0.0s) | ST2 集约(开:70023.5s 加:111.0s 等前:0.0s 等后:0.0s) | ST3 空气悬挂+快充(开:70134.5s 加:108.5s 等前:0.0s 等后:0.0s) | ST4 四轮定位上、下(开:70243.0s 加:120.5s 等前:0.0s 等后:0.0s) | ST5 ADAS(开:70363.5s 加:107.0s 等前:0.0s 等后:4.5s) | ST6 ARHUD+慢充(开:70475.0s 加:143.5s 等前:0.0s 等后:0.0s) | ST7 转毂(开:70618.5s 加:114.5s 等前:0.0s 等后:0.0s) | ST8 制动(开:70733.0s 加:114.0s 等前:0.0s 等后:0.0s) | ST9 EG漏液/底盘漏液(开:70847.0s 加:112.5s 等前:0.0s 等后:0.0s) | ST10 全景/空调检查(开:70959.5s 加:0.0s 等前:0.0s 等后:0.0s) | ST11 气囊安装+绝缘(开:70959.5s 加:116.0s 等前:0.0s 等后:0.0s) | ST12 L2++(开:71075.5s 加:88.0s 等前:0.0s 等后:0.0s) | ST13 电检1(开:71163.5s 加:84.5s 等前:0.0s 等后:0.0s) | ST14 电检2(开:71248.0s 加:97.5s 等前:0.0s 等后:0.0s) | ST15 小跑道(开:71345.5s 加:50.0s 等前:0.0s 等后:0.0s)</t>
        </is>
      </c>
    </row>
    <row r="1077">
      <c r="A1077" s="15" t="n">
        <v>1076</v>
      </c>
      <c r="B1077" s="15" t="inlineStr">
        <is>
          <t>Car#1078</t>
        </is>
      </c>
      <c r="C1077" s="15" t="inlineStr">
        <is>
          <t>A</t>
        </is>
      </c>
      <c r="D1077" s="16" t="n">
        <v>70111</v>
      </c>
      <c r="E1077" s="16" t="n">
        <v>71446.5</v>
      </c>
      <c r="F1077" s="16" t="n">
        <v>1335.5</v>
      </c>
      <c r="G1077" s="16" t="n">
        <v>8119.5</v>
      </c>
      <c r="H1077" s="15" t="inlineStr">
        <is>
          <t>Car#1076</t>
        </is>
      </c>
      <c r="I1077" s="16">
        <f>E1077-E1076</f>
        <v/>
      </c>
      <c r="J1077" s="16">
        <f>I1077-58</f>
        <v/>
      </c>
      <c r="K1077" s="16">
        <f>MAX(0,J1077)</f>
        <v/>
      </c>
      <c r="L1077" s="16">
        <f>MAX(0,-J1077)</f>
        <v/>
      </c>
      <c r="M1077" s="16">
        <f>M1076+I1077</f>
        <v/>
      </c>
      <c r="N1077" s="16">
        <f>D1077+F1077-E1077</f>
        <v/>
      </c>
      <c r="O1077" s="15" t="inlineStr">
        <is>
          <t>能力满足</t>
        </is>
      </c>
      <c r="P1077" s="15" t="inlineStr">
        <is>
          <t>ST1 引取(开:70111.0s 加:55.0s 等前:7645.0s 等后:0.0s) | ST2 集约(开:70166.0s 加:106.0s 等前:0.0s 等后:0.0s) | ST3 空气悬挂+快充(开:70272.0s 加:0.0s 等前:0.0s 等后:91.5s) | ST4 四轮定位上、下(开:70363.5s 加:115.0s 等前:0.0s 等后:0.0s) | ST5 ADAS(开:70478.5s 加:97.0s 等前:0.0s 等后:43.0s) | ST6 ARHUD+慢充(开:70618.5s 加:0.0s 等前:0.0s 等后:114.5s) | ST7 转毂(开:70733.0s 加:116.0s 等前:0.0s 等后:0.0s) | ST8 制动(开:70849.0s 加:108.0s 等前:0.0s 等后:2.5s) | ST9 EG漏液/底盘漏液(开:70959.5s 加:115.0s 等前:0.0s 等后:0.0s) | ST10 全景/空调检查(开:71074.5s 加:98.0s 等前:0.0s 等后:0.0s) | ST11 气囊安装+绝缘(开:71172.5s 加:0.0s 等前:0.0s 等后:0.0s) | ST12 L2++(开:71172.5s 加:0.0s 等前:0.0s 等后:75.5s) | ST13 电检1(开:71248.0s 加:0.0s 等前:0.0s 等后:97.5s) | ST14 电检2(开:71345.5s 加:0.0s 等前:0.0s 等后:50.0s) | ST15 小跑道(开:71395.5s 加:51.0s 等前:0.0s 等后:0.0s)</t>
        </is>
      </c>
    </row>
    <row r="1078">
      <c r="A1078" s="13" t="n">
        <v>1077</v>
      </c>
      <c r="B1078" s="13" t="inlineStr">
        <is>
          <t>Car#1075</t>
        </is>
      </c>
      <c r="C1078" s="13" t="inlineStr">
        <is>
          <t>C</t>
        </is>
      </c>
      <c r="D1078" s="14" t="n">
        <v>69890.5</v>
      </c>
      <c r="E1078" s="14" t="n">
        <v>71496.5</v>
      </c>
      <c r="F1078" s="14" t="n">
        <v>1606</v>
      </c>
      <c r="G1078" s="14" t="n">
        <v>7781</v>
      </c>
      <c r="H1078" s="13" t="inlineStr">
        <is>
          <t>Car#1078</t>
        </is>
      </c>
      <c r="I1078" s="14">
        <f>E1078-E1077</f>
        <v/>
      </c>
      <c r="J1078" s="14">
        <f>I1078-58</f>
        <v/>
      </c>
      <c r="K1078" s="14">
        <f>MAX(0,J1078)</f>
        <v/>
      </c>
      <c r="L1078" s="14">
        <f>MAX(0,-J1078)</f>
        <v/>
      </c>
      <c r="M1078" s="14">
        <f>M1077+I1078</f>
        <v/>
      </c>
      <c r="N1078" s="14">
        <f>D1078+F1078-E1078</f>
        <v/>
      </c>
      <c r="O1078" s="13" t="inlineStr">
        <is>
          <t>能力超目标：四轮定位上、下、ARHUD+慢充</t>
        </is>
      </c>
      <c r="P1078" s="13" t="inlineStr">
        <is>
          <t>ST1 引取(开:69890.5s 加:56.0s 等前:7598.5s 等后:21.0s) | ST2 集约(开:69967.5s 加:111.0s 等前:0.0s 等后:32.5s) | ST3 空气悬挂+快充(开:70111.0s 加:108.5s 等前:0.0s 等后:12.0s) | ST4 四轮定位上、下(开:70231.5s 加:120.5s 等前:0.0s 等后:17.0s) | ST5 ADAS(开:70369.0s 加:107.0s 等前:0.0s 等后:7.5s) | ST6 ARHUD+慢充(开:70483.5s 加:143.5s 等前:0.0s 等后:0.0s) | ST7 转毂(开:70627.0s 加:114.5s 等前:0.0s 等后:0.0s) | ST8 制动(开:70741.5s 加:114.0s 等前:0.0s 等后:0.0s) | ST9 EG漏液/底盘漏液(开:70855.5s 加:112.5s 等前:0.0s 等后:0.0s) | ST10 全景/空调检查(开:70968.0s 加:0.0s 等前:0.0s 等后:0.0s) | ST11 气囊安装+绝缘(开:70968.0s 加:116.0s 等前:0.0s 等后:0.0s) | ST12 L2++(开:71084.0s 加:88.0s 等前:0.0s 等后:0.0s) | ST13 电检1(开:71172.0s 加:84.5s 等前:0.0s 等后:0.0s) | ST14 电检2(开:71256.5s 加:97.5s 等前:0.0s 等后:92.5s) | ST15 小跑道(开:71446.5s 加:50.0s 等前:0.0s 等后:0.0s)</t>
        </is>
      </c>
    </row>
    <row r="1079">
      <c r="A1079" s="15" t="n">
        <v>1078</v>
      </c>
      <c r="B1079" s="15" t="inlineStr">
        <is>
          <t>Car#1080</t>
        </is>
      </c>
      <c r="C1079" s="15" t="inlineStr">
        <is>
          <t>A</t>
        </is>
      </c>
      <c r="D1079" s="16" t="n">
        <v>70231.5</v>
      </c>
      <c r="E1079" s="16" t="n">
        <v>71547.5</v>
      </c>
      <c r="F1079" s="16" t="n">
        <v>1316</v>
      </c>
      <c r="G1079" s="16" t="n">
        <v>8104.5</v>
      </c>
      <c r="H1079" s="15" t="inlineStr">
        <is>
          <t>Car#1075</t>
        </is>
      </c>
      <c r="I1079" s="16">
        <f>E1079-E1078</f>
        <v/>
      </c>
      <c r="J1079" s="16">
        <f>I1079-58</f>
        <v/>
      </c>
      <c r="K1079" s="16">
        <f>MAX(0,J1079)</f>
        <v/>
      </c>
      <c r="L1079" s="16">
        <f>MAX(0,-J1079)</f>
        <v/>
      </c>
      <c r="M1079" s="16">
        <f>M1078+I1079</f>
        <v/>
      </c>
      <c r="N1079" s="16">
        <f>D1079+F1079-E1079</f>
        <v/>
      </c>
      <c r="O1079" s="15" t="inlineStr">
        <is>
          <t>能力满足</t>
        </is>
      </c>
      <c r="P1079" s="15" t="inlineStr">
        <is>
          <t>ST1 引取(开:70231.5s 加:55.0s 等前:7649.5s 等后:0.0s) | ST2 集约(开:70286.5s 加:106.0s 等前:0.0s 等后:0.0s) | ST3 空气悬挂+快充(开:70392.5s 加:0.0s 等前:0.0s 等后:86.0s) | ST4 四轮定位上、下(开:70478.5s 加:115.0s 等前:0.0s 等后:25.0s) | ST5 ADAS(开:70618.5s 加:97.0s 等前:0.0s 等后:17.5s) | ST6 ARHUD+慢充(开:70733.0s 加:0.0s 等前:0.0s 等后:116.0s) | ST7 转毂(开:70849.0s 加:116.0s 等前:0.0s 等后:0.0s) | ST8 制动(开:70965.0s 加:108.0s 等前:0.0s 等后:1.5s) | ST9 EG漏液/底盘漏液(开:71074.5s 加:115.0s 等前:0.0s 等后:0.0s) | ST10 全景/空调检查(开:71189.5s 加:98.0s 等前:0.0s 等后:0.0s) | ST11 气囊安装+绝缘(开:71287.5s 加:0.0s 等前:0.0s 等后:0.0s) | ST12 L2++(开:71287.5s 加:0.0s 等前:0.0s 等后:58.0s) | ST13 电检1(开:71345.5s 加:0.0s 等前:0.0s 等后:50.0s) | ST14 电检2(开:71395.5s 加:0.0s 等前:0.0s 等后:101.0s) | ST15 小跑道(开:71496.5s 加:51.0s 等前:0.0s 等后:0.0s)</t>
        </is>
      </c>
    </row>
    <row r="1080">
      <c r="A1080" s="13" t="n">
        <v>1079</v>
      </c>
      <c r="B1080" s="13" t="inlineStr">
        <is>
          <t>Car#1077</t>
        </is>
      </c>
      <c r="C1080" s="13" t="inlineStr">
        <is>
          <t>C</t>
        </is>
      </c>
      <c r="D1080" s="14" t="n">
        <v>70023.5</v>
      </c>
      <c r="E1080" s="14" t="n">
        <v>71597.5</v>
      </c>
      <c r="F1080" s="14" t="n">
        <v>1574</v>
      </c>
      <c r="G1080" s="14" t="n">
        <v>7766</v>
      </c>
      <c r="H1080" s="13" t="inlineStr">
        <is>
          <t>Car#1080</t>
        </is>
      </c>
      <c r="I1080" s="14">
        <f>E1080-E1079</f>
        <v/>
      </c>
      <c r="J1080" s="14">
        <f>I1080-58</f>
        <v/>
      </c>
      <c r="K1080" s="14">
        <f>MAX(0,J1080)</f>
        <v/>
      </c>
      <c r="L1080" s="14">
        <f>MAX(0,-J1080)</f>
        <v/>
      </c>
      <c r="M1080" s="14">
        <f>M1079+I1080</f>
        <v/>
      </c>
      <c r="N1080" s="14">
        <f>D1080+F1080-E1080</f>
        <v/>
      </c>
      <c r="O1080" s="13" t="inlineStr">
        <is>
          <t>能力超目标：四轮定位上、下、ARHUD+慢充</t>
        </is>
      </c>
      <c r="P1080" s="13" t="inlineStr">
        <is>
          <t>ST1 引取(开:70023.5s 加:56.0s 等前:7615.5s 等后:31.5s) | ST2 集约(开:70111.0s 加:111.0s 等前:0.0s 等后:9.5s) | ST3 空气悬挂+快充(开:70231.5s 加:108.5s 等前:0.0s 等后:29.0s) | ST4 四轮定位上、下(开:70369.0s 加:120.5s 等前:0.0s 等后:0.0s) | ST5 ADAS(开:70489.5s 加:107.0s 等前:0.0s 等后:30.5s) | ST6 ARHUD+慢充(开:70627.0s 加:143.5s 等前:0.0s 等后:0.0s) | ST7 转毂(开:70770.5s 加:114.5s 等前:0.0s 等后:0.0s) | ST8 制动(开:70885.0s 加:114.0s 等前:0.0s 等后:0.0s) | ST9 EG漏液/底盘漏液(开:70999.0s 加:112.5s 等前:0.0s 等后:0.0s) | ST10 全景/空调检查(开:71111.5s 加:0.0s 等前:0.0s 等后:0.0s) | ST11 气囊安装+绝缘(开:71111.5s 加:116.0s 等前:0.0s 等后:0.0s) | ST12 L2++(开:71227.5s 加:88.0s 等前:0.0s 等后:0.0s) | ST13 电检1(开:71315.5s 加:84.5s 等前:0.0s 等后:46.5s) | ST14 电检2(开:71446.5s 加:97.5s 等前:0.0s 等后:3.5s) | ST15 小跑道(开:71547.5s 加:50.0s 等前:0.0s 等后:0.0s)</t>
        </is>
      </c>
    </row>
    <row r="1081">
      <c r="A1081" s="15" t="n">
        <v>1080</v>
      </c>
      <c r="B1081" s="15" t="inlineStr">
        <is>
          <t>Car#1079</t>
        </is>
      </c>
      <c r="C1081" s="15" t="inlineStr">
        <is>
          <t>A</t>
        </is>
      </c>
      <c r="D1081" s="16" t="n">
        <v>70166</v>
      </c>
      <c r="E1081" s="16" t="n">
        <v>71648.5</v>
      </c>
      <c r="F1081" s="16" t="n">
        <v>1482.5</v>
      </c>
      <c r="G1081" s="16" t="n">
        <v>8263.5</v>
      </c>
      <c r="H1081" s="15" t="inlineStr">
        <is>
          <t>Car#1077</t>
        </is>
      </c>
      <c r="I1081" s="16">
        <f>E1081-E1080</f>
        <v/>
      </c>
      <c r="J1081" s="16">
        <f>I1081-58</f>
        <v/>
      </c>
      <c r="K1081" s="16">
        <f>MAX(0,J1081)</f>
        <v/>
      </c>
      <c r="L1081" s="16">
        <f>MAX(0,-J1081)</f>
        <v/>
      </c>
      <c r="M1081" s="16">
        <f>M1080+I1081</f>
        <v/>
      </c>
      <c r="N1081" s="16">
        <f>D1081+F1081-E1081</f>
        <v/>
      </c>
      <c r="O1081" s="15" t="inlineStr">
        <is>
          <t>能力满足</t>
        </is>
      </c>
      <c r="P1081" s="15" t="inlineStr">
        <is>
          <t>ST1 引取(开:70166.0s 加:55.0s 等前:7642.0s 等后:10.5s) | ST2 集约(开:70231.5s 加:106.0s 等前:0.0s 等后:31.5s) | ST3 空气悬挂+快充(开:70369.0s 加:0.0s 等前:0.0s 等后:120.5s) | ST4 四轮定位上、下(开:70489.5s 加:115.0s 等前:0.0s 等后:22.5s) | ST5 ADAS(开:70627.0s 加:97.0s 等前:0.0s 等后:46.5s) | ST6 ARHUD+慢充(开:70770.5s 加:0.0s 等前:0.0s 等后:114.5s) | ST7 转毂(开:70885.0s 加:116.0s 等前:0.0s 等后:0.0s) | ST8 制动(开:71001.0s 加:108.0s 等前:0.0s 等后:2.5s) | ST9 EG漏液/底盘漏液(开:71111.5s 加:115.0s 等前:0.0s 等后:0.0s) | ST10 全景/空调检查(开:71226.5s 加:98.0s 等前:0.0s 等后:0.0s) | ST11 气囊安装+绝缘(开:71324.5s 加:0.0s 等前:0.0s 等后:0.0s) | ST12 L2++(开:71324.5s 加:0.0s 等前:0.0s 等后:122.0s) | ST13 电检1(开:71446.5s 加:0.0s 等前:0.0s 等后:101.0s) | ST14 电检2(开:71547.5s 加:0.0s 等前:0.0s 等后:50.0s) | ST15 小跑道(开:71597.5s 加:51.0s 等前:0.0s 等后:0.0s)</t>
        </is>
      </c>
    </row>
    <row r="1082">
      <c r="A1082" s="13" t="n">
        <v>1081</v>
      </c>
      <c r="B1082" s="13" t="inlineStr">
        <is>
          <t>Car#1081</t>
        </is>
      </c>
      <c r="C1082" s="13" t="inlineStr">
        <is>
          <t>B</t>
        </is>
      </c>
      <c r="D1082" s="14" t="n">
        <v>70286.5</v>
      </c>
      <c r="E1082" s="14" t="n">
        <v>71779.5</v>
      </c>
      <c r="F1082" s="14" t="n">
        <v>1493</v>
      </c>
      <c r="G1082" s="14" t="n">
        <v>7808</v>
      </c>
      <c r="H1082" s="13" t="inlineStr">
        <is>
          <t>Car#1079</t>
        </is>
      </c>
      <c r="I1082" s="14">
        <f>E1082-E1081</f>
        <v/>
      </c>
      <c r="J1082" s="14">
        <f>I1082-58</f>
        <v/>
      </c>
      <c r="K1082" s="14">
        <f>MAX(0,J1082)</f>
        <v/>
      </c>
      <c r="L1082" s="14">
        <f>MAX(0,-J1082)</f>
        <v/>
      </c>
      <c r="M1082" s="14">
        <f>M1081+I1082</f>
        <v/>
      </c>
      <c r="N1082" s="14">
        <f>D1082+F1082-E1082</f>
        <v/>
      </c>
      <c r="O1082" s="13" t="inlineStr">
        <is>
          <t>能力超目标：四轮定位上、下</t>
        </is>
      </c>
      <c r="P1082" s="13" t="inlineStr">
        <is>
          <t>ST1 引取(开:70286.5s 加:56.0s 等前:7646.5s 等后:26.5s) | ST2 集约(开:70369.0s 加:111.0s 等前:0.0s 等后:9.5s) | ST3 空气悬挂+快充(开:70489.5s 加:108.5s 等前:0.0s 等后:29.0s) | ST4 四轮定位上、下(开:70627.0s 加:120.5s 等前:0.0s 等后:23.0s) | ST5 ADAS(开:70770.5s 加:107.0s 等前:0.0s 等后:7.5s) | ST6 ARHUD+慢充(开:70885.0s 加:51.5s 等前:0.0s 等后:64.5s) | ST7 转毂(开:71001.0s 加:114.5s 等前:0.0s 等后:0.0s) | ST8 制动(开:71115.5s 加:114.0s 等前:0.0s 等后:0.0s) | ST9 EG漏液/底盘漏液(开:71229.5s 加:112.5s 等前:0.0s 等后:0.0s) | ST10 全景/空调检查(开:71342.0s 加:0.0s 等前:0.0s 等后:0.0s) | ST11 气囊安装+绝缘(开:71342.0s 加:116.0s 等前:0.0s 等后:0.0s) | ST12 L2++(开:71458.0s 加:88.0s 等前:0.0s 等后:1.5s) | ST13 电检1(开:71547.5s 加:84.5s 等前:0.0s 等后:0.0s) | ST14 电检2(开:71632.0s 加:97.5s 等前:0.0s 等后:0.0s) | ST15 小跑道(开:71729.5s 加:50.0s 等前:0.0s 等后:0.0s)</t>
        </is>
      </c>
    </row>
    <row r="1083">
      <c r="A1083" s="15" t="n">
        <v>1082</v>
      </c>
      <c r="B1083" s="15" t="inlineStr">
        <is>
          <t>Car#1082</t>
        </is>
      </c>
      <c r="C1083" s="15" t="inlineStr">
        <is>
          <t>C</t>
        </is>
      </c>
      <c r="D1083" s="16" t="n">
        <v>70369</v>
      </c>
      <c r="E1083" s="16" t="n">
        <v>71829.5</v>
      </c>
      <c r="F1083" s="16" t="n">
        <v>1460.5</v>
      </c>
      <c r="G1083" s="16" t="n">
        <v>7708</v>
      </c>
      <c r="H1083" s="15" t="inlineStr">
        <is>
          <t>Car#1081</t>
        </is>
      </c>
      <c r="I1083" s="16">
        <f>E1083-E1082</f>
        <v/>
      </c>
      <c r="J1083" s="16">
        <f>I1083-58</f>
        <v/>
      </c>
      <c r="K1083" s="16">
        <f>MAX(0,J1083)</f>
        <v/>
      </c>
      <c r="L1083" s="16">
        <f>MAX(0,-J1083)</f>
        <v/>
      </c>
      <c r="M1083" s="16">
        <f>M1082+I1083</f>
        <v/>
      </c>
      <c r="N1083" s="16">
        <f>D1083+F1083-E1083</f>
        <v/>
      </c>
      <c r="O1083" s="15" t="inlineStr">
        <is>
          <t>能力超目标：四轮定位上、下、ARHUD+慢充</t>
        </is>
      </c>
      <c r="P1083" s="15" t="inlineStr">
        <is>
          <t>ST1 引取(开:70369.0s 加:56.0s 等前:7671.0s 等后:0.0s) | ST2 集约(开:70425.0s 加:111.0s 等前:0.0s 等后:0.0s) | ST3 空气悬挂+快充(开:70536.0s 加:108.5s 等前:0.0s 等后:0.0s) | ST4 四轮定位上、下(开:70644.5s 加:120.5s 等前:0.0s 等后:0.0s) | ST5 ADAS(开:70765.0s 加:107.0s 等前:0.0s 等后:0.0s) | ST6 ARHUD+慢充(开:70872.0s 加:143.5s 等前:0.0s 等后:0.0s) | ST7 转毂(开:71015.5s 加:114.5s 等前:0.0s 等后:0.0s) | ST8 制动(开:71130.0s 加:114.0s 等前:0.0s 等后:0.0s) | ST9 EG漏液/底盘漏液(开:71244.0s 加:112.5s 等前:0.0s 等后:0.0s) | ST10 全景/空调检查(开:71356.5s 加:0.0s 等前:0.0s 等后:0.0s) | ST11 气囊安装+绝缘(开:71356.5s 加:116.0s 等前:0.0s 等后:0.0s) | ST12 L2++(开:71472.5s 加:88.0s 等前:0.0s 等后:0.0s) | ST13 电检1(开:71560.5s 加:84.5s 等前:0.0s 等后:0.0s) | ST14 电检2(开:71645.0s 加:97.5s 等前:0.0s 等后:37.0s) | ST15 小跑道(开:71779.5s 加:50.0s 等前:0.0s 等后:0.0s)</t>
        </is>
      </c>
    </row>
    <row r="1084">
      <c r="A1084" s="13" t="n">
        <v>1083</v>
      </c>
      <c r="B1084" s="13" t="inlineStr">
        <is>
          <t>Car#1083</t>
        </is>
      </c>
      <c r="C1084" s="13" t="inlineStr">
        <is>
          <t>C</t>
        </is>
      </c>
      <c r="D1084" s="14" t="n">
        <v>70425</v>
      </c>
      <c r="E1084" s="14" t="n">
        <v>71921.5</v>
      </c>
      <c r="F1084" s="14" t="n">
        <v>1496.5</v>
      </c>
      <c r="G1084" s="14" t="n">
        <v>7742</v>
      </c>
      <c r="H1084" s="13" t="inlineStr">
        <is>
          <t>Car#1082</t>
        </is>
      </c>
      <c r="I1084" s="14">
        <f>E1084-E1083</f>
        <v/>
      </c>
      <c r="J1084" s="14">
        <f>I1084-58</f>
        <v/>
      </c>
      <c r="K1084" s="14">
        <f>MAX(0,J1084)</f>
        <v/>
      </c>
      <c r="L1084" s="14">
        <f>MAX(0,-J1084)</f>
        <v/>
      </c>
      <c r="M1084" s="14">
        <f>M1083+I1084</f>
        <v/>
      </c>
      <c r="N1084" s="14">
        <f>D1084+F1084-E1084</f>
        <v/>
      </c>
      <c r="O1084" s="13" t="inlineStr">
        <is>
          <t>能力超目标：四轮定位上、下、ARHUD+慢充</t>
        </is>
      </c>
      <c r="P1084" s="13" t="inlineStr">
        <is>
          <t>ST1 引取(开:70425.0s 加:56.0s 等前:7669.0s 等后:8.5s) | ST2 集约(开:70489.5s 加:111.0s 等前:0.0s 等后:26.5s) | ST3 空气悬挂+快充(开:70627.0s 加:108.5s 等前:0.0s 等后:35.0s) | ST4 四轮定位上、下(开:70770.5s 加:120.5s 等前:0.0s 等后:0.0s) | ST5 ADAS(开:70891.0s 加:107.0s 等前:0.0s 等后:3.0s) | ST6 ARHUD+慢充(开:71001.0s 加:143.5s 等前:0.0s 等后:0.0s) | ST7 转毂(开:71144.5s 加:114.5s 等前:0.0s 等后:0.0s) | ST8 制动(开:71259.0s 加:114.0s 等前:0.0s 等后:0.0s) | ST9 EG漏液/底盘漏液(开:71373.0s 加:112.5s 等前:0.0s 等后:0.0s) | ST10 全景/空调检查(开:71485.5s 加:0.0s 等前:0.0s 等后:0.0s) | ST11 气囊安装+绝缘(开:71485.5s 加:116.0s 等前:0.0s 等后:0.0s) | ST12 L2++(开:71601.5s 加:88.0s 等前:0.0s 等后:0.0s) | ST13 电检1(开:71689.5s 加:84.5s 等前:0.0s 等后:0.0s) | ST14 电检2(开:71774.0s 加:97.5s 等前:0.0s 等后:0.0s) | ST15 小跑道(开:71871.5s 加:50.0s 等前:0.0s 等后:0.0s)</t>
        </is>
      </c>
    </row>
    <row r="1085">
      <c r="A1085" s="15" t="n">
        <v>1084</v>
      </c>
      <c r="B1085" s="15" t="inlineStr">
        <is>
          <t>Car#1084</t>
        </is>
      </c>
      <c r="C1085" s="15" t="inlineStr">
        <is>
          <t>C</t>
        </is>
      </c>
      <c r="D1085" s="16" t="n">
        <v>70489.5</v>
      </c>
      <c r="E1085" s="16" t="n">
        <v>71971.5</v>
      </c>
      <c r="F1085" s="16" t="n">
        <v>1482</v>
      </c>
      <c r="G1085" s="16" t="n">
        <v>7734</v>
      </c>
      <c r="H1085" s="15" t="inlineStr">
        <is>
          <t>Car#1083</t>
        </is>
      </c>
      <c r="I1085" s="16">
        <f>E1085-E1084</f>
        <v/>
      </c>
      <c r="J1085" s="16">
        <f>I1085-58</f>
        <v/>
      </c>
      <c r="K1085" s="16">
        <f>MAX(0,J1085)</f>
        <v/>
      </c>
      <c r="L1085" s="16">
        <f>MAX(0,-J1085)</f>
        <v/>
      </c>
      <c r="M1085" s="16">
        <f>M1084+I1085</f>
        <v/>
      </c>
      <c r="N1085" s="16">
        <f>D1085+F1085-E1085</f>
        <v/>
      </c>
      <c r="O1085" s="15" t="inlineStr">
        <is>
          <t>能力超目标：四轮定位上、下、ARHUD+慢充</t>
        </is>
      </c>
      <c r="P1085" s="15" t="inlineStr">
        <is>
          <t>ST1 引取(开:70489.5s 加:56.0s 等前:7675.5s 等后:0.0s) | ST2 集约(开:70545.5s 加:111.0s 等前:0.0s 等后:0.0s) | ST3 空气悬挂+快充(开:70656.5s 加:108.5s 等前:0.0s 等后:0.0s) | ST4 四轮定位上、下(开:70765.0s 加:120.5s 等前:0.0s 等后:0.0s) | ST5 ADAS(开:70885.5s 加:107.0s 等前:0.0s 等后:23.0s) | ST6 ARHUD+慢充(开:71015.5s 加:143.5s 等前:0.0s 等后:0.0s) | ST7 转毂(开:71159.0s 加:114.5s 等前:0.0s 等后:0.0s) | ST8 制动(开:71273.5s 加:114.0s 等前:0.0s 等后:0.0s) | ST9 EG漏液/底盘漏液(开:71387.5s 加:112.5s 等前:0.0s 等后:0.0s) | ST10 全景/空调检查(开:71500.0s 加:0.0s 等前:0.0s 等后:0.0s) | ST11 气囊安装+绝缘(开:71500.0s 加:116.0s 等前:0.0s 等后:0.0s) | ST12 L2++(开:71616.0s 加:88.0s 等前:0.0s 等后:0.0s) | ST13 电检1(开:71704.0s 加:84.5s 等前:0.0s 等后:0.0s) | ST14 电检2(开:71788.5s 加:97.5s 等前:0.0s 等后:35.5s) | ST15 小跑道(开:71921.5s 加:50.0s 等前:0.0s 等后:0.0s)</t>
        </is>
      </c>
    </row>
    <row r="1086">
      <c r="A1086" s="13" t="n">
        <v>1085</v>
      </c>
      <c r="B1086" s="13" t="inlineStr">
        <is>
          <t>Car#1085</t>
        </is>
      </c>
      <c r="C1086" s="13" t="inlineStr">
        <is>
          <t>B</t>
        </is>
      </c>
      <c r="D1086" s="14" t="n">
        <v>70545.5</v>
      </c>
      <c r="E1086" s="14" t="n">
        <v>72037.5</v>
      </c>
      <c r="F1086" s="14" t="n">
        <v>1492</v>
      </c>
      <c r="G1086" s="14" t="n">
        <v>7834</v>
      </c>
      <c r="H1086" s="13" t="inlineStr">
        <is>
          <t>Car#1084</t>
        </is>
      </c>
      <c r="I1086" s="14">
        <f>E1086-E1085</f>
        <v/>
      </c>
      <c r="J1086" s="14">
        <f>I1086-58</f>
        <v/>
      </c>
      <c r="K1086" s="14">
        <f>MAX(0,J1086)</f>
        <v/>
      </c>
      <c r="L1086" s="14">
        <f>MAX(0,-J1086)</f>
        <v/>
      </c>
      <c r="M1086" s="14">
        <f>M1085+I1086</f>
        <v/>
      </c>
      <c r="N1086" s="14">
        <f>D1086+F1086-E1086</f>
        <v/>
      </c>
      <c r="O1086" s="13" t="inlineStr">
        <is>
          <t>能力超目标：四轮定位上、下</t>
        </is>
      </c>
      <c r="P1086" s="13" t="inlineStr">
        <is>
          <t>ST1 引取(开:70545.5s 加:56.0s 等前:7673.5s 等后:25.5s) | ST2 集约(开:70627.0s 加:111.0s 等前:0.0s 等后:32.5s) | ST3 空气悬挂+快充(开:70770.5s 加:108.5s 等前:0.0s 等后:12.0s) | ST4 四轮定位上、下(开:70891.0s 加:120.5s 等前:0.0s 等后:0.0s) | ST5 ADAS(开:71011.5s 加:107.0s 等前:0.0s 等后:26.0s) | ST6 ARHUD+慢充(开:71144.5s 加:51.5s 等前:0.0s 等后:63.0s) | ST7 转毂(开:71259.0s 加:114.5s 等前:0.0s 等后:0.0s) | ST8 制动(开:71373.5s 加:114.0s 等前:0.0s 等后:0.0s) | ST9 EG漏液/底盘漏液(开:71487.5s 加:112.5s 等前:0.0s 等后:0.0s) | ST10 全景/空调检查(开:71600.0s 加:0.0s 等前:0.0s 等后:1.5s) | ST11 气囊安装+绝缘(开:71601.5s 加:116.0s 等前:0.0s 等后:0.0s) | ST12 L2++(开:71717.5s 加:88.0s 等前:0.0s 等后:0.0s) | ST13 电检1(开:71805.5s 加:84.5s 等前:0.0s 等后:0.0s) | ST14 电检2(开:71890.0s 加:97.5s 等前:0.0s 等后:0.0s) | ST15 小跑道(开:71987.5s 加:50.0s 等前:0.0s 等后:0.0s)</t>
        </is>
      </c>
    </row>
    <row r="1087">
      <c r="A1087" s="15" t="n">
        <v>1086</v>
      </c>
      <c r="B1087" s="15" t="inlineStr">
        <is>
          <t>Car#1086</t>
        </is>
      </c>
      <c r="C1087" s="15" t="inlineStr">
        <is>
          <t>B</t>
        </is>
      </c>
      <c r="D1087" s="16" t="n">
        <v>70627</v>
      </c>
      <c r="E1087" s="16" t="n">
        <v>72087.5</v>
      </c>
      <c r="F1087" s="16" t="n">
        <v>1460.5</v>
      </c>
      <c r="G1087" s="16" t="n">
        <v>7826</v>
      </c>
      <c r="H1087" s="15" t="inlineStr">
        <is>
          <t>Car#1085</t>
        </is>
      </c>
      <c r="I1087" s="16">
        <f>E1087-E1086</f>
        <v/>
      </c>
      <c r="J1087" s="16">
        <f>I1087-58</f>
        <v/>
      </c>
      <c r="K1087" s="16">
        <f>MAX(0,J1087)</f>
        <v/>
      </c>
      <c r="L1087" s="16">
        <f>MAX(0,-J1087)</f>
        <v/>
      </c>
      <c r="M1087" s="16">
        <f>M1086+I1087</f>
        <v/>
      </c>
      <c r="N1087" s="16">
        <f>D1087+F1087-E1087</f>
        <v/>
      </c>
      <c r="O1087" s="15" t="inlineStr">
        <is>
          <t>能力超目标：四轮定位上、下</t>
        </is>
      </c>
      <c r="P1087" s="15" t="inlineStr">
        <is>
          <t>ST1 引取(开:70627.0s 加:56.0s 等前:7697.0s 等后:0.0s) | ST2 集约(开:70683.0s 加:111.0s 等前:0.0s 等后:0.0s) | ST3 空气悬挂+快充(开:70794.0s 加:108.5s 等前:0.0s 等后:0.0s) | ST4 四轮定位上、下(开:70902.5s 加:120.5s 等前:0.0s 等后:0.0s) | ST5 ADAS(开:71023.0s 加:107.0s 等前:0.0s 等后:29.0s) | ST6 ARHUD+慢充(开:71159.0s 加:51.5s 等前:0.0s 等后:63.0s) | ST7 转毂(开:71273.5s 加:114.5s 等前:0.0s 等后:0.0s) | ST8 制动(开:71388.0s 加:114.0s 等前:0.0s 等后:0.0s) | ST9 EG漏液/底盘漏液(开:71502.0s 加:112.5s 等前:0.0s 等后:0.0s) | ST10 全景/空调检查(开:71614.5s 加:0.0s 等前:0.0s 等后:1.5s) | ST11 气囊安装+绝缘(开:71616.0s 加:116.0s 等前:0.0s 等后:0.0s) | ST12 L2++(开:71732.0s 加:88.0s 等前:0.0s 等后:0.0s) | ST13 电检1(开:71820.0s 加:84.5s 等前:0.0s 等后:17.0s) | ST14 电检2(开:71921.5s 加:97.5s 等前:0.0s 等后:18.5s) | ST15 小跑道(开:72037.5s 加:50.0s 等前:0.0s 等后:0.0s)</t>
        </is>
      </c>
    </row>
    <row r="1088">
      <c r="A1088" s="13" t="n">
        <v>1087</v>
      </c>
      <c r="B1088" s="13" t="inlineStr">
        <is>
          <t>Car#1087</t>
        </is>
      </c>
      <c r="C1088" s="13" t="inlineStr">
        <is>
          <t>B</t>
        </is>
      </c>
      <c r="D1088" s="14" t="n">
        <v>70683</v>
      </c>
      <c r="E1088" s="14" t="n">
        <v>72153.5</v>
      </c>
      <c r="F1088" s="14" t="n">
        <v>1470.5</v>
      </c>
      <c r="G1088" s="14" t="n">
        <v>7834</v>
      </c>
      <c r="H1088" s="13" t="inlineStr">
        <is>
          <t>Car#1086</t>
        </is>
      </c>
      <c r="I1088" s="14">
        <f>E1088-E1087</f>
        <v/>
      </c>
      <c r="J1088" s="14">
        <f>I1088-58</f>
        <v/>
      </c>
      <c r="K1088" s="14">
        <f>MAX(0,J1088)</f>
        <v/>
      </c>
      <c r="L1088" s="14">
        <f>MAX(0,-J1088)</f>
        <v/>
      </c>
      <c r="M1088" s="14">
        <f>M1087+I1088</f>
        <v/>
      </c>
      <c r="N1088" s="14">
        <f>D1088+F1088-E1088</f>
        <v/>
      </c>
      <c r="O1088" s="13" t="inlineStr">
        <is>
          <t>能力超目标：四轮定位上、下</t>
        </is>
      </c>
      <c r="P1088" s="13" t="inlineStr">
        <is>
          <t>ST1 引取(开:70683.0s 加:56.0s 等前:7695.0s 等后:31.5s) | ST2 集约(开:70770.5s 加:111.0s 等前:0.0s 等后:9.5s) | ST3 空气悬挂+快充(开:70891.0s 加:108.5s 等前:0.0s 等后:12.0s) | ST4 四轮定位上、下(开:71011.5s 加:120.5s 等前:0.0s 等后:12.5s) | ST5 ADAS(开:71144.5s 加:107.0s 等前:0.0s 等后:7.5s) | ST6 ARHUD+慢充(开:71259.0s 加:51.5s 等前:0.0s 等后:63.0s) | ST7 转毂(开:71373.5s 加:114.5s 等前:0.0s 等后:0.0s) | ST8 制动(开:71488.0s 加:114.0s 等前:0.0s 等后:0.0s) | ST9 EG漏液/底盘漏液(开:71602.0s 加:112.5s 等前:0.0s 等后:0.0s) | ST10 全景/空调检查(开:71714.5s 加:0.0s 等前:0.0s 等后:3.0s) | ST11 气囊安装+绝缘(开:71717.5s 加:116.0s 等前:0.0s 等后:0.0s) | ST12 L2++(开:71833.5s 加:88.0s 等前:0.0s 等后:0.0s) | ST13 电检1(开:71921.5s 加:84.5s 等前:0.0s 等后:0.0s) | ST14 电检2(开:72006.0s 加:97.5s 等前:0.0s 等后:0.0s) | ST15 小跑道(开:72103.5s 加:50.0s 等前:0.0s 等后:0.0s)</t>
        </is>
      </c>
    </row>
    <row r="1089">
      <c r="A1089" s="15" t="n">
        <v>1088</v>
      </c>
      <c r="B1089" s="15" t="inlineStr">
        <is>
          <t>Car#1088</t>
        </is>
      </c>
      <c r="C1089" s="15" t="inlineStr">
        <is>
          <t>C</t>
        </is>
      </c>
      <c r="D1089" s="16" t="n">
        <v>70770.5</v>
      </c>
      <c r="E1089" s="16" t="n">
        <v>72203.5</v>
      </c>
      <c r="F1089" s="16" t="n">
        <v>1433</v>
      </c>
      <c r="G1089" s="16" t="n">
        <v>7734</v>
      </c>
      <c r="H1089" s="15" t="inlineStr">
        <is>
          <t>Car#1087</t>
        </is>
      </c>
      <c r="I1089" s="16">
        <f>E1089-E1088</f>
        <v/>
      </c>
      <c r="J1089" s="16">
        <f>I1089-58</f>
        <v/>
      </c>
      <c r="K1089" s="16">
        <f>MAX(0,J1089)</f>
        <v/>
      </c>
      <c r="L1089" s="16">
        <f>MAX(0,-J1089)</f>
        <v/>
      </c>
      <c r="M1089" s="16">
        <f>M1088+I1089</f>
        <v/>
      </c>
      <c r="N1089" s="16">
        <f>D1089+F1089-E1089</f>
        <v/>
      </c>
      <c r="O1089" s="15" t="inlineStr">
        <is>
          <t>能力超目标：四轮定位上、下、ARHUD+慢充</t>
        </is>
      </c>
      <c r="P1089" s="15" t="inlineStr">
        <is>
          <t>ST1 引取(开:70770.5s 加:56.0s 等前:7724.5s 等后:0.0s) | ST2 集约(开:70826.5s 加:111.0s 等前:0.0s 等后:0.0s) | ST3 空气悬挂+快充(开:70937.5s 加:108.5s 等前:0.0s 等后:0.0s) | ST4 四轮定位上、下(开:71046.0s 加:120.5s 等前:0.0s 等后:0.0s) | ST5 ADAS(开:71166.5s 加:107.0s 等前:0.0s 等后:0.0s) | ST6 ARHUD+慢充(开:71273.5s 加:143.5s 等前:0.0s 等后:0.0s) | ST7 转毂(开:71417.0s 加:114.5s 等前:0.0s 等后:0.0s) | ST8 制动(开:71531.5s 加:114.0s 等前:0.0s 等后:0.0s) | ST9 EG漏液/底盘漏液(开:71645.5s 加:112.5s 等前:0.0s 等后:0.0s) | ST10 全景/空调检查(开:71758.0s 加:0.0s 等前:0.0s 等后:0.0s) | ST11 气囊安装+绝缘(开:71758.0s 加:116.0s 等前:0.0s 等后:0.0s) | ST12 L2++(开:71874.0s 加:88.0s 等前:0.0s 等后:0.0s) | ST13 电检1(开:71962.0s 加:84.5s 等前:0.0s 等后:0.0s) | ST14 电检2(开:72046.5s 加:97.5s 等前:0.0s 等后:9.5s) | ST15 小跑道(开:72153.5s 加:50.0s 等前:0.0s 等后:0.0s)</t>
        </is>
      </c>
    </row>
    <row r="1090">
      <c r="A1090" s="13" t="n">
        <v>1089</v>
      </c>
      <c r="B1090" s="13" t="inlineStr">
        <is>
          <t>Car#1090</t>
        </is>
      </c>
      <c r="C1090" s="13" t="inlineStr">
        <is>
          <t>A</t>
        </is>
      </c>
      <c r="D1090" s="14" t="n">
        <v>70891</v>
      </c>
      <c r="E1090" s="14" t="n">
        <v>72254.5</v>
      </c>
      <c r="F1090" s="14" t="n">
        <v>1363.5</v>
      </c>
      <c r="G1090" s="14" t="n">
        <v>8231.5</v>
      </c>
      <c r="H1090" s="13" t="inlineStr">
        <is>
          <t>Car#1088</t>
        </is>
      </c>
      <c r="I1090" s="14">
        <f>E1090-E1089</f>
        <v/>
      </c>
      <c r="J1090" s="14">
        <f>I1090-58</f>
        <v/>
      </c>
      <c r="K1090" s="14">
        <f>MAX(0,J1090)</f>
        <v/>
      </c>
      <c r="L1090" s="14">
        <f>MAX(0,-J1090)</f>
        <v/>
      </c>
      <c r="M1090" s="14">
        <f>M1089+I1090</f>
        <v/>
      </c>
      <c r="N1090" s="14">
        <f>D1090+F1090-E1090</f>
        <v/>
      </c>
      <c r="O1090" s="13" t="inlineStr">
        <is>
          <t>能力满足</t>
        </is>
      </c>
      <c r="P1090" s="13" t="inlineStr">
        <is>
          <t>ST1 引取(开:70891.0s 加:55.0s 等前:7729.0s 等后:0.0s) | ST2 集约(开:70946.0s 加:106.0s 等前:0.0s 等后:0.0s) | ST3 空气悬挂+快充(开:71052.0s 加:0.0s 等前:0.0s 等后:114.5s) | ST4 四轮定位上、下(开:71166.5s 加:115.0s 等前:0.0s 等后:0.0s) | ST5 ADAS(开:71281.5s 加:97.0s 等前:0.0s 等后:38.5s) | ST6 ARHUD+慢充(开:71417.0s 加:0.0s 等前:0.0s 等后:114.5s) | ST7 转毂(开:71531.5s 加:116.0s 等前:0.0s 等后:0.0s) | ST8 制动(开:71647.5s 加:108.0s 等前:0.0s 等后:2.5s) | ST9 EG漏液/底盘漏液(开:71758.0s 加:115.0s 等前:0.0s 等后:0.0s) | ST10 全景/空调检查(开:71873.0s 加:98.0s 等前:0.0s 等后:0.0s) | ST11 气囊安装+绝缘(开:71971.0s 加:0.0s 等前:0.0s 等后:0.0s) | ST12 L2++(开:71971.0s 加:0.0s 等前:0.0s 等后:75.5s) | ST13 电检1(开:72046.5s 加:0.0s 等前:0.0s 等后:107.0s) | ST14 电检2(开:72153.5s 加:0.0s 等前:0.0s 等后:50.0s) | ST15 小跑道(开:72203.5s 加:51.0s 等前:0.0s 等后:0.0s)</t>
        </is>
      </c>
    </row>
    <row r="1091">
      <c r="A1091" s="15" t="n">
        <v>1090</v>
      </c>
      <c r="B1091" s="15" t="inlineStr">
        <is>
          <t>Car#1089</t>
        </is>
      </c>
      <c r="C1091" s="15" t="inlineStr">
        <is>
          <t>C</t>
        </is>
      </c>
      <c r="D1091" s="16" t="n">
        <v>70826.5</v>
      </c>
      <c r="E1091" s="16" t="n">
        <v>72304.5</v>
      </c>
      <c r="F1091" s="16" t="n">
        <v>1478</v>
      </c>
      <c r="G1091" s="16" t="n">
        <v>7777</v>
      </c>
      <c r="H1091" s="15" t="inlineStr">
        <is>
          <t>Car#1090</t>
        </is>
      </c>
      <c r="I1091" s="16">
        <f>E1091-E1090</f>
        <v/>
      </c>
      <c r="J1091" s="16">
        <f>I1091-58</f>
        <v/>
      </c>
      <c r="K1091" s="16">
        <f>MAX(0,J1091)</f>
        <v/>
      </c>
      <c r="L1091" s="16">
        <f>MAX(0,-J1091)</f>
        <v/>
      </c>
      <c r="M1091" s="16">
        <f>M1090+I1091</f>
        <v/>
      </c>
      <c r="N1091" s="16">
        <f>D1091+F1091-E1091</f>
        <v/>
      </c>
      <c r="O1091" s="15" t="inlineStr">
        <is>
          <t>能力超目标：四轮定位上、下、ARHUD+慢充</t>
        </is>
      </c>
      <c r="P1091" s="15" t="inlineStr">
        <is>
          <t>ST1 引取(开:70826.5s 加:56.0s 等前:7722.5s 等后:8.5s) | ST2 集约(开:70891.0s 加:111.0s 等前:0.0s 等后:9.5s) | ST3 空气悬挂+快充(开:71011.5s 加:108.5s 等前:0.0s 等后:24.5s) | ST4 四轮定位上、下(开:71144.5s 加:120.5s 等前:0.0s 等后:0.0s) | ST5 ADAS(开:71265.0s 加:107.0s 等前:0.0s 等后:1.5s) | ST6 ARHUD+慢充(开:71373.5s 加:143.5s 等前:0.0s 等后:0.0s) | ST7 转毂(开:71517.0s 加:114.5s 等前:0.0s 等后:0.0s) | ST8 制动(开:71631.5s 加:114.0s 等前:0.0s 等后:0.0s) | ST9 EG漏液/底盘漏液(开:71745.5s 加:112.5s 等前:0.0s 等后:0.0s) | ST10 全景/空调检查(开:71858.0s 加:0.0s 等前:0.0s 等后:0.0s) | ST11 气囊安装+绝缘(开:71858.0s 加:116.0s 等前:0.0s 等后:0.0s) | ST12 L2++(开:71974.0s 加:88.0s 等前:0.0s 等后:0.0s) | ST13 电检1(开:72062.0s 加:84.5s 等前:0.0s 等后:0.0s) | ST14 电检2(开:72146.5s 加:97.5s 等前:0.0s 等后:10.5s) | ST15 小跑道(开:72254.5s 加:50.0s 等前:0.0s 等后:0.0s)</t>
        </is>
      </c>
    </row>
    <row r="1092">
      <c r="A1092" s="13" t="n">
        <v>1091</v>
      </c>
      <c r="B1092" s="13" t="inlineStr">
        <is>
          <t>Car#1091</t>
        </is>
      </c>
      <c r="C1092" s="13" t="inlineStr">
        <is>
          <t>A</t>
        </is>
      </c>
      <c r="D1092" s="14" t="n">
        <v>70946</v>
      </c>
      <c r="E1092" s="14" t="n">
        <v>72355.5</v>
      </c>
      <c r="F1092" s="14" t="n">
        <v>1409.5</v>
      </c>
      <c r="G1092" s="14" t="n">
        <v>8274.5</v>
      </c>
      <c r="H1092" s="13" t="inlineStr">
        <is>
          <t>Car#1089</t>
        </is>
      </c>
      <c r="I1092" s="14">
        <f>E1092-E1091</f>
        <v/>
      </c>
      <c r="J1092" s="14">
        <f>I1092-58</f>
        <v/>
      </c>
      <c r="K1092" s="14">
        <f>MAX(0,J1092)</f>
        <v/>
      </c>
      <c r="L1092" s="14">
        <f>MAX(0,-J1092)</f>
        <v/>
      </c>
      <c r="M1092" s="14">
        <f>M1091+I1092</f>
        <v/>
      </c>
      <c r="N1092" s="14">
        <f>D1092+F1092-E1092</f>
        <v/>
      </c>
      <c r="O1092" s="13" t="inlineStr">
        <is>
          <t>能力满足</t>
        </is>
      </c>
      <c r="P1092" s="13" t="inlineStr">
        <is>
          <t>ST1 引取(开:70946.0s 加:55.0s 等前:7726.0s 等后:10.5s) | ST2 集约(开:71011.5s 加:106.0s 等前:0.0s 等后:27.0s) | ST3 空气悬挂+快充(开:71144.5s 加:0.0s 等前:0.0s 等后:120.5s) | ST4 四轮定位上、下(开:71265.0s 加:115.0s 等前:0.0s 等后:0.0s) | ST5 ADAS(开:71380.0s 加:97.0s 等前:0.0s 等后:40.0s) | ST6 ARHUD+慢充(开:71517.0s 加:0.0s 等前:0.0s 等后:114.5s) | ST7 转毂(开:71631.5s 加:116.0s 等前:0.0s 等后:0.0s) | ST8 制动(开:71747.5s 加:108.0s 等前:0.0s 等后:2.5s) | ST9 EG漏液/底盘漏液(开:71858.0s 加:115.0s 等前:0.0s 等后:0.0s) | ST10 全景/空调检查(开:71973.0s 加:98.0s 等前:0.0s 等后:0.0s) | ST11 气囊安装+绝缘(开:72071.0s 加:0.0s 等前:0.0s 等后:0.0s) | ST12 L2++(开:72071.0s 加:0.0s 等前:0.0s 等后:75.5s) | ST13 电检1(开:72146.5s 加:0.0s 等前:0.0s 等后:108.0s) | ST14 电检2(开:72254.5s 加:0.0s 等前:0.0s 等后:50.0s) | ST15 小跑道(开:72304.5s 加:51.0s 等前:0.0s 等后:0.0s)</t>
        </is>
      </c>
    </row>
    <row r="1093">
      <c r="A1093" s="15" t="n">
        <v>1092</v>
      </c>
      <c r="B1093" s="15" t="inlineStr">
        <is>
          <t>Car#1092</t>
        </is>
      </c>
      <c r="C1093" s="15" t="inlineStr">
        <is>
          <t>C</t>
        </is>
      </c>
      <c r="D1093" s="16" t="n">
        <v>71011.5</v>
      </c>
      <c r="E1093" s="16" t="n">
        <v>72452</v>
      </c>
      <c r="F1093" s="16" t="n">
        <v>1440.5</v>
      </c>
      <c r="G1093" s="16" t="n">
        <v>7750.5</v>
      </c>
      <c r="H1093" s="15" t="inlineStr">
        <is>
          <t>Car#1091</t>
        </is>
      </c>
      <c r="I1093" s="16">
        <f>E1093-E1092</f>
        <v/>
      </c>
      <c r="J1093" s="16">
        <f>I1093-58</f>
        <v/>
      </c>
      <c r="K1093" s="16">
        <f>MAX(0,J1093)</f>
        <v/>
      </c>
      <c r="L1093" s="16">
        <f>MAX(0,-J1093)</f>
        <v/>
      </c>
      <c r="M1093" s="16">
        <f>M1092+I1093</f>
        <v/>
      </c>
      <c r="N1093" s="16">
        <f>D1093+F1093-E1093</f>
        <v/>
      </c>
      <c r="O1093" s="15" t="inlineStr">
        <is>
          <t>能力超目标：四轮定位上、下、ARHUD+慢充</t>
        </is>
      </c>
      <c r="P1093" s="15" t="inlineStr">
        <is>
          <t>ST1 引取(开:71011.5s 加:56.0s 等前:7733.5s 等后:0.0s) | ST2 集约(开:71067.5s 加:111.0s 等前:0.0s 等后:0.0s) | ST3 空气悬挂+快充(开:71178.5s 加:108.5s 等前:0.0s 等后:0.0s) | ST4 四轮定位上、下(开:71287.0s 加:120.5s 等前:0.0s 等后:9.5s) | ST5 ADAS(开:71417.0s 加:107.0s 等前:0.0s 等后:7.5s) | ST6 ARHUD+慢充(开:71531.5s 加:143.5s 等前:0.0s 等后:0.0s) | ST7 转毂(开:71675.0s 加:114.5s 等前:0.0s 等后:0.0s) | ST8 制动(开:71789.5s 加:114.0s 等前:0.0s 等后:0.0s) | ST9 EG漏液/底盘漏液(开:71903.5s 加:112.5s 等前:0.0s 等后:0.0s) | ST10 全景/空调检查(开:72016.0s 加:0.0s 等前:0.0s 等后:0.0s) | ST11 气囊安装+绝缘(开:72016.0s 加:116.0s 等前:0.0s 等后:0.0s) | ST12 L2++(开:72132.0s 加:88.0s 等前:0.0s 等后:0.0s) | ST13 电检1(开:72220.0s 加:84.5s 等前:0.0s 等后:0.0s) | ST14 电检2(开:72304.5s 加:97.5s 等前:0.0s 等后:0.0s) | ST15 小跑道(开:72402.0s 加:50.0s 等前:0.0s 等后:0.0s)</t>
        </is>
      </c>
    </row>
    <row r="1094">
      <c r="A1094" s="13" t="n">
        <v>1093</v>
      </c>
      <c r="B1094" s="13" t="inlineStr">
        <is>
          <t>Car#1093</t>
        </is>
      </c>
      <c r="C1094" s="13" t="inlineStr">
        <is>
          <t>C</t>
        </is>
      </c>
      <c r="D1094" s="14" t="n">
        <v>71067.5</v>
      </c>
      <c r="E1094" s="14" t="n">
        <v>72552</v>
      </c>
      <c r="F1094" s="14" t="n">
        <v>1484.5</v>
      </c>
      <c r="G1094" s="14" t="n">
        <v>7792.5</v>
      </c>
      <c r="H1094" s="13" t="inlineStr">
        <is>
          <t>Car#1092</t>
        </is>
      </c>
      <c r="I1094" s="14">
        <f>E1094-E1093</f>
        <v/>
      </c>
      <c r="J1094" s="14">
        <f>I1094-58</f>
        <v/>
      </c>
      <c r="K1094" s="14">
        <f>MAX(0,J1094)</f>
        <v/>
      </c>
      <c r="L1094" s="14">
        <f>MAX(0,-J1094)</f>
        <v/>
      </c>
      <c r="M1094" s="14">
        <f>M1093+I1094</f>
        <v/>
      </c>
      <c r="N1094" s="14">
        <f>D1094+F1094-E1094</f>
        <v/>
      </c>
      <c r="O1094" s="13" t="inlineStr">
        <is>
          <t>能力超目标：四轮定位上、下、ARHUD+慢充</t>
        </is>
      </c>
      <c r="P1094" s="13" t="inlineStr">
        <is>
          <t>ST1 引取(开:71067.5s 加:56.0s 等前:7731.5s 等后:21.0s) | ST2 集约(开:71144.5s 加:111.0s 等前:0.0s 等后:9.5s) | ST3 空气悬挂+快充(开:71265.0s 加:108.5s 等前:0.0s 等后:6.5s) | ST4 四轮定位上、下(开:71380.0s 加:120.5s 等前:0.0s 等后:16.5s) | ST5 ADAS(开:71517.0s 加:107.0s 等前:0.0s 等后:7.5s) | ST6 ARHUD+慢充(开:71631.5s 加:143.5s 等前:0.0s 等后:0.0s) | ST7 转毂(开:71775.0s 加:114.5s 等前:0.0s 等后:0.0s) | ST8 制动(开:71889.5s 加:114.0s 等前:0.0s 等后:0.0s) | ST9 EG漏液/底盘漏液(开:72003.5s 加:112.5s 等前:0.0s 等后:0.0s) | ST10 全景/空调检查(开:72116.0s 加:0.0s 等前:0.0s 等后:0.0s) | ST11 气囊安装+绝缘(开:72116.0s 加:116.0s 等前:0.0s 等后:0.0s) | ST12 L2++(开:72232.0s 加:88.0s 等前:0.0s 等后:0.0s) | ST13 电检1(开:72320.0s 加:84.5s 等前:0.0s 等后:0.0s) | ST14 电检2(开:72404.5s 加:97.5s 等前:0.0s 等后:0.0s) | ST15 小跑道(开:72502.0s 加:50.0s 等前:0.0s 等后:0.0s)</t>
        </is>
      </c>
    </row>
    <row r="1095">
      <c r="A1095" s="15" t="n">
        <v>1094</v>
      </c>
      <c r="B1095" s="15" t="inlineStr">
        <is>
          <t>Car#1094</t>
        </is>
      </c>
      <c r="C1095" s="15" t="inlineStr">
        <is>
          <t>C</t>
        </is>
      </c>
      <c r="D1095" s="16" t="n">
        <v>71144.5</v>
      </c>
      <c r="E1095" s="16" t="n">
        <v>72602</v>
      </c>
      <c r="F1095" s="16" t="n">
        <v>1457.5</v>
      </c>
      <c r="G1095" s="16" t="n">
        <v>7784.5</v>
      </c>
      <c r="H1095" s="15" t="inlineStr">
        <is>
          <t>Car#1093</t>
        </is>
      </c>
      <c r="I1095" s="16">
        <f>E1095-E1094</f>
        <v/>
      </c>
      <c r="J1095" s="16">
        <f>I1095-58</f>
        <v/>
      </c>
      <c r="K1095" s="16">
        <f>MAX(0,J1095)</f>
        <v/>
      </c>
      <c r="L1095" s="16">
        <f>MAX(0,-J1095)</f>
        <v/>
      </c>
      <c r="M1095" s="16">
        <f>M1094+I1095</f>
        <v/>
      </c>
      <c r="N1095" s="16">
        <f>D1095+F1095-E1095</f>
        <v/>
      </c>
      <c r="O1095" s="15" t="inlineStr">
        <is>
          <t>能力超目标：四轮定位上、下、ARHUD+慢充</t>
        </is>
      </c>
      <c r="P1095" s="15" t="inlineStr">
        <is>
          <t>ST1 引取(开:71144.5s 加:56.0s 等前:7750.5s 等后:0.0s) | ST2 集约(开:71200.5s 加:111.0s 等前:0.0s 等后:0.0s) | ST3 空气悬挂+快充(开:71311.5s 加:108.5s 等前:0.0s 等后:0.0s) | ST4 四轮定位上、下(开:71420.0s 加:120.5s 等前:0.0s 等后:0.0s) | ST5 ADAS(开:71540.5s 加:107.0s 等前:0.0s 等后:27.5s) | ST6 ARHUD+慢充(开:71675.0s 加:143.5s 等前:0.0s 等后:0.0s) | ST7 转毂(开:71818.5s 加:114.5s 等前:0.0s 等后:0.0s) | ST8 制动(开:71933.0s 加:114.0s 等前:0.0s 等后:0.0s) | ST9 EG漏液/底盘漏液(开:72047.0s 加:112.5s 等前:0.0s 等后:0.0s) | ST10 全景/空调检查(开:72159.5s 加:0.0s 等前:0.0s 等后:0.0s) | ST11 气囊安装+绝缘(开:72159.5s 加:116.0s 等前:0.0s 等后:0.0s) | ST12 L2++(开:72275.5s 加:88.0s 等前:0.0s 等后:0.0s) | ST13 电检1(开:72363.5s 加:84.5s 等前:0.0s 等后:0.0s) | ST14 电检2(开:72448.0s 加:97.5s 等前:0.0s 等后:6.5s) | ST15 小跑道(开:72552.0s 加:50.0s 等前:0.0s 等后:0.0s)</t>
        </is>
      </c>
    </row>
    <row r="1096">
      <c r="A1096" s="13" t="n">
        <v>1095</v>
      </c>
      <c r="B1096" s="13" t="inlineStr">
        <is>
          <t>Car#1095</t>
        </is>
      </c>
      <c r="C1096" s="13" t="inlineStr">
        <is>
          <t>C</t>
        </is>
      </c>
      <c r="D1096" s="14" t="n">
        <v>71200.5</v>
      </c>
      <c r="E1096" s="14" t="n">
        <v>72695.5</v>
      </c>
      <c r="F1096" s="14" t="n">
        <v>1495</v>
      </c>
      <c r="G1096" s="14" t="n">
        <v>7820</v>
      </c>
      <c r="H1096" s="13" t="inlineStr">
        <is>
          <t>Car#1094</t>
        </is>
      </c>
      <c r="I1096" s="14">
        <f>E1096-E1095</f>
        <v/>
      </c>
      <c r="J1096" s="14">
        <f>I1096-58</f>
        <v/>
      </c>
      <c r="K1096" s="14">
        <f>MAX(0,J1096)</f>
        <v/>
      </c>
      <c r="L1096" s="14">
        <f>MAX(0,-J1096)</f>
        <v/>
      </c>
      <c r="M1096" s="14">
        <f>M1095+I1096</f>
        <v/>
      </c>
      <c r="N1096" s="14">
        <f>D1096+F1096-E1096</f>
        <v/>
      </c>
      <c r="O1096" s="13" t="inlineStr">
        <is>
          <t>能力超目标：四轮定位上、下、ARHUD+慢充</t>
        </is>
      </c>
      <c r="P1096" s="13" t="inlineStr">
        <is>
          <t>ST1 引取(开:71200.5s 加:56.0s 等前:7748.5s 等后:8.5s) | ST2 集约(开:71265.0s 加:111.0s 等前:0.0s 等后:4.0s) | ST3 空气悬挂+快充(开:71380.0s 加:108.5s 等前:0.0s 等后:28.5s) | ST4 四轮定位上、下(开:71517.0s 加:120.5s 等前:0.0s 等后:0.0s) | ST5 ADAS(开:71637.5s 加:107.0s 等前:0.0s 等后:30.5s) | ST6 ARHUD+慢充(开:71775.0s 加:143.5s 等前:0.0s 等后:0.0s) | ST7 转毂(开:71918.5s 加:114.5s 等前:0.0s 等后:0.0s) | ST8 制动(开:72033.0s 加:114.0s 等前:0.0s 等后:0.0s) | ST9 EG漏液/底盘漏液(开:72147.0s 加:112.5s 等前:0.0s 等后:0.0s) | ST10 全景/空调检查(开:72259.5s 加:0.0s 等前:0.0s 等后:0.0s) | ST11 气囊安装+绝缘(开:72259.5s 加:116.0s 等前:0.0s 等后:0.0s) | ST12 L2++(开:72375.5s 加:88.0s 等前:0.0s 等后:0.0s) | ST13 电检1(开:72463.5s 加:84.5s 等前:0.0s 等后:0.0s) | ST14 电检2(开:72548.0s 加:97.5s 等前:0.0s 等后:0.0s) | ST15 小跑道(开:72645.5s 加:50.0s 等前:0.0s 等后:0.0s)</t>
        </is>
      </c>
    </row>
    <row r="1097">
      <c r="A1097" s="15" t="n">
        <v>1096</v>
      </c>
      <c r="B1097" s="15" t="inlineStr">
        <is>
          <t>Car#1096</t>
        </is>
      </c>
      <c r="C1097" s="15" t="inlineStr">
        <is>
          <t>B</t>
        </is>
      </c>
      <c r="D1097" s="16" t="n">
        <v>71265</v>
      </c>
      <c r="E1097" s="16" t="n">
        <v>72745.5</v>
      </c>
      <c r="F1097" s="16" t="n">
        <v>1480.5</v>
      </c>
      <c r="G1097" s="16" t="n">
        <v>7904</v>
      </c>
      <c r="H1097" s="15" t="inlineStr">
        <is>
          <t>Car#1095</t>
        </is>
      </c>
      <c r="I1097" s="16">
        <f>E1097-E1096</f>
        <v/>
      </c>
      <c r="J1097" s="16">
        <f>I1097-58</f>
        <v/>
      </c>
      <c r="K1097" s="16">
        <f>MAX(0,J1097)</f>
        <v/>
      </c>
      <c r="L1097" s="16">
        <f>MAX(0,-J1097)</f>
        <v/>
      </c>
      <c r="M1097" s="16">
        <f>M1096+I1097</f>
        <v/>
      </c>
      <c r="N1097" s="16">
        <f>D1097+F1097-E1097</f>
        <v/>
      </c>
      <c r="O1097" s="15" t="inlineStr">
        <is>
          <t>能力超目标：四轮定位上、下</t>
        </is>
      </c>
      <c r="P1097" s="15" t="inlineStr">
        <is>
          <t>ST1 引取(开:71265.0s 加:56.0s 等前:7755.0s 等后:0.0s) | ST2 集约(开:71321.0s 加:111.0s 等前:0.0s 等后:0.0s) | ST3 空气悬挂+快充(开:71432.0s 加:108.5s 等前:0.0s 等后:0.0s) | ST4 四轮定位上、下(开:71540.5s 加:120.5s 等前:0.0s 等后:14.0s) | ST5 ADAS(开:71675.0s 加:107.0s 等前:0.0s 等后:36.5s) | ST6 ARHUD+慢充(开:71818.5s 加:51.5s 等前:0.0s 等后:63.0s) | ST7 转毂(开:71933.0s 加:114.5s 等前:0.0s 等后:0.0s) | ST8 制动(开:72047.5s 加:114.0s 等前:0.0s 等后:0.0s) | ST9 EG漏液/底盘漏液(开:72161.5s 加:112.5s 等前:0.0s 等后:0.0s) | ST10 全景/空调检查(开:72274.0s 加:0.0s 等前:0.0s 等后:1.5s) | ST11 气囊安装+绝缘(开:72275.5s 加:116.0s 等前:0.0s 等后:0.0s) | ST12 L2++(开:72391.5s 加:88.0s 等前:0.0s 等后:0.0s) | ST13 电检1(开:72479.5s 加:84.5s 等前:0.0s 等后:0.0s) | ST14 电检2(开:72564.0s 加:97.5s 等前:0.0s 等后:34.0s) | ST15 小跑道(开:72695.5s 加:50.0s 等前:0.0s 等后:0.0s)</t>
        </is>
      </c>
    </row>
    <row r="1098">
      <c r="A1098" s="13" t="n">
        <v>1097</v>
      </c>
      <c r="B1098" s="13" t="inlineStr">
        <is>
          <t>Car#1097</t>
        </is>
      </c>
      <c r="C1098" s="13" t="inlineStr">
        <is>
          <t>B</t>
        </is>
      </c>
      <c r="D1098" s="14" t="n">
        <v>71321</v>
      </c>
      <c r="E1098" s="14" t="n">
        <v>72811.5</v>
      </c>
      <c r="F1098" s="14" t="n">
        <v>1490.5</v>
      </c>
      <c r="G1098" s="14" t="n">
        <v>7912</v>
      </c>
      <c r="H1098" s="13" t="inlineStr">
        <is>
          <t>Car#1096</t>
        </is>
      </c>
      <c r="I1098" s="14">
        <f>E1098-E1097</f>
        <v/>
      </c>
      <c r="J1098" s="14">
        <f>I1098-58</f>
        <v/>
      </c>
      <c r="K1098" s="14">
        <f>MAX(0,J1098)</f>
        <v/>
      </c>
      <c r="L1098" s="14">
        <f>MAX(0,-J1098)</f>
        <v/>
      </c>
      <c r="M1098" s="14">
        <f>M1097+I1098</f>
        <v/>
      </c>
      <c r="N1098" s="14">
        <f>D1098+F1098-E1098</f>
        <v/>
      </c>
      <c r="O1098" s="13" t="inlineStr">
        <is>
          <t>能力超目标：四轮定位上、下</t>
        </is>
      </c>
      <c r="P1098" s="13" t="inlineStr">
        <is>
          <t>ST1 引取(开:71321.0s 加:56.0s 等前:7753.0s 等后:3.0s) | ST2 集约(开:71380.0s 加:111.0s 等前:0.0s 等后:26.0s) | ST3 空气悬挂+快充(开:71517.0s 加:108.5s 等前:0.0s 等后:12.0s) | ST4 四轮定位上、下(开:71637.5s 加:120.5s 等前:0.0s 等后:17.0s) | ST5 ADAS(开:71775.0s 加:107.0s 等前:0.0s 等后:36.5s) | ST6 ARHUD+慢充(开:71918.5s 加:51.5s 等前:0.0s 等后:63.0s) | ST7 转毂(开:72033.0s 加:114.5s 等前:0.0s 等后:0.0s) | ST8 制动(开:72147.5s 加:114.0s 等前:0.0s 等后:0.0s) | ST9 EG漏液/底盘漏液(开:72261.5s 加:112.5s 等前:0.0s 等后:0.0s) | ST10 全景/空调检查(开:72374.0s 加:0.0s 等前:0.0s 等后:1.5s) | ST11 气囊安装+绝缘(开:72375.5s 加:116.0s 等前:0.0s 等后:0.0s) | ST12 L2++(开:72491.5s 加:88.0s 等前:0.0s 等后:0.0s) | ST13 电检1(开:72579.5s 加:84.5s 等前:0.0s 等后:0.0s) | ST14 电检2(开:72664.0s 加:97.5s 等前:0.0s 等后:0.0s) | ST15 小跑道(开:72761.5s 加:50.0s 等前:0.0s 等后:0.0s)</t>
        </is>
      </c>
    </row>
    <row r="1099">
      <c r="A1099" s="15" t="n">
        <v>1098</v>
      </c>
      <c r="B1099" s="15" t="inlineStr">
        <is>
          <t>Car#1099</t>
        </is>
      </c>
      <c r="C1099" s="15" t="inlineStr">
        <is>
          <t>A</t>
        </is>
      </c>
      <c r="D1099" s="16" t="n">
        <v>71436</v>
      </c>
      <c r="E1099" s="16" t="n">
        <v>72862.5</v>
      </c>
      <c r="F1099" s="16" t="n">
        <v>1426.5</v>
      </c>
      <c r="G1099" s="16" t="n">
        <v>8317.5</v>
      </c>
      <c r="H1099" s="15" t="inlineStr">
        <is>
          <t>Car#1097</t>
        </is>
      </c>
      <c r="I1099" s="16">
        <f>E1099-E1098</f>
        <v/>
      </c>
      <c r="J1099" s="16">
        <f>I1099-58</f>
        <v/>
      </c>
      <c r="K1099" s="16">
        <f>MAX(0,J1099)</f>
        <v/>
      </c>
      <c r="L1099" s="16">
        <f>MAX(0,-J1099)</f>
        <v/>
      </c>
      <c r="M1099" s="16">
        <f>M1098+I1099</f>
        <v/>
      </c>
      <c r="N1099" s="16">
        <f>D1099+F1099-E1099</f>
        <v/>
      </c>
      <c r="O1099" s="15" t="inlineStr">
        <is>
          <t>能力满足</t>
        </is>
      </c>
      <c r="P1099" s="15" t="inlineStr">
        <is>
          <t>ST1 引取(开:71436.0s 加:55.0s 等前:7752.0s 等后:26.0s) | ST2 集约(开:71517.0s 加:106.0s 等前:0.0s 等后:14.5s) | ST3 空气悬挂+快充(开:71637.5s 加:0.0s 等前:0.0s 等后:137.5s) | ST4 四轮定位上、下(开:71775.0s 加:115.0s 等前:0.0s 等后:28.5s) | ST5 ADAS(开:71918.5s 加:97.0s 等前:0.0s 等后:17.5s) | ST6 ARHUD+慢充(开:72033.0s 加:0.0s 等前:0.0s 等后:114.5s) | ST7 转毂(开:72147.5s 加:116.0s 等前:0.0s 等后:0.0s) | ST8 制动(开:72263.5s 加:108.0s 等前:0.0s 等后:2.5s) | ST9 EG漏液/底盘漏液(开:72374.0s 加:115.0s 等前:0.0s 等后:0.0s) | ST10 全景/空调检查(开:72489.0s 加:98.0s 等前:0.0s 等后:0.0s) | ST11 气囊安装+绝缘(开:72587.0s 加:0.0s 等前:0.0s 等后:0.0s) | ST12 L2++(开:72587.0s 加:0.0s 等前:0.0s 等后:77.0s) | ST13 电检1(开:72664.0s 加:0.0s 等前:0.0s 等后:97.5s) | ST14 电检2(开:72761.5s 加:0.0s 等前:0.0s 等后:50.0s) | ST15 小跑道(开:72811.5s 加:51.0s 等前:0.0s 等后:0.0s)</t>
        </is>
      </c>
    </row>
    <row r="1100">
      <c r="A1100" s="13" t="n">
        <v>1099</v>
      </c>
      <c r="B1100" s="13" t="inlineStr">
        <is>
          <t>Car#1098</t>
        </is>
      </c>
      <c r="C1100" s="13" t="inlineStr">
        <is>
          <t>B</t>
        </is>
      </c>
      <c r="D1100" s="14" t="n">
        <v>71380</v>
      </c>
      <c r="E1100" s="14" t="n">
        <v>72912.5</v>
      </c>
      <c r="F1100" s="14" t="n">
        <v>1532.5</v>
      </c>
      <c r="G1100" s="14" t="n">
        <v>7955</v>
      </c>
      <c r="H1100" s="13" t="inlineStr">
        <is>
          <t>Car#1099</t>
        </is>
      </c>
      <c r="I1100" s="14">
        <f>E1100-E1099</f>
        <v/>
      </c>
      <c r="J1100" s="14">
        <f>I1100-58</f>
        <v/>
      </c>
      <c r="K1100" s="14">
        <f>MAX(0,J1100)</f>
        <v/>
      </c>
      <c r="L1100" s="14">
        <f>MAX(0,-J1100)</f>
        <v/>
      </c>
      <c r="M1100" s="14">
        <f>M1099+I1100</f>
        <v/>
      </c>
      <c r="N1100" s="14">
        <f>D1100+F1100-E1100</f>
        <v/>
      </c>
      <c r="O1100" s="13" t="inlineStr">
        <is>
          <t>能力超目标：四轮定位上、下</t>
        </is>
      </c>
      <c r="P1100" s="13" t="inlineStr">
        <is>
          <t>ST1 引取(开:71380.0s 加:56.0s 等前:7754.0s 等后:0.0s) | ST2 集约(开:71436.0s 加:111.0s 等前:0.0s 等后:0.0s) | ST3 空气悬挂+快充(开:71547.0s 加:108.5s 等前:0.0s 等后:19.5s) | ST4 四轮定位上、下(开:71675.0s 加:120.5s 等前:0.0s 等后:23.0s) | ST5 ADAS(开:71818.5s 加:107.0s 等前:0.0s 等后:7.5s) | ST6 ARHUD+慢充(开:71933.0s 加:51.5s 等前:0.0s 等后:63.0s) | ST7 转毂(开:72047.5s 加:114.5s 等前:0.0s 等后:0.0s) | ST8 制动(开:72162.0s 加:114.0s 等前:0.0s 等后:0.0s) | ST9 EG漏液/底盘漏液(开:72276.0s 加:112.5s 等前:0.0s 等后:0.0s) | ST10 全景/空调检查(开:72388.5s 加:0.0s 等前:0.0s 等后:3.0s) | ST11 气囊安装+绝缘(开:72391.5s 加:116.0s 等前:0.0s 等后:0.0s) | ST12 L2++(开:72507.5s 加:88.0s 等前:0.0s 等后:0.0s) | ST13 电检1(开:72595.5s 加:84.5s 等前:0.0s 等后:15.5s) | ST14 电检2(开:72695.5s 加:97.5s 等前:0.0s 等后:69.5s) | ST15 小跑道(开:72862.5s 加:50.0s 等前:0.0s 等后:0.0s)</t>
        </is>
      </c>
    </row>
    <row r="1101">
      <c r="A1101" s="15" t="n">
        <v>1100</v>
      </c>
      <c r="B1101" s="15" t="inlineStr">
        <is>
          <t>Car#1100</t>
        </is>
      </c>
      <c r="C1101" s="15" t="inlineStr">
        <is>
          <t>C</t>
        </is>
      </c>
      <c r="D1101" s="16" t="n">
        <v>71517</v>
      </c>
      <c r="E1101" s="16" t="n">
        <v>73010</v>
      </c>
      <c r="F1101" s="16" t="n">
        <v>1493</v>
      </c>
      <c r="G1101" s="16" t="n">
        <v>7844.5</v>
      </c>
      <c r="H1101" s="15" t="inlineStr">
        <is>
          <t>Car#1098</t>
        </is>
      </c>
      <c r="I1101" s="16">
        <f>E1101-E1100</f>
        <v/>
      </c>
      <c r="J1101" s="16">
        <f>I1101-58</f>
        <v/>
      </c>
      <c r="K1101" s="16">
        <f>MAX(0,J1101)</f>
        <v/>
      </c>
      <c r="L1101" s="16">
        <f>MAX(0,-J1101)</f>
        <v/>
      </c>
      <c r="M1101" s="16">
        <f>M1100+I1101</f>
        <v/>
      </c>
      <c r="N1101" s="16">
        <f>D1101+F1101-E1101</f>
        <v/>
      </c>
      <c r="O1101" s="15" t="inlineStr">
        <is>
          <t>能力超目标：四轮定位上、下、ARHUD+慢充</t>
        </is>
      </c>
      <c r="P1101" s="15" t="inlineStr">
        <is>
          <t>ST1 引取(开:71517.0s 加:56.0s 等前:7775.0s 等后:0.0s) | ST2 集约(开:71573.0s 加:111.0s 等前:0.0s 等后:0.0s) | ST3 空气悬挂+快充(开:71684.0s 加:108.5s 等前:0.0s 等后:26.0s) | ST4 四轮定位上、下(开:71818.5s 加:120.5s 等前:0.0s 等后:0.0s) | ST5 ADAS(开:71939.0s 加:107.0s 等前:0.0s 等后:1.5s) | ST6 ARHUD+慢充(开:72047.5s 加:143.5s 等前:0.0s 等后:0.0s) | ST7 转毂(开:72191.0s 加:114.5s 等前:0.0s 等后:0.0s) | ST8 制动(开:72305.5s 加:114.0s 等前:0.0s 等后:0.0s) | ST9 EG漏液/底盘漏液(开:72419.5s 加:112.5s 等前:0.0s 等后:0.0s) | ST10 全景/空调检查(开:72532.0s 加:0.0s 等前:0.0s 等后:0.0s) | ST11 气囊安装+绝缘(开:72532.0s 加:116.0s 等前:0.0s 等后:0.0s) | ST12 L2++(开:72648.0s 加:88.0s 等前:0.0s 等后:0.0s) | ST13 电检1(开:72736.0s 加:84.5s 等前:0.0s 等后:42.0s) | ST14 电检2(开:72862.5s 加:97.5s 等前:0.0s 等后:0.0s) | ST15 小跑道(开:72960.0s 加:50.0s 等前:0.0s 等后:0.0s)</t>
        </is>
      </c>
    </row>
    <row r="1102">
      <c r="A1102" s="13" t="n">
        <v>1101</v>
      </c>
      <c r="B1102" s="13" t="inlineStr">
        <is>
          <t>Car#1101</t>
        </is>
      </c>
      <c r="C1102" s="13" t="inlineStr">
        <is>
          <t>C</t>
        </is>
      </c>
      <c r="D1102" s="14" t="n">
        <v>71573</v>
      </c>
      <c r="E1102" s="14" t="n">
        <v>73068</v>
      </c>
      <c r="F1102" s="14" t="n">
        <v>1495</v>
      </c>
      <c r="G1102" s="14" t="n">
        <v>7844.5</v>
      </c>
      <c r="H1102" s="13" t="inlineStr">
        <is>
          <t>Car#1100</t>
        </is>
      </c>
      <c r="I1102" s="14">
        <f>E1102-E1101</f>
        <v/>
      </c>
      <c r="J1102" s="14">
        <f>I1102-58</f>
        <v/>
      </c>
      <c r="K1102" s="14">
        <f>MAX(0,J1102)</f>
        <v/>
      </c>
      <c r="L1102" s="14">
        <f>MAX(0,-J1102)</f>
        <v/>
      </c>
      <c r="M1102" s="14">
        <f>M1101+I1102</f>
        <v/>
      </c>
      <c r="N1102" s="14">
        <f>D1102+F1102-E1102</f>
        <v/>
      </c>
      <c r="O1102" s="13" t="inlineStr">
        <is>
          <t>能力超目标：四轮定位上、下、ARHUD+慢充</t>
        </is>
      </c>
      <c r="P1102" s="13" t="inlineStr">
        <is>
          <t>ST1 引取(开:71573.0s 加:56.0s 等前:7773.0s 等后:8.5s) | ST2 集约(开:71637.5s 加:111.0s 等前:0.0s 等后:26.5s) | ST3 空气悬挂+快充(开:71775.0s 加:108.5s 等前:0.0s 等后:35.0s) | ST4 四轮定位上、下(开:71918.5s 加:120.5s 等前:0.0s 等后:0.0s) | ST5 ADAS(开:72039.0s 加:107.0s 等前:0.0s 等后:1.5s) | ST6 ARHUD+慢充(开:72147.5s 加:143.5s 等前:0.0s 等后:0.0s) | ST7 转毂(开:72291.0s 加:114.5s 等前:0.0s 等后:0.0s) | ST8 制动(开:72405.5s 加:114.0s 等前:0.0s 等后:0.0s) | ST9 EG漏液/底盘漏液(开:72519.5s 加:112.5s 等前:0.0s 等后:0.0s) | ST10 全景/空调检查(开:72632.0s 加:0.0s 等前:0.0s 等后:0.0s) | ST11 气囊安装+绝缘(开:72632.0s 加:116.0s 等前:0.0s 等后:0.0s) | ST12 L2++(开:72748.0s 加:88.0s 等前:0.0s 等后:0.0s) | ST13 电检1(开:72836.0s 加:84.5s 等前:0.0s 等后:0.0s) | ST14 电检2(开:72920.5s 加:97.5s 等前:0.0s 等后:0.0s) | ST15 小跑道(开:73018.0s 加:50.0s 等前:0.0s 等后:0.0s)</t>
        </is>
      </c>
    </row>
    <row r="1103">
      <c r="A1103" s="15" t="n">
        <v>1102</v>
      </c>
      <c r="B1103" s="15" t="inlineStr">
        <is>
          <t>Car#1103</t>
        </is>
      </c>
      <c r="C1103" s="15" t="inlineStr">
        <is>
          <t>A</t>
        </is>
      </c>
      <c r="D1103" s="16" t="n">
        <v>71693.5</v>
      </c>
      <c r="E1103" s="16" t="n">
        <v>73119</v>
      </c>
      <c r="F1103" s="16" t="n">
        <v>1425.5</v>
      </c>
      <c r="G1103" s="16" t="n">
        <v>8342</v>
      </c>
      <c r="H1103" s="15" t="inlineStr">
        <is>
          <t>Car#1101</t>
        </is>
      </c>
      <c r="I1103" s="16">
        <f>E1103-E1102</f>
        <v/>
      </c>
      <c r="J1103" s="16">
        <f>I1103-58</f>
        <v/>
      </c>
      <c r="K1103" s="16">
        <f>MAX(0,J1103)</f>
        <v/>
      </c>
      <c r="L1103" s="16">
        <f>MAX(0,-J1103)</f>
        <v/>
      </c>
      <c r="M1103" s="16">
        <f>M1102+I1103</f>
        <v/>
      </c>
      <c r="N1103" s="16">
        <f>D1103+F1103-E1103</f>
        <v/>
      </c>
      <c r="O1103" s="15" t="inlineStr">
        <is>
          <t>能力满足</t>
        </is>
      </c>
      <c r="P1103" s="15" t="inlineStr">
        <is>
          <t>ST1 引取(开:71693.5s 加:55.0s 等前:7777.5s 等后:26.5s) | ST2 集约(开:71775.0s 加:106.0s 等前:0.0s 等后:37.5s) | ST3 空气悬挂+快充(开:71918.5s 加:0.0s 等前:0.0s 等后:120.5s) | ST4 四轮定位上、下(开:72039.0s 加:115.0s 等前:0.0s 等后:0.0s) | ST5 ADAS(开:72154.0s 加:97.0s 等前:0.0s 等后:40.0s) | ST6 ARHUD+慢充(开:72291.0s 加:0.0s 等前:0.0s 等后:114.5s) | ST7 转毂(开:72405.5s 加:116.0s 等前:0.0s 等后:0.0s) | ST8 制动(开:72521.5s 加:108.0s 等前:0.0s 等后:2.5s) | ST9 EG漏液/底盘漏液(开:72632.0s 加:115.0s 等前:0.0s 等后:0.0s) | ST10 全景/空调检查(开:72747.0s 加:98.0s 等前:0.0s 等后:0.0s) | ST11 气囊安装+绝缘(开:72845.0s 加:0.0s 等前:0.0s 等后:0.0s) | ST12 L2++(开:72845.0s 加:0.0s 等前:0.0s 等后:75.5s) | ST13 电检1(开:72920.5s 加:0.0s 等前:0.0s 等后:97.5s) | ST14 电检2(开:73018.0s 加:0.0s 等前:0.0s 等后:50.0s) | ST15 小跑道(开:73068.0s 加:51.0s 等前:0.0s 等后:0.0s)</t>
        </is>
      </c>
    </row>
    <row r="1104">
      <c r="A1104" s="13" t="n">
        <v>1103</v>
      </c>
      <c r="B1104" s="13" t="inlineStr">
        <is>
          <t>Car#1102</t>
        </is>
      </c>
      <c r="C1104" s="13" t="inlineStr">
        <is>
          <t>C</t>
        </is>
      </c>
      <c r="D1104" s="14" t="n">
        <v>71637.5</v>
      </c>
      <c r="E1104" s="14" t="n">
        <v>73169</v>
      </c>
      <c r="F1104" s="14" t="n">
        <v>1531.5</v>
      </c>
      <c r="G1104" s="14" t="n">
        <v>7887.5</v>
      </c>
      <c r="H1104" s="13" t="inlineStr">
        <is>
          <t>Car#1103</t>
        </is>
      </c>
      <c r="I1104" s="14">
        <f>E1104-E1103</f>
        <v/>
      </c>
      <c r="J1104" s="14">
        <f>I1104-58</f>
        <v/>
      </c>
      <c r="K1104" s="14">
        <f>MAX(0,J1104)</f>
        <v/>
      </c>
      <c r="L1104" s="14">
        <f>MAX(0,-J1104)</f>
        <v/>
      </c>
      <c r="M1104" s="14">
        <f>M1103+I1104</f>
        <v/>
      </c>
      <c r="N1104" s="14">
        <f>D1104+F1104-E1104</f>
        <v/>
      </c>
      <c r="O1104" s="13" t="inlineStr">
        <is>
          <t>能力超目标：四轮定位上、下、ARHUD+慢充</t>
        </is>
      </c>
      <c r="P1104" s="13" t="inlineStr">
        <is>
          <t>ST1 引取(开:71637.5s 加:56.0s 等前:7779.5s 等后:0.0s) | ST2 集约(开:71693.5s 加:111.0s 等前:0.0s 等后:14.0s) | ST3 空气悬挂+快充(开:71818.5s 加:108.5s 等前:0.0s 等后:12.0s) | ST4 四轮定位上、下(开:71939.0s 加:120.5s 等前:0.0s 等后:0.0s) | ST5 ADAS(开:72059.5s 加:107.0s 等前:0.0s 等后:24.5s) | ST6 ARHUD+慢充(开:72191.0s 加:143.5s 等前:0.0s 等后:0.0s) | ST7 转毂(开:72334.5s 加:114.5s 等前:0.0s 等后:0.0s) | ST8 制动(开:72449.0s 加:114.0s 等前:0.0s 等后:0.0s) | ST9 EG漏液/底盘漏液(开:72563.0s 加:112.5s 等前:0.0s 等后:0.0s) | ST10 全景/空调检查(开:72675.5s 加:0.0s 等前:0.0s 等后:0.0s) | ST11 气囊安装+绝缘(开:72675.5s 加:116.0s 等前:0.0s 等后:0.0s) | ST12 L2++(开:72791.5s 加:88.0s 等前:0.0s 等后:0.0s) | ST13 电检1(开:72879.5s 加:84.5s 等前:0.0s 等后:0.0s) | ST14 电检2(开:72964.0s 加:97.5s 等前:0.0s 等后:57.5s) | ST15 小跑道(开:73119.0s 加:50.0s 等前:0.0s 等后:0.0s)</t>
        </is>
      </c>
    </row>
    <row r="1105">
      <c r="A1105" s="15" t="n">
        <v>1104</v>
      </c>
      <c r="B1105" s="15" t="inlineStr">
        <is>
          <t>Car#1105</t>
        </is>
      </c>
      <c r="C1105" s="15" t="inlineStr">
        <is>
          <t>A</t>
        </is>
      </c>
      <c r="D1105" s="16" t="n">
        <v>71830</v>
      </c>
      <c r="E1105" s="16" t="n">
        <v>73220</v>
      </c>
      <c r="F1105" s="16" t="n">
        <v>1390</v>
      </c>
      <c r="G1105" s="16" t="n">
        <v>8327</v>
      </c>
      <c r="H1105" s="15" t="inlineStr">
        <is>
          <t>Car#1102</t>
        </is>
      </c>
      <c r="I1105" s="16">
        <f>E1105-E1104</f>
        <v/>
      </c>
      <c r="J1105" s="16">
        <f>I1105-58</f>
        <v/>
      </c>
      <c r="K1105" s="16">
        <f>MAX(0,J1105)</f>
        <v/>
      </c>
      <c r="L1105" s="16">
        <f>MAX(0,-J1105)</f>
        <v/>
      </c>
      <c r="M1105" s="16">
        <f>M1104+I1105</f>
        <v/>
      </c>
      <c r="N1105" s="16">
        <f>D1105+F1105-E1105</f>
        <v/>
      </c>
      <c r="O1105" s="15" t="inlineStr">
        <is>
          <t>能力满足</t>
        </is>
      </c>
      <c r="P1105" s="15" t="inlineStr">
        <is>
          <t>ST1 引取(开:71830.0s 加:55.0s 等前:7798.0s 等后:33.5s) | ST2 集约(开:71918.5s 加:106.0s 等前:0.0s 等后:14.5s) | ST3 空气悬挂+快充(开:72039.0s 加:0.0s 等前:0.0s 等后:115.0s) | ST4 四轮定位上、下(开:72154.0s 加:115.0s 等前:0.0s 等后:22.0s) | ST5 ADAS(开:72291.0s 加:97.0s 等前:0.0s 等后:17.5s) | ST6 ARHUD+慢充(开:72405.5s 加:0.0s 等前:0.0s 等后:116.0s) | ST7 转毂(开:72521.5s 加:116.0s 等前:0.0s 等后:0.0s) | ST8 制动(开:72637.5s 加:108.0s 等前:0.0s 等后:1.5s) | ST9 EG漏液/底盘漏液(开:72747.0s 加:115.0s 等前:0.0s 等后:0.0s) | ST10 全景/空调检查(开:72862.0s 加:98.0s 等前:0.0s 等后:0.0s) | ST11 气囊安装+绝缘(开:72960.0s 加:0.0s 等前:0.0s 等后:0.0s) | ST12 L2++(开:72960.0s 加:0.0s 等前:0.0s 等后:58.0s) | ST13 电检1(开:73018.0s 加:0.0s 等前:0.0s 等后:50.0s) | ST14 电检2(开:73068.0s 加:0.0s 等前:0.0s 等后:101.0s) | ST15 小跑道(开:73169.0s 加:51.0s 等前:0.0s 等后:0.0s)</t>
        </is>
      </c>
    </row>
    <row r="1106">
      <c r="A1106" s="13" t="n">
        <v>1105</v>
      </c>
      <c r="B1106" s="13" t="inlineStr">
        <is>
          <t>Car#1104</t>
        </is>
      </c>
      <c r="C1106" s="13" t="inlineStr">
        <is>
          <t>A</t>
        </is>
      </c>
      <c r="D1106" s="14" t="n">
        <v>71775</v>
      </c>
      <c r="E1106" s="14" t="n">
        <v>73271</v>
      </c>
      <c r="F1106" s="14" t="n">
        <v>1496</v>
      </c>
      <c r="G1106" s="14" t="n">
        <v>8436</v>
      </c>
      <c r="H1106" s="13" t="inlineStr">
        <is>
          <t>Car#1105</t>
        </is>
      </c>
      <c r="I1106" s="14">
        <f>E1106-E1105</f>
        <v/>
      </c>
      <c r="J1106" s="14">
        <f>I1106-58</f>
        <v/>
      </c>
      <c r="K1106" s="14">
        <f>MAX(0,J1106)</f>
        <v/>
      </c>
      <c r="L1106" s="14">
        <f>MAX(0,-J1106)</f>
        <v/>
      </c>
      <c r="M1106" s="14">
        <f>M1105+I1106</f>
        <v/>
      </c>
      <c r="N1106" s="14">
        <f>D1106+F1106-E1106</f>
        <v/>
      </c>
      <c r="O1106" s="13" t="inlineStr">
        <is>
          <t>能力满足</t>
        </is>
      </c>
      <c r="P1106" s="13" t="inlineStr">
        <is>
          <t>ST1 引取(开:71775.0s 加:55.0s 等前:7801.0s 等后:0.0s) | ST2 集约(开:71830.0s 加:106.0s 等前:0.0s 等后:3.0s) | ST3 空气悬挂+快充(开:71939.0s 加:0.0s 等前:0.0s 等后:120.5s) | ST4 四轮定位上、下(开:72059.5s 加:115.0s 等前:0.0s 等后:16.5s) | ST5 ADAS(开:72191.0s 加:97.0s 等前:0.0s 等后:46.5s) | ST6 ARHUD+慢充(开:72334.5s 加:0.0s 等前:0.0s 等后:114.5s) | ST7 转毂(开:72449.0s 加:116.0s 等前:0.0s 等后:0.0s) | ST8 制动(开:72565.0s 加:108.0s 等前:0.0s 等后:2.5s) | ST9 EG漏液/底盘漏液(开:72675.5s 加:115.0s 等前:0.0s 等后:0.0s) | ST10 全景/空调检查(开:72790.5s 加:98.0s 等前:0.0s 等后:0.0s) | ST11 气囊安装+绝缘(开:72888.5s 加:0.0s 等前:0.0s 等后:0.0s) | ST12 L2++(开:72888.5s 加:0.0s 等前:0.0s 等后:75.5s) | ST13 电检1(开:72964.0s 加:0.0s 等前:0.0s 等后:155.0s) | ST14 电检2(开:73119.0s 加:0.0s 等前:0.0s 等后:101.0s) | ST15 小跑道(开:73220.0s 加:51.0s 等前:0.0s 等后:0.0s)</t>
        </is>
      </c>
    </row>
    <row r="1107">
      <c r="A1107" s="15" t="n">
        <v>1106</v>
      </c>
      <c r="B1107" s="15" t="inlineStr">
        <is>
          <t>Car#1106</t>
        </is>
      </c>
      <c r="C1107" s="15" t="inlineStr">
        <is>
          <t>C</t>
        </is>
      </c>
      <c r="D1107" s="16" t="n">
        <v>71918.5</v>
      </c>
      <c r="E1107" s="16" t="n">
        <v>73369.5</v>
      </c>
      <c r="F1107" s="16" t="n">
        <v>1451</v>
      </c>
      <c r="G1107" s="16" t="n">
        <v>7856</v>
      </c>
      <c r="H1107" s="15" t="inlineStr">
        <is>
          <t>Car#1104</t>
        </is>
      </c>
      <c r="I1107" s="16">
        <f>E1107-E1106</f>
        <v/>
      </c>
      <c r="J1107" s="16">
        <f>I1107-58</f>
        <v/>
      </c>
      <c r="K1107" s="16">
        <f>MAX(0,J1107)</f>
        <v/>
      </c>
      <c r="L1107" s="16">
        <f>MAX(0,-J1107)</f>
        <v/>
      </c>
      <c r="M1107" s="16">
        <f>M1106+I1107</f>
        <v/>
      </c>
      <c r="N1107" s="16">
        <f>D1107+F1107-E1107</f>
        <v/>
      </c>
      <c r="O1107" s="15" t="inlineStr">
        <is>
          <t>能力超目标：四轮定位上、下、ARHUD+慢充</t>
        </is>
      </c>
      <c r="P1107" s="15" t="inlineStr">
        <is>
          <t>ST1 引取(开:71918.5s 加:56.0s 等前:7828.5s 等后:0.0s) | ST2 集约(开:71974.5s 加:111.0s 等前:0.0s 等后:0.0s) | ST3 空气悬挂+快充(开:72085.5s 加:108.5s 等前:0.0s 等后:0.0s) | ST4 四轮定位上、下(开:72194.0s 加:120.5s 等前:0.0s 等后:20.0s) | ST5 ADAS(开:72334.5s 加:107.0s 等前:0.0s 等后:7.5s) | ST6 ARHUD+慢充(开:72449.0s 加:143.5s 等前:0.0s 等后:0.0s) | ST7 转毂(开:72592.5s 加:114.5s 等前:0.0s 等后:0.0s) | ST8 制动(开:72707.0s 加:114.0s 等前:0.0s 等后:0.0s) | ST9 EG漏液/底盘漏液(开:72821.0s 加:112.5s 等前:0.0s 等后:0.0s) | ST10 全景/空调检查(开:72933.5s 加:0.0s 等前:0.0s 等后:0.0s) | ST11 气囊安装+绝缘(开:72933.5s 加:116.0s 等前:0.0s 等后:0.0s) | ST12 L2++(开:73049.5s 加:88.0s 等前:0.0s 等后:0.0s) | ST13 电检1(开:73137.5s 加:84.5s 等前:0.0s 等后:0.0s) | ST14 电检2(开:73222.0s 加:97.5s 等前:0.0s 等后:0.0s) | ST15 小跑道(开:73319.5s 加:50.0s 等前:0.0s 等后:0.0s)</t>
        </is>
      </c>
    </row>
    <row r="1108">
      <c r="A1108" s="13" t="n">
        <v>1107</v>
      </c>
      <c r="B1108" s="13" t="inlineStr">
        <is>
          <t>Car#1107</t>
        </is>
      </c>
      <c r="C1108" s="13" t="inlineStr">
        <is>
          <t>B</t>
        </is>
      </c>
      <c r="D1108" s="14" t="n">
        <v>71974.5</v>
      </c>
      <c r="E1108" s="14" t="n">
        <v>73419.5</v>
      </c>
      <c r="F1108" s="14" t="n">
        <v>1445</v>
      </c>
      <c r="G1108" s="14" t="n">
        <v>7940</v>
      </c>
      <c r="H1108" s="13" t="inlineStr">
        <is>
          <t>Car#1106</t>
        </is>
      </c>
      <c r="I1108" s="14">
        <f>E1108-E1107</f>
        <v/>
      </c>
      <c r="J1108" s="14">
        <f>I1108-58</f>
        <v/>
      </c>
      <c r="K1108" s="14">
        <f>MAX(0,J1108)</f>
        <v/>
      </c>
      <c r="L1108" s="14">
        <f>MAX(0,-J1108)</f>
        <v/>
      </c>
      <c r="M1108" s="14">
        <f>M1107+I1108</f>
        <v/>
      </c>
      <c r="N1108" s="14">
        <f>D1108+F1108-E1108</f>
        <v/>
      </c>
      <c r="O1108" s="13" t="inlineStr">
        <is>
          <t>能力超目标：四轮定位上、下</t>
        </is>
      </c>
      <c r="P1108" s="13" t="inlineStr">
        <is>
          <t>ST1 引取(开:71974.5s 加:56.0s 等前:7826.5s 等后:8.5s) | ST2 集约(开:72039.0s 加:111.0s 等前:0.0s 等后:4.0s) | ST3 空气悬挂+快充(开:72154.0s 加:108.5s 等前:0.0s 等后:28.5s) | ST4 四轮定位上、下(开:72291.0s 加:120.5s 等前:0.0s 等后:0.0s) | ST5 ADAS(开:72411.5s 加:107.0s 等前:0.0s 等后:3.0s) | ST6 ARHUD+慢充(开:72521.5s 加:51.5s 等前:0.0s 等后:64.5s) | ST7 转毂(开:72637.5s 加:114.5s 等前:0.0s 等后:0.0s) | ST8 制动(开:72752.0s 加:114.0s 等前:0.0s 等后:0.0s) | ST9 EG漏液/底盘漏液(开:72866.0s 加:112.5s 等前:0.0s 等后:0.0s) | ST10 全景/空调检查(开:72978.5s 加:0.0s 等前:0.0s 等后:0.0s) | ST11 气囊安装+绝缘(开:72978.5s 加:116.0s 等前:0.0s 等后:0.0s) | ST12 L2++(开:73094.5s 加:88.0s 等前:0.0s 等后:0.0s) | ST13 电检1(开:73182.5s 加:84.5s 等前:0.0s 等后:0.0s) | ST14 电检2(开:73267.0s 加:97.5s 等前:0.0s 等后:5.0s) | ST15 小跑道(开:73369.5s 加:50.0s 等前:0.0s 等后:0.0s)</t>
        </is>
      </c>
    </row>
    <row r="1109">
      <c r="A1109" s="15" t="n">
        <v>1108</v>
      </c>
      <c r="B1109" s="15" t="inlineStr">
        <is>
          <t>Car#1108</t>
        </is>
      </c>
      <c r="C1109" s="15" t="inlineStr">
        <is>
          <t>C</t>
        </is>
      </c>
      <c r="D1109" s="16" t="n">
        <v>72039</v>
      </c>
      <c r="E1109" s="16" t="n">
        <v>73513</v>
      </c>
      <c r="F1109" s="16" t="n">
        <v>1474</v>
      </c>
      <c r="G1109" s="16" t="n">
        <v>7883.5</v>
      </c>
      <c r="H1109" s="15" t="inlineStr">
        <is>
          <t>Car#1107</t>
        </is>
      </c>
      <c r="I1109" s="16">
        <f>E1109-E1108</f>
        <v/>
      </c>
      <c r="J1109" s="16">
        <f>I1109-58</f>
        <v/>
      </c>
      <c r="K1109" s="16">
        <f>MAX(0,J1109)</f>
        <v/>
      </c>
      <c r="L1109" s="16">
        <f>MAX(0,-J1109)</f>
        <v/>
      </c>
      <c r="M1109" s="16">
        <f>M1108+I1109</f>
        <v/>
      </c>
      <c r="N1109" s="16">
        <f>D1109+F1109-E1109</f>
        <v/>
      </c>
      <c r="O1109" s="15" t="inlineStr">
        <is>
          <t>能力超目标：四轮定位上、下、ARHUD+慢充</t>
        </is>
      </c>
      <c r="P1109" s="15" t="inlineStr">
        <is>
          <t>ST1 引取(开:72039.0s 加:56.0s 等前:7833.0s 等后:0.0s) | ST2 集约(开:72095.0s 加:111.0s 等前:0.0s 等后:0.0s) | ST3 空气悬挂+快充(开:72206.0s 加:108.5s 等前:0.0s 等后:20.0s) | ST4 四轮定位上、下(开:72334.5s 加:120.5s 等前:0.0s 等后:0.0s) | ST5 ADAS(开:72455.0s 加:107.0s 等前:0.0s 等后:30.5s) | ST6 ARHUD+慢充(开:72592.5s 加:143.5s 等前:0.0s 等后:0.0s) | ST7 转毂(开:72736.0s 加:114.5s 等前:0.0s 等后:0.0s) | ST8 制动(开:72850.5s 加:114.0s 等前:0.0s 等后:0.0s) | ST9 EG漏液/底盘漏液(开:72964.5s 加:112.5s 等前:0.0s 等后:0.0s) | ST10 全景/空调检查(开:73077.0s 加:0.0s 等前:0.0s 等后:0.0s) | ST11 气囊安装+绝缘(开:73077.0s 加:116.0s 等前:0.0s 等后:0.0s) | ST12 L2++(开:73193.0s 加:88.0s 等前:0.0s 等后:0.0s) | ST13 电检1(开:73281.0s 加:84.5s 等前:0.0s 等后:0.0s) | ST14 电检2(开:73365.5s 加:97.5s 等前:0.0s 等后:0.0s) | ST15 小跑道(开:73463.0s 加:50.0s 等前:0.0s 等后:0.0s)</t>
        </is>
      </c>
    </row>
    <row r="1110">
      <c r="A1110" s="13" t="n">
        <v>1109</v>
      </c>
      <c r="B1110" s="13" t="inlineStr">
        <is>
          <t>Car#1109</t>
        </is>
      </c>
      <c r="C1110" s="13" t="inlineStr">
        <is>
          <t>C</t>
        </is>
      </c>
      <c r="D1110" s="14" t="n">
        <v>72095</v>
      </c>
      <c r="E1110" s="14" t="n">
        <v>73563</v>
      </c>
      <c r="F1110" s="14" t="n">
        <v>1468</v>
      </c>
      <c r="G1110" s="14" t="n">
        <v>7875.5</v>
      </c>
      <c r="H1110" s="13" t="inlineStr">
        <is>
          <t>Car#1108</t>
        </is>
      </c>
      <c r="I1110" s="14">
        <f>E1110-E1109</f>
        <v/>
      </c>
      <c r="J1110" s="14">
        <f>I1110-58</f>
        <v/>
      </c>
      <c r="K1110" s="14">
        <f>MAX(0,J1110)</f>
        <v/>
      </c>
      <c r="L1110" s="14">
        <f>MAX(0,-J1110)</f>
        <v/>
      </c>
      <c r="M1110" s="14">
        <f>M1109+I1110</f>
        <v/>
      </c>
      <c r="N1110" s="14">
        <f>D1110+F1110-E1110</f>
        <v/>
      </c>
      <c r="O1110" s="13" t="inlineStr">
        <is>
          <t>能力超目标：四轮定位上、下、ARHUD+慢充</t>
        </is>
      </c>
      <c r="P1110" s="13" t="inlineStr">
        <is>
          <t>ST1 引取(开:72095.0s 加:56.0s 等前:7831.0s 等后:3.0s) | ST2 集约(开:72154.0s 加:111.0s 等前:0.0s 等后:26.0s) | ST3 空气悬挂+快充(开:72291.0s 加:108.5s 等前:0.0s 等后:12.0s) | ST4 四轮定位上、下(开:72411.5s 加:120.5s 等前:0.0s 等后:0.0s) | ST5 ADAS(开:72532.0s 加:107.0s 等前:0.0s 等后:0.0s) | ST6 ARHUD+慢充(开:72639.0s 加:143.5s 等前:0.0s 等后:0.0s) | ST7 转毂(开:72782.5s 加:114.5s 等前:0.0s 等后:0.0s) | ST8 制动(开:72897.0s 加:114.0s 等前:0.0s 等后:0.0s) | ST9 EG漏液/底盘漏液(开:73011.0s 加:112.5s 等前:0.0s 等后:0.0s) | ST10 全景/空调检查(开:73123.5s 加:0.0s 等前:0.0s 等后:0.0s) | ST11 气囊安装+绝缘(开:73123.5s 加:116.0s 等前:0.0s 等后:0.0s) | ST12 L2++(开:73239.5s 加:88.0s 等前:0.0s 等后:0.0s) | ST13 电检1(开:73327.5s 加:84.5s 等前:0.0s 等后:0.0s) | ST14 电检2(开:73412.0s 加:97.5s 等前:0.0s 等后:3.5s) | ST15 小跑道(开:73513.0s 加:50.0s 等前:0.0s 等后:0.0s)</t>
        </is>
      </c>
    </row>
    <row r="1111">
      <c r="A1111" s="15" t="n">
        <v>1110</v>
      </c>
      <c r="B1111" s="15" t="inlineStr">
        <is>
          <t>Car#1110</t>
        </is>
      </c>
      <c r="C1111" s="15" t="inlineStr">
        <is>
          <t>C</t>
        </is>
      </c>
      <c r="D1111" s="16" t="n">
        <v>72154</v>
      </c>
      <c r="E1111" s="16" t="n">
        <v>73656.5</v>
      </c>
      <c r="F1111" s="16" t="n">
        <v>1502.5</v>
      </c>
      <c r="G1111" s="16" t="n">
        <v>7911</v>
      </c>
      <c r="H1111" s="15" t="inlineStr">
        <is>
          <t>Car#1109</t>
        </is>
      </c>
      <c r="I1111" s="16">
        <f>E1111-E1110</f>
        <v/>
      </c>
      <c r="J1111" s="16">
        <f>I1111-58</f>
        <v/>
      </c>
      <c r="K1111" s="16">
        <f>MAX(0,J1111)</f>
        <v/>
      </c>
      <c r="L1111" s="16">
        <f>MAX(0,-J1111)</f>
        <v/>
      </c>
      <c r="M1111" s="16">
        <f>M1110+I1111</f>
        <v/>
      </c>
      <c r="N1111" s="16">
        <f>D1111+F1111-E1111</f>
        <v/>
      </c>
      <c r="O1111" s="15" t="inlineStr">
        <is>
          <t>能力超目标：四轮定位上、下、ARHUD+慢充</t>
        </is>
      </c>
      <c r="P1111" s="15" t="inlineStr">
        <is>
          <t>ST1 引取(开:72154.0s 加:56.0s 等前:7832.0s 等后:0.0s) | ST2 集约(开:72210.0s 加:111.0s 等前:0.0s 等后:13.5s) | ST3 空气悬挂+快充(开:72334.5s 加:108.5s 等前:0.0s 等后:12.0s) | ST4 四轮定位上、下(开:72455.0s 加:120.5s 等前:0.0s 等后:17.0s) | ST5 ADAS(开:72592.5s 加:107.0s 等前:0.0s 等后:36.5s) | ST6 ARHUD+慢充(开:72736.0s 加:143.5s 等前:0.0s 等后:0.0s) | ST7 转毂(开:72879.5s 加:114.5s 等前:0.0s 等后:0.0s) | ST8 制动(开:72994.0s 加:114.0s 等前:0.0s 等后:0.0s) | ST9 EG漏液/底盘漏液(开:73108.0s 加:112.5s 等前:0.0s 等后:0.0s) | ST10 全景/空调检查(开:73220.5s 加:0.0s 等前:0.0s 等后:0.0s) | ST11 气囊安装+绝缘(开:73220.5s 加:116.0s 等前:0.0s 等后:0.0s) | ST12 L2++(开:73336.5s 加:88.0s 等前:0.0s 等后:0.0s) | ST13 电检1(开:73424.5s 加:84.5s 等前:0.0s 等后:0.0s) | ST14 电检2(开:73509.0s 加:97.5s 等前:0.0s 等后:0.0s) | ST15 小跑道(开:73606.5s 加:50.0s 等前:0.0s 等后:0.0s)</t>
        </is>
      </c>
    </row>
    <row r="1112">
      <c r="A1112" s="13" t="n">
        <v>1111</v>
      </c>
      <c r="B1112" s="13" t="inlineStr">
        <is>
          <t>Car#1111</t>
        </is>
      </c>
      <c r="C1112" s="13" t="inlineStr">
        <is>
          <t>B</t>
        </is>
      </c>
      <c r="D1112" s="14" t="n">
        <v>72210</v>
      </c>
      <c r="E1112" s="14" t="n">
        <v>73706.5</v>
      </c>
      <c r="F1112" s="14" t="n">
        <v>1496.5</v>
      </c>
      <c r="G1112" s="14" t="n">
        <v>7995</v>
      </c>
      <c r="H1112" s="13" t="inlineStr">
        <is>
          <t>Car#1110</t>
        </is>
      </c>
      <c r="I1112" s="14">
        <f>E1112-E1111</f>
        <v/>
      </c>
      <c r="J1112" s="14">
        <f>I1112-58</f>
        <v/>
      </c>
      <c r="K1112" s="14">
        <f>MAX(0,J1112)</f>
        <v/>
      </c>
      <c r="L1112" s="14">
        <f>MAX(0,-J1112)</f>
        <v/>
      </c>
      <c r="M1112" s="14">
        <f>M1111+I1112</f>
        <v/>
      </c>
      <c r="N1112" s="14">
        <f>D1112+F1112-E1112</f>
        <v/>
      </c>
      <c r="O1112" s="13" t="inlineStr">
        <is>
          <t>能力超目标：四轮定位上、下</t>
        </is>
      </c>
      <c r="P1112" s="13" t="inlineStr">
        <is>
          <t>ST1 引取(开:72210.0s 加:56.0s 等前:7830.0s 等后:25.0s) | ST2 集约(开:72291.0s 加:111.0s 等前:0.0s 等后:9.5s) | ST3 空气悬挂+快充(开:72411.5s 加:108.5s 等前:0.0s 等后:12.0s) | ST4 四轮定位上、下(开:72532.0s 加:120.5s 等前:0.0s 等后:0.0s) | ST5 ADAS(开:72652.5s 加:107.0s 等前:0.0s 等后:23.0s) | ST6 ARHUD+慢充(开:72782.5s 加:51.5s 等前:0.0s 等后:63.0s) | ST7 转毂(开:72897.0s 加:114.5s 等前:0.0s 等后:0.0s) | ST8 制动(开:73011.5s 加:114.0s 等前:0.0s 等后:0.0s) | ST9 EG漏液/底盘漏液(开:73125.5s 加:112.5s 等前:0.0s 等后:0.0s) | ST10 全景/空调检查(开:73238.0s 加:0.0s 等前:0.0s 等后:1.5s) | ST11 气囊安装+绝缘(开:73239.5s 加:116.0s 等前:0.0s 等后:0.0s) | ST12 L2++(开:73355.5s 加:88.0s 等前:0.0s 等后:0.0s) | ST13 电检1(开:73443.5s 加:84.5s 等前:0.0s 等后:0.0s) | ST14 电检2(开:73528.0s 加:97.5s 等前:0.0s 等后:31.0s) | ST15 小跑道(开:73656.5s 加:50.0s 等前:0.0s 等后:0.0s)</t>
        </is>
      </c>
    </row>
    <row r="1113">
      <c r="A1113" s="15" t="n">
        <v>1112</v>
      </c>
      <c r="B1113" s="15" t="inlineStr">
        <is>
          <t>Car#1112</t>
        </is>
      </c>
      <c r="C1113" s="15" t="inlineStr">
        <is>
          <t>B</t>
        </is>
      </c>
      <c r="D1113" s="16" t="n">
        <v>72291</v>
      </c>
      <c r="E1113" s="16" t="n">
        <v>73772.5</v>
      </c>
      <c r="F1113" s="16" t="n">
        <v>1481.5</v>
      </c>
      <c r="G1113" s="16" t="n">
        <v>8003</v>
      </c>
      <c r="H1113" s="15" t="inlineStr">
        <is>
          <t>Car#1111</t>
        </is>
      </c>
      <c r="I1113" s="16">
        <f>E1113-E1112</f>
        <v/>
      </c>
      <c r="J1113" s="16">
        <f>I1113-58</f>
        <v/>
      </c>
      <c r="K1113" s="16">
        <f>MAX(0,J1113)</f>
        <v/>
      </c>
      <c r="L1113" s="16">
        <f>MAX(0,-J1113)</f>
        <v/>
      </c>
      <c r="M1113" s="16">
        <f>M1112+I1113</f>
        <v/>
      </c>
      <c r="N1113" s="16">
        <f>D1113+F1113-E1113</f>
        <v/>
      </c>
      <c r="O1113" s="15" t="inlineStr">
        <is>
          <t>能力超目标：四轮定位上、下</t>
        </is>
      </c>
      <c r="P1113" s="15" t="inlineStr">
        <is>
          <t>ST1 引取(开:72291.0s 加:56.0s 等前:7853.0s 等后:0.0s) | ST2 集约(开:72347.0s 加:111.0s 等前:0.0s 等后:0.0s) | ST3 空气悬挂+快充(开:72458.0s 加:108.5s 等前:0.0s 等后:26.0s) | ST4 四轮定位上、下(开:72592.5s 加:120.5s 等前:0.0s 等后:23.0s) | ST5 ADAS(开:72736.0s 加:107.0s 等前:0.0s 等后:36.5s) | ST6 ARHUD+慢充(开:72879.5s 加:51.5s 等前:0.0s 等后:63.0s) | ST7 转毂(开:72994.0s 加:114.5s 等前:0.0s 等后:0.0s) | ST8 制动(开:73108.5s 加:114.0s 等前:0.0s 等后:0.0s) | ST9 EG漏液/底盘漏液(开:73222.5s 加:112.5s 等前:0.0s 等后:0.0s) | ST10 全景/空调检查(开:73335.0s 加:0.0s 等前:0.0s 等后:1.5s) | ST11 气囊安装+绝缘(开:73336.5s 加:116.0s 等前:0.0s 等后:0.0s) | ST12 L2++(开:73452.5s 加:88.0s 等前:0.0s 等后:0.0s) | ST13 电检1(开:73540.5s 加:84.5s 等前:0.0s 等后:0.0s) | ST14 电检2(开:73625.0s 加:97.5s 等前:0.0s 等后:0.0s) | ST15 小跑道(开:73722.5s 加:50.0s 等前:0.0s 等后:0.0s)</t>
        </is>
      </c>
    </row>
    <row r="1114">
      <c r="A1114" s="13" t="n">
        <v>1113</v>
      </c>
      <c r="B1114" s="13" t="inlineStr">
        <is>
          <t>Car#1113</t>
        </is>
      </c>
      <c r="C1114" s="13" t="inlineStr">
        <is>
          <t>B</t>
        </is>
      </c>
      <c r="D1114" s="14" t="n">
        <v>72347</v>
      </c>
      <c r="E1114" s="14" t="n">
        <v>73822.5</v>
      </c>
      <c r="F1114" s="14" t="n">
        <v>1475.5</v>
      </c>
      <c r="G1114" s="14" t="n">
        <v>7995</v>
      </c>
      <c r="H1114" s="13" t="inlineStr">
        <is>
          <t>Car#1112</t>
        </is>
      </c>
      <c r="I1114" s="14">
        <f>E1114-E1113</f>
        <v/>
      </c>
      <c r="J1114" s="14">
        <f>I1114-58</f>
        <v/>
      </c>
      <c r="K1114" s="14">
        <f>MAX(0,J1114)</f>
        <v/>
      </c>
      <c r="L1114" s="14">
        <f>MAX(0,-J1114)</f>
        <v/>
      </c>
      <c r="M1114" s="14">
        <f>M1113+I1114</f>
        <v/>
      </c>
      <c r="N1114" s="14">
        <f>D1114+F1114-E1114</f>
        <v/>
      </c>
      <c r="O1114" s="13" t="inlineStr">
        <is>
          <t>能力超目标：四轮定位上、下</t>
        </is>
      </c>
      <c r="P1114" s="13" t="inlineStr">
        <is>
          <t>ST1 引取(开:72347.0s 加:56.0s 等前:7851.0s 等后:8.5s) | ST2 集约(开:72411.5s 加:111.0s 等前:0.0s 等后:9.5s) | ST3 空气悬挂+快充(开:72532.0s 加:108.5s 等前:0.0s 等后:12.0s) | ST4 四轮定位上、下(开:72652.5s 加:120.5s 等前:0.0s 等后:9.5s) | ST5 ADAS(开:72782.5s 加:107.0s 等前:0.0s 等后:7.5s) | ST6 ARHUD+慢充(开:72897.0s 加:51.5s 等前:0.0s 等后:63.0s) | ST7 转毂(开:73011.5s 加:114.5s 等前:0.0s 等后:0.0s) | ST8 制动(开:73126.0s 加:114.0s 等前:0.0s 等后:0.0s) | ST9 EG漏液/底盘漏液(开:73240.0s 加:112.5s 等前:0.0s 等后:0.0s) | ST10 全景/空调检查(开:73352.5s 加:0.0s 等前:0.0s 等后:3.0s) | ST11 气囊安装+绝缘(开:73355.5s 加:116.0s 等前:0.0s 等后:0.0s) | ST12 L2++(开:73471.5s 加:88.0s 等前:0.0s 等后:0.0s) | ST13 电检1(开:73559.5s 加:84.5s 等前:0.0s 等后:12.5s) | ST14 电检2(开:73656.5s 加:97.5s 等前:0.0s 等后:18.5s) | ST15 小跑道(开:73772.5s 加:50.0s 等前:0.0s 等后:0.0s)</t>
        </is>
      </c>
    </row>
    <row r="1115">
      <c r="A1115" s="15" t="n">
        <v>1114</v>
      </c>
      <c r="B1115" s="15" t="inlineStr">
        <is>
          <t>Car#1115</t>
        </is>
      </c>
      <c r="C1115" s="15" t="inlineStr">
        <is>
          <t>A</t>
        </is>
      </c>
      <c r="D1115" s="16" t="n">
        <v>72467.5</v>
      </c>
      <c r="E1115" s="16" t="n">
        <v>73873.5</v>
      </c>
      <c r="F1115" s="16" t="n">
        <v>1406</v>
      </c>
      <c r="G1115" s="16" t="n">
        <v>8400.5</v>
      </c>
      <c r="H1115" s="15" t="inlineStr">
        <is>
          <t>Car#1113</t>
        </is>
      </c>
      <c r="I1115" s="16">
        <f>E1115-E1114</f>
        <v/>
      </c>
      <c r="J1115" s="16">
        <f>I1115-58</f>
        <v/>
      </c>
      <c r="K1115" s="16">
        <f>MAX(0,J1115)</f>
        <v/>
      </c>
      <c r="L1115" s="16">
        <f>MAX(0,-J1115)</f>
        <v/>
      </c>
      <c r="M1115" s="16">
        <f>M1114+I1115</f>
        <v/>
      </c>
      <c r="N1115" s="16">
        <f>D1115+F1115-E1115</f>
        <v/>
      </c>
      <c r="O1115" s="15" t="inlineStr">
        <is>
          <t>能力满足</t>
        </is>
      </c>
      <c r="P1115" s="15" t="inlineStr">
        <is>
          <t>ST1 引取(开:72467.5s 加:55.0s 等前:7855.5s 等后:9.5s) | ST2 集约(开:72532.0s 加:106.0s 等前:0.0s 等后:14.5s) | ST3 空气悬挂+快充(开:72652.5s 加:0.0s 等前:0.0s 等后:130.0s) | ST4 四轮定位上、下(开:72782.5s 加:115.0s 等前:0.0s 等后:0.0s) | ST5 ADAS(开:72897.5s 加:97.0s 等前:0.0s 等后:17.0s) | ST6 ARHUD+慢充(开:73011.5s 加:0.0s 等前:0.0s 等后:114.5s) | ST7 转毂(开:73126.0s 加:116.0s 等前:0.0s 等后:0.0s) | ST8 制动(开:73242.0s 加:108.0s 等前:0.0s 等后:2.5s) | ST9 EG漏液/底盘漏液(开:73352.5s 加:115.0s 等前:0.0s 等后:0.0s) | ST10 全景/空调检查(开:73467.5s 加:98.0s 等前:0.0s 等后:0.0s) | ST11 气囊安装+绝缘(开:73565.5s 加:0.0s 等前:0.0s 等后:0.0s) | ST12 L2++(开:73565.5s 加:0.0s 等前:0.0s 等后:91.0s) | ST13 电检1(开:73656.5s 加:0.0s 等前:0.0s 等后:116.0s) | ST14 电检2(开:73772.5s 加:0.0s 等前:0.0s 等后:50.0s) | ST15 小跑道(开:73822.5s 加:51.0s 等前:0.0s 等后:0.0s)</t>
        </is>
      </c>
    </row>
    <row r="1116">
      <c r="A1116" s="13" t="n">
        <v>1115</v>
      </c>
      <c r="B1116" s="13" t="inlineStr">
        <is>
          <t>Car#1114</t>
        </is>
      </c>
      <c r="C1116" s="13" t="inlineStr">
        <is>
          <t>C</t>
        </is>
      </c>
      <c r="D1116" s="14" t="n">
        <v>72411.5</v>
      </c>
      <c r="E1116" s="14" t="n">
        <v>73923.5</v>
      </c>
      <c r="F1116" s="14" t="n">
        <v>1512</v>
      </c>
      <c r="G1116" s="14" t="n">
        <v>7946</v>
      </c>
      <c r="H1116" s="13" t="inlineStr">
        <is>
          <t>Car#1115</t>
        </is>
      </c>
      <c r="I1116" s="14">
        <f>E1116-E1115</f>
        <v/>
      </c>
      <c r="J1116" s="14">
        <f>I1116-58</f>
        <v/>
      </c>
      <c r="K1116" s="14">
        <f>MAX(0,J1116)</f>
        <v/>
      </c>
      <c r="L1116" s="14">
        <f>MAX(0,-J1116)</f>
        <v/>
      </c>
      <c r="M1116" s="14">
        <f>M1115+I1116</f>
        <v/>
      </c>
      <c r="N1116" s="14">
        <f>D1116+F1116-E1116</f>
        <v/>
      </c>
      <c r="O1116" s="13" t="inlineStr">
        <is>
          <t>能力超目标：四轮定位上、下、ARHUD+慢充</t>
        </is>
      </c>
      <c r="P1116" s="13" t="inlineStr">
        <is>
          <t>ST1 引取(开:72411.5s 加:56.0s 等前:7857.5s 等后:0.0s) | ST2 集约(开:72467.5s 加:111.0s 等前:0.0s 等后:14.0s) | ST3 空气悬挂+快充(开:72592.5s 加:108.5s 等前:0.0s 等后:35.0s) | ST4 四轮定位上、下(开:72736.0s 加:120.5s 等前:0.0s 等后:23.0s) | ST5 ADAS(开:72879.5s 加:107.0s 等前:0.0s 等后:7.5s) | ST6 ARHUD+慢充(开:72994.0s 加:143.5s 等前:0.0s 等后:0.0s) | ST7 转毂(开:73137.5s 加:114.5s 等前:0.0s 等后:0.0s) | ST8 制动(开:73252.0s 加:114.0s 等前:0.0s 等后:0.0s) | ST9 EG漏液/底盘漏液(开:73366.0s 加:112.5s 等前:0.0s 等后:0.0s) | ST10 全景/空调检查(开:73478.5s 加:0.0s 等前:0.0s 等后:0.0s) | ST11 气囊安装+绝缘(开:73478.5s 加:116.0s 等前:0.0s 等后:0.0s) | ST12 L2++(开:73594.5s 加:88.0s 等前:0.0s 等后:0.0s) | ST13 电检1(开:73682.5s 加:84.5s 等前:0.0s 等后:0.0s) | ST14 电检2(开:73767.0s 加:97.5s 等前:0.0s 等后:9.0s) | ST15 小跑道(开:73873.5s 加:50.0s 等前:0.0s 等后:0.0s)</t>
        </is>
      </c>
    </row>
    <row r="1117">
      <c r="A1117" s="15" t="n">
        <v>1116</v>
      </c>
      <c r="B1117" s="15" t="inlineStr">
        <is>
          <t>Car#1117</t>
        </is>
      </c>
      <c r="C1117" s="15" t="inlineStr">
        <is>
          <t>C</t>
        </is>
      </c>
      <c r="D1117" s="16" t="n">
        <v>72592.5</v>
      </c>
      <c r="E1117" s="16" t="n">
        <v>74046.5</v>
      </c>
      <c r="F1117" s="16" t="n">
        <v>1454</v>
      </c>
      <c r="G1117" s="16" t="n">
        <v>7895</v>
      </c>
      <c r="H1117" s="15" t="inlineStr">
        <is>
          <t>Car#1114</t>
        </is>
      </c>
      <c r="I1117" s="16">
        <f>E1117-E1116</f>
        <v/>
      </c>
      <c r="J1117" s="16">
        <f>I1117-58</f>
        <v/>
      </c>
      <c r="K1117" s="16">
        <f>MAX(0,J1117)</f>
        <v/>
      </c>
      <c r="L1117" s="16">
        <f>MAX(0,-J1117)</f>
        <v/>
      </c>
      <c r="M1117" s="16">
        <f>M1116+I1117</f>
        <v/>
      </c>
      <c r="N1117" s="16">
        <f>D1117+F1117-E1117</f>
        <v/>
      </c>
      <c r="O1117" s="15" t="inlineStr">
        <is>
          <t>能力超目标：四轮定位上、下、ARHUD+慢充</t>
        </is>
      </c>
      <c r="P1117" s="15" t="inlineStr">
        <is>
          <t>ST1 引取(开:72592.5s 加:56.0s 等前:7864.5s 等后:4.0s) | ST2 集约(开:72652.5s 加:111.0s 等前:0.0s 等后:19.0s) | ST3 空气悬挂+快充(开:72782.5s 加:108.5s 等前:0.0s 等后:6.5s) | ST4 四轮定位上、下(开:72897.5s 加:120.5s 等前:0.0s 等后:0.0s) | ST5 ADAS(开:73018.0s 加:107.0s 等前:0.0s 等后:1.0s) | ST6 ARHUD+慢充(开:73126.0s 加:143.5s 等前:0.0s 等后:0.0s) | ST7 转毂(开:73269.5s 加:114.5s 等前:0.0s 等后:0.0s) | ST8 制动(开:73384.0s 加:114.0s 等前:0.0s 等后:0.0s) | ST9 EG漏液/底盘漏液(开:73498.0s 加:112.5s 等前:0.0s 等后:0.0s) | ST10 全景/空调检查(开:73610.5s 加:0.0s 等前:0.0s 等后:0.0s) | ST11 气囊安装+绝缘(开:73610.5s 加:116.0s 等前:0.0s 等后:0.0s) | ST12 L2++(开:73726.5s 加:88.0s 等前:0.0s 等后:0.0s) | ST13 电检1(开:73814.5s 加:84.5s 等前:0.0s 等后:0.0s) | ST14 电检2(开:73899.0s 加:97.5s 等前:0.0s 等后:0.0s) | ST15 小跑道(开:73996.5s 加:50.0s 等前:0.0s 等后:0.0s)</t>
        </is>
      </c>
    </row>
    <row r="1118">
      <c r="A1118" s="13" t="n">
        <v>1117</v>
      </c>
      <c r="B1118" s="13" t="inlineStr">
        <is>
          <t>Car#1119</t>
        </is>
      </c>
      <c r="C1118" s="13" t="inlineStr">
        <is>
          <t>A</t>
        </is>
      </c>
      <c r="D1118" s="14" t="n">
        <v>72736</v>
      </c>
      <c r="E1118" s="14" t="n">
        <v>74097.5</v>
      </c>
      <c r="F1118" s="14" t="n">
        <v>1361.5</v>
      </c>
      <c r="G1118" s="14" t="n">
        <v>8392.5</v>
      </c>
      <c r="H1118" s="13" t="inlineStr">
        <is>
          <t>Car#1117</t>
        </is>
      </c>
      <c r="I1118" s="14">
        <f>E1118-E1117</f>
        <v/>
      </c>
      <c r="J1118" s="14">
        <f>I1118-58</f>
        <v/>
      </c>
      <c r="K1118" s="14">
        <f>MAX(0,J1118)</f>
        <v/>
      </c>
      <c r="L1118" s="14">
        <f>MAX(0,-J1118)</f>
        <v/>
      </c>
      <c r="M1118" s="14">
        <f>M1117+I1118</f>
        <v/>
      </c>
      <c r="N1118" s="14">
        <f>D1118+F1118-E1118</f>
        <v/>
      </c>
      <c r="O1118" s="13" t="inlineStr">
        <is>
          <t>能力满足</t>
        </is>
      </c>
      <c r="P1118" s="13" t="inlineStr">
        <is>
          <t>ST1 引取(开:72736.0s 加:55.0s 等前:7892.0s 等后:0.0s) | ST2 集约(开:72791.0s 加:106.0s 等前:0.0s 等后:0.5s) | ST3 空气悬挂+快充(开:72897.5s 加:0.0s 等前:0.0s 等后:120.5s) | ST4 四轮定位上、下(开:73018.0s 加:115.0s 等前:0.0s 等后:0.0s) | ST5 ADAS(开:73133.0s 加:97.0s 等前:0.0s 等后:39.5s) | ST6 ARHUD+慢充(开:73269.5s 加:0.0s 等前:0.0s 等后:114.5s) | ST7 转毂(开:73384.0s 加:116.0s 等前:0.0s 等后:0.0s) | ST8 制动(开:73500.0s 加:108.0s 等前:0.0s 等后:2.5s) | ST9 EG漏液/底盘漏液(开:73610.5s 加:115.0s 等前:0.0s 等后:0.0s) | ST10 全景/空调检查(开:73725.5s 加:98.0s 等前:0.0s 等后:0.0s) | ST11 气囊安装+绝缘(开:73823.5s 加:0.0s 等前:0.0s 等后:0.0s) | ST12 L2++(开:73823.5s 加:0.0s 等前:0.0s 等后:75.5s) | ST13 电检1(开:73899.0s 加:0.0s 等前:0.0s 等后:97.5s) | ST14 电检2(开:73996.5s 加:0.0s 等前:0.0s 等后:50.0s) | ST15 小跑道(开:74046.5s 加:51.0s 等前:0.0s 等后:0.0s)</t>
        </is>
      </c>
    </row>
    <row r="1119">
      <c r="A1119" s="15" t="n">
        <v>1118</v>
      </c>
      <c r="B1119" s="15" t="inlineStr">
        <is>
          <t>Car#1116</t>
        </is>
      </c>
      <c r="C1119" s="15" t="inlineStr">
        <is>
          <t>C</t>
        </is>
      </c>
      <c r="D1119" s="16" t="n">
        <v>72532</v>
      </c>
      <c r="E1119" s="16" t="n">
        <v>74147.5</v>
      </c>
      <c r="F1119" s="16" t="n">
        <v>1615.5</v>
      </c>
      <c r="G1119" s="16" t="n">
        <v>8054</v>
      </c>
      <c r="H1119" s="15" t="inlineStr">
        <is>
          <t>Car#1119</t>
        </is>
      </c>
      <c r="I1119" s="16">
        <f>E1119-E1118</f>
        <v/>
      </c>
      <c r="J1119" s="16">
        <f>I1119-58</f>
        <v/>
      </c>
      <c r="K1119" s="16">
        <f>MAX(0,J1119)</f>
        <v/>
      </c>
      <c r="L1119" s="16">
        <f>MAX(0,-J1119)</f>
        <v/>
      </c>
      <c r="M1119" s="16">
        <f>M1118+I1119</f>
        <v/>
      </c>
      <c r="N1119" s="16">
        <f>D1119+F1119-E1119</f>
        <v/>
      </c>
      <c r="O1119" s="15" t="inlineStr">
        <is>
          <t>能力超目标：四轮定位上、下、ARHUD+慢充</t>
        </is>
      </c>
      <c r="P1119" s="15" t="inlineStr">
        <is>
          <t>ST1 引取(开:72532.0s 加:56.0s 等前:7862.0s 等后:4.5s) | ST2 集约(开:72592.5s 加:111.0s 等前:0.0s 等后:32.5s) | ST3 空气悬挂+快充(开:72736.0s 加:108.5s 等前:0.0s 等后:35.0s) | ST4 四轮定位上、下(开:72879.5s 加:120.5s 等前:0.0s 等后:0.0s) | ST5 ADAS(开:73000.0s 加:107.0s 等前:0.0s 等后:30.5s) | ST6 ARHUD+慢充(开:73137.5s 加:143.5s 等前:0.0s 等后:0.0s) | ST7 转毂(开:73281.0s 加:114.5s 等前:0.0s 等后:0.0s) | ST8 制动(开:73395.5s 加:114.0s 等前:0.0s 等后:0.0s) | ST9 EG漏液/底盘漏液(开:73509.5s 加:112.5s 等前:0.0s 等后:0.0s) | ST10 全景/空调检查(开:73622.0s 加:0.0s 等前:0.0s 等后:0.0s) | ST11 气囊安装+绝缘(开:73622.0s 加:116.0s 等前:0.0s 等后:0.0s) | ST12 L2++(开:73738.0s 加:88.0s 等前:0.0s 等后:0.0s) | ST13 电检1(开:73826.0s 加:84.5s 等前:0.0s 等后:0.0s) | ST14 电检2(开:73910.5s 加:97.5s 等前:0.0s 等后:89.5s) | ST15 小跑道(开:74097.5s 加:50.0s 等前:0.0s 等后:0.0s)</t>
        </is>
      </c>
    </row>
    <row r="1120">
      <c r="A1120" s="13" t="n">
        <v>1119</v>
      </c>
      <c r="B1120" s="13" t="inlineStr">
        <is>
          <t>Car#1121</t>
        </is>
      </c>
      <c r="C1120" s="13" t="inlineStr">
        <is>
          <t>A</t>
        </is>
      </c>
      <c r="D1120" s="14" t="n">
        <v>72879.5</v>
      </c>
      <c r="E1120" s="14" t="n">
        <v>74198.5</v>
      </c>
      <c r="F1120" s="14" t="n">
        <v>1319</v>
      </c>
      <c r="G1120" s="14" t="n">
        <v>8377.5</v>
      </c>
      <c r="H1120" s="13" t="inlineStr">
        <is>
          <t>Car#1116</t>
        </is>
      </c>
      <c r="I1120" s="14">
        <f>E1120-E1119</f>
        <v/>
      </c>
      <c r="J1120" s="14">
        <f>I1120-58</f>
        <v/>
      </c>
      <c r="K1120" s="14">
        <f>MAX(0,J1120)</f>
        <v/>
      </c>
      <c r="L1120" s="14">
        <f>MAX(0,-J1120)</f>
        <v/>
      </c>
      <c r="M1120" s="14">
        <f>M1119+I1120</f>
        <v/>
      </c>
      <c r="N1120" s="14">
        <f>D1120+F1120-E1120</f>
        <v/>
      </c>
      <c r="O1120" s="13" t="inlineStr">
        <is>
          <t>能力满足</t>
        </is>
      </c>
      <c r="P1120" s="13" t="inlineStr">
        <is>
          <t>ST1 引取(开:72879.5s 加:55.0s 等前:7919.5s 等后:0.0s) | ST2 集约(开:72934.5s 加:106.0s 等前:0.0s 等后:0.0s) | ST3 空气悬挂+快充(开:73040.5s 加:0.0s 等前:0.0s 等后:92.5s) | ST4 四轮定位上、下(开:73133.0s 加:115.0s 等前:0.0s 等后:21.5s) | ST5 ADAS(开:73269.5s 加:97.0s 等前:0.0s 等后:17.5s) | ST6 ARHUD+慢充(开:73384.0s 加:0.0s 等前:0.0s 等后:116.0s) | ST7 转毂(开:73500.0s 加:116.0s 等前:0.0s 等后:0.0s) | ST8 制动(开:73616.0s 加:108.0s 等前:0.0s 等后:1.5s) | ST9 EG漏液/底盘漏液(开:73725.5s 加:115.0s 等前:0.0s 等后:0.0s) | ST10 全景/空调检查(开:73840.5s 加:98.0s 等前:0.0s 等后:0.0s) | ST11 气囊安装+绝缘(开:73938.5s 加:0.0s 等前:0.0s 等后:0.0s) | ST12 L2++(开:73938.5s 加:0.0s 等前:0.0s 等后:58.0s) | ST13 电检1(开:73996.5s 加:0.0s 等前:0.0s 等后:50.0s) | ST14 电检2(开:74046.5s 加:0.0s 等前:0.0s 等后:101.0s) | ST15 小跑道(开:74147.5s 加:51.0s 等前:0.0s 等后:0.0s)</t>
        </is>
      </c>
    </row>
    <row r="1121">
      <c r="A1121" s="15" t="n">
        <v>1120</v>
      </c>
      <c r="B1121" s="15" t="inlineStr">
        <is>
          <t>Car#1118</t>
        </is>
      </c>
      <c r="C1121" s="15" t="inlineStr">
        <is>
          <t>C</t>
        </is>
      </c>
      <c r="D1121" s="16" t="n">
        <v>72652.5</v>
      </c>
      <c r="E1121" s="16" t="n">
        <v>74248.5</v>
      </c>
      <c r="F1121" s="16" t="n">
        <v>1596</v>
      </c>
      <c r="G1121" s="16" t="n">
        <v>8039</v>
      </c>
      <c r="H1121" s="15" t="inlineStr">
        <is>
          <t>Car#1121</t>
        </is>
      </c>
      <c r="I1121" s="16">
        <f>E1121-E1120</f>
        <v/>
      </c>
      <c r="J1121" s="16">
        <f>I1121-58</f>
        <v/>
      </c>
      <c r="K1121" s="16">
        <f>MAX(0,J1121)</f>
        <v/>
      </c>
      <c r="L1121" s="16">
        <f>MAX(0,-J1121)</f>
        <v/>
      </c>
      <c r="M1121" s="16">
        <f>M1120+I1121</f>
        <v/>
      </c>
      <c r="N1121" s="16">
        <f>D1121+F1121-E1121</f>
        <v/>
      </c>
      <c r="O1121" s="15" t="inlineStr">
        <is>
          <t>能力超目标：四轮定位上、下、ARHUD+慢充</t>
        </is>
      </c>
      <c r="P1121" s="15" t="inlineStr">
        <is>
          <t>ST1 引取(开:72652.5s 加:56.0s 等前:7866.5s 等后:27.5s) | ST2 集约(开:72736.0s 加:111.0s 等前:0.0s 等后:32.5s) | ST3 空气悬挂+快充(开:72879.5s 加:108.5s 等前:0.0s 等后:12.0s) | ST4 四轮定位上、下(开:73000.0s 加:120.5s 等前:0.0s 等后:17.0s) | ST5 ADAS(开:73137.5s 加:107.0s 等前:0.0s 等后:36.5s) | ST6 ARHUD+慢充(开:73281.0s 加:143.5s 等前:0.0s 等后:0.0s) | ST7 转毂(开:73424.5s 加:114.5s 等前:0.0s 等后:0.0s) | ST8 制动(开:73539.0s 加:114.0s 等前:0.0s 等后:0.0s) | ST9 EG漏液/底盘漏液(开:73653.0s 加:112.5s 等前:0.0s 等后:0.0s) | ST10 全景/空调检查(开:73765.5s 加:0.0s 等前:0.0s 等后:0.0s) | ST11 气囊安装+绝缘(开:73765.5s 加:116.0s 等前:0.0s 等后:0.0s) | ST12 L2++(开:73881.5s 加:88.0s 等前:0.0s 等后:0.0s) | ST13 电检1(开:73969.5s 加:84.5s 等前:0.0s 等后:43.5s) | ST14 电检2(开:74097.5s 加:97.5s 等前:0.0s 等后:3.5s) | ST15 小跑道(开:74198.5s 加:50.0s 等前:0.0s 等后:0.0s)</t>
        </is>
      </c>
    </row>
    <row r="1122">
      <c r="A1122" s="13" t="n">
        <v>1121</v>
      </c>
      <c r="B1122" s="13" t="inlineStr">
        <is>
          <t>Car#1120</t>
        </is>
      </c>
      <c r="C1122" s="13" t="inlineStr">
        <is>
          <t>A</t>
        </is>
      </c>
      <c r="D1122" s="14" t="n">
        <v>72791</v>
      </c>
      <c r="E1122" s="14" t="n">
        <v>74299.5</v>
      </c>
      <c r="F1122" s="14" t="n">
        <v>1508.5</v>
      </c>
      <c r="G1122" s="14" t="n">
        <v>8536.5</v>
      </c>
      <c r="H1122" s="13" t="inlineStr">
        <is>
          <t>Car#1118</t>
        </is>
      </c>
      <c r="I1122" s="14">
        <f>E1122-E1121</f>
        <v/>
      </c>
      <c r="J1122" s="14">
        <f>I1122-58</f>
        <v/>
      </c>
      <c r="K1122" s="14">
        <f>MAX(0,J1122)</f>
        <v/>
      </c>
      <c r="L1122" s="14">
        <f>MAX(0,-J1122)</f>
        <v/>
      </c>
      <c r="M1122" s="14">
        <f>M1121+I1122</f>
        <v/>
      </c>
      <c r="N1122" s="14">
        <f>D1122+F1122-E1122</f>
        <v/>
      </c>
      <c r="O1122" s="13" t="inlineStr">
        <is>
          <t>能力满足</t>
        </is>
      </c>
      <c r="P1122" s="13" t="inlineStr">
        <is>
          <t>ST1 引取(开:72791.0s 加:55.0s 等前:7889.0s 等后:33.5s) | ST2 集约(开:72879.5s 加:106.0s 等前:0.0s 等后:14.5s) | ST3 空气悬挂+快充(开:73000.0s 加:0.0s 等前:0.0s 等后:137.5s) | ST4 四轮定位上、下(开:73137.5s 加:115.0s 等前:0.0s 等后:28.5s) | ST5 ADAS(开:73281.0s 加:97.0s 等前:0.0s 等后:46.5s) | ST6 ARHUD+慢充(开:73424.5s 加:0.0s 等前:0.0s 等后:114.5s) | ST7 转毂(开:73539.0s 加:116.0s 等前:0.0s 等后:0.0s) | ST8 制动(开:73655.0s 加:108.0s 等前:0.0s 等后:2.5s) | ST9 EG漏液/底盘漏液(开:73765.5s 加:115.0s 等前:0.0s 等后:0.0s) | ST10 全景/空调检查(开:73880.5s 加:98.0s 等前:0.0s 等后:0.0s) | ST11 气囊安装+绝缘(开:73978.5s 加:0.0s 等前:0.0s 等后:0.0s) | ST12 L2++(开:73978.5s 加:0.0s 等前:0.0s 等后:119.0s) | ST13 电检1(开:74097.5s 加:0.0s 等前:0.0s 等后:101.0s) | ST14 电检2(开:74198.5s 加:0.0s 等前:0.0s 等后:50.0s) | ST15 小跑道(开:74248.5s 加:51.0s 等前:0.0s 等后:0.0s)</t>
        </is>
      </c>
    </row>
    <row r="1123">
      <c r="A1123" s="15" t="n">
        <v>1122</v>
      </c>
      <c r="B1123" s="15" t="inlineStr">
        <is>
          <t>Car#1123</t>
        </is>
      </c>
      <c r="C1123" s="15" t="inlineStr">
        <is>
          <t>B</t>
        </is>
      </c>
      <c r="D1123" s="16" t="n">
        <v>73000</v>
      </c>
      <c r="E1123" s="16" t="n">
        <v>74393</v>
      </c>
      <c r="F1123" s="16" t="n">
        <v>1393</v>
      </c>
      <c r="G1123" s="16" t="n">
        <v>7985.5</v>
      </c>
      <c r="H1123" s="15" t="inlineStr">
        <is>
          <t>Car#1120</t>
        </is>
      </c>
      <c r="I1123" s="16">
        <f>E1123-E1122</f>
        <v/>
      </c>
      <c r="J1123" s="16">
        <f>I1123-58</f>
        <v/>
      </c>
      <c r="K1123" s="16">
        <f>MAX(0,J1123)</f>
        <v/>
      </c>
      <c r="L1123" s="16">
        <f>MAX(0,-J1123)</f>
        <v/>
      </c>
      <c r="M1123" s="16">
        <f>M1122+I1123</f>
        <v/>
      </c>
      <c r="N1123" s="16">
        <f>D1123+F1123-E1123</f>
        <v/>
      </c>
      <c r="O1123" s="15" t="inlineStr">
        <is>
          <t>能力超目标：四轮定位上、下</t>
        </is>
      </c>
      <c r="P1123" s="15" t="inlineStr">
        <is>
          <t>ST1 引取(开:73000.0s 加:56.0s 等前:7924.0s 等后:0.0s) | ST2 集约(开:73056.0s 加:111.0s 等前:0.0s 等后:0.0s) | ST3 空气悬挂+快充(开:73167.0s 加:108.5s 等前:0.0s 等后:0.0s) | ST4 四轮定位上、下(开:73275.5s 加:120.5s 等前:0.0s 等后:0.0s) | ST5 ADAS(开:73396.0s 加:107.0s 等前:0.0s 等后:0.0s) | ST6 ARHUD+慢充(开:73503.0s 加:51.5s 等前:0.0s 等后:61.5s) | ST7 转毂(开:73616.0s 加:114.5s 等前:0.0s 等后:0.0s) | ST8 制动(开:73730.5s 加:114.0s 等前:0.0s 等后:0.0s) | ST9 EG漏液/底盘漏液(开:73844.5s 加:112.5s 等前:0.0s 等后:0.0s) | ST10 全景/空调检查(开:73957.0s 加:0.0s 等前:0.0s 等后:0.0s) | ST11 气囊安装+绝缘(开:73957.0s 加:116.0s 等前:0.0s 等后:0.0s) | ST12 L2++(开:74073.0s 加:88.0s 等前:0.0s 等后:0.0s) | ST13 电检1(开:74161.0s 加:84.5s 等前:0.0s 等后:0.0s) | ST14 电检2(开:74245.5s 加:97.5s 等前:0.0s 等后:0.0s) | ST15 小跑道(开:74343.0s 加:50.0s 等前:0.0s 等后:0.0s)</t>
        </is>
      </c>
    </row>
    <row r="1124">
      <c r="A1124" s="13" t="n">
        <v>1123</v>
      </c>
      <c r="B1124" s="13" t="inlineStr">
        <is>
          <t>Car#1122</t>
        </is>
      </c>
      <c r="C1124" s="13" t="inlineStr">
        <is>
          <t>C</t>
        </is>
      </c>
      <c r="D1124" s="14" t="n">
        <v>72934.5</v>
      </c>
      <c r="E1124" s="14" t="n">
        <v>74459.5</v>
      </c>
      <c r="F1124" s="14" t="n">
        <v>1525</v>
      </c>
      <c r="G1124" s="14" t="n">
        <v>8018</v>
      </c>
      <c r="H1124" s="13" t="inlineStr">
        <is>
          <t>Car#1123</t>
        </is>
      </c>
      <c r="I1124" s="14">
        <f>E1124-E1123</f>
        <v/>
      </c>
      <c r="J1124" s="14">
        <f>I1124-58</f>
        <v/>
      </c>
      <c r="K1124" s="14">
        <f>MAX(0,J1124)</f>
        <v/>
      </c>
      <c r="L1124" s="14">
        <f>MAX(0,-J1124)</f>
        <v/>
      </c>
      <c r="M1124" s="14">
        <f>M1123+I1124</f>
        <v/>
      </c>
      <c r="N1124" s="14">
        <f>D1124+F1124-E1124</f>
        <v/>
      </c>
      <c r="O1124" s="13" t="inlineStr">
        <is>
          <t>能力超目标：四轮定位上、下、ARHUD+慢充</t>
        </is>
      </c>
      <c r="P1124" s="13" t="inlineStr">
        <is>
          <t>ST1 引取(开:72934.5s 加:56.0s 等前:7916.5s 等后:9.5s) | ST2 集约(开:73000.0s 加:111.0s 等前:0.0s 等后:26.5s) | ST3 空气悬挂+快充(开:73137.5s 加:108.5s 等前:0.0s 等后:35.0s) | ST4 四轮定位上、下(开:73281.0s 加:120.5s 等前:0.0s 等后:23.0s) | ST5 ADAS(开:73424.5s 加:107.0s 等前:0.0s 等后:7.5s) | ST6 ARHUD+慢充(开:73539.0s 加:143.5s 等前:0.0s 等后:0.0s) | ST7 转毂(开:73682.5s 加:114.5s 等前:0.0s 等后:0.0s) | ST8 制动(开:73797.0s 加:114.0s 等前:0.0s 等后:0.0s) | ST9 EG漏液/底盘漏液(开:73911.0s 加:112.5s 等前:0.0s 等后:0.0s) | ST10 全景/空调检查(开:74023.5s 加:0.0s 等前:0.0s 等后:0.0s) | ST11 气囊安装+绝缘(开:74023.5s 加:116.0s 等前:0.0s 等后:0.0s) | ST12 L2++(开:74139.5s 加:88.0s 等前:0.0s 等后:0.0s) | ST13 电检1(开:74227.5s 加:84.5s 等前:0.0s 等后:0.0s) | ST14 电检2(开:74312.0s 加:97.5s 等前:0.0s 等后:0.0s) | ST15 小跑道(开:74409.5s 加:50.0s 等前:0.0s 等后:0.0s)</t>
        </is>
      </c>
    </row>
    <row r="1125">
      <c r="A1125" s="15" t="n">
        <v>1124</v>
      </c>
      <c r="B1125" s="15" t="inlineStr">
        <is>
          <t>Car#1125</t>
        </is>
      </c>
      <c r="C1125" s="15" t="inlineStr">
        <is>
          <t>C</t>
        </is>
      </c>
      <c r="D1125" s="16" t="n">
        <v>73137.5</v>
      </c>
      <c r="E1125" s="16" t="n">
        <v>74561</v>
      </c>
      <c r="F1125" s="16" t="n">
        <v>1423.5</v>
      </c>
      <c r="G1125" s="16" t="n">
        <v>7945.5</v>
      </c>
      <c r="H1125" s="15" t="inlineStr">
        <is>
          <t>Car#1122</t>
        </is>
      </c>
      <c r="I1125" s="16">
        <f>E1125-E1124</f>
        <v/>
      </c>
      <c r="J1125" s="16">
        <f>I1125-58</f>
        <v/>
      </c>
      <c r="K1125" s="16">
        <f>MAX(0,J1125)</f>
        <v/>
      </c>
      <c r="L1125" s="16">
        <f>MAX(0,-J1125)</f>
        <v/>
      </c>
      <c r="M1125" s="16">
        <f>M1124+I1125</f>
        <v/>
      </c>
      <c r="N1125" s="16">
        <f>D1125+F1125-E1125</f>
        <v/>
      </c>
      <c r="O1125" s="15" t="inlineStr">
        <is>
          <t>能力超目标：四轮定位上、下、ARHUD+慢充</t>
        </is>
      </c>
      <c r="P1125" s="15" t="inlineStr">
        <is>
          <t>ST1 引取(开:73137.5s 加:56.0s 等前:7945.5s 等后:0.0s) | ST2 集约(开:73193.5s 加:111.0s 等前:0.0s 等后:0.0s) | ST3 空气悬挂+快充(开:73304.5s 加:108.5s 等前:0.0s 等后:0.0s) | ST4 四轮定位上、下(开:73413.0s 加:120.5s 等前:0.0s 等后:0.0s) | ST5 ADAS(开:73533.5s 加:107.0s 等前:0.0s 等后:0.0s) | ST6 ARHUD+慢充(开:73640.5s 加:143.5s 等前:0.0s 等后:0.0s) | ST7 转毂(开:73784.0s 加:114.5s 等前:0.0s 等后:0.0s) | ST8 制动(开:73898.5s 加:114.0s 等前:0.0s 等后:0.0s) | ST9 EG漏液/底盘漏液(开:74012.5s 加:112.5s 等前:0.0s 等后:0.0s) | ST10 全景/空调检查(开:74125.0s 加:0.0s 等前:0.0s 等后:0.0s) | ST11 气囊安装+绝缘(开:74125.0s 加:116.0s 等前:0.0s 等后:0.0s) | ST12 L2++(开:74241.0s 加:88.0s 等前:0.0s 等后:0.0s) | ST13 电检1(开:74329.0s 加:84.5s 等前:0.0s 等后:0.0s) | ST14 电检2(开:74413.5s 加:97.5s 等前:0.0s 等后:0.0s) | ST15 小跑道(开:74511.0s 加:50.0s 等前:0.0s 等后:0.0s)</t>
        </is>
      </c>
    </row>
    <row r="1126">
      <c r="A1126" s="13" t="n">
        <v>1125</v>
      </c>
      <c r="B1126" s="13" t="inlineStr">
        <is>
          <t>Car#1124</t>
        </is>
      </c>
      <c r="C1126" s="13" t="inlineStr">
        <is>
          <t>C</t>
        </is>
      </c>
      <c r="D1126" s="14" t="n">
        <v>73056</v>
      </c>
      <c r="E1126" s="14" t="n">
        <v>74611</v>
      </c>
      <c r="F1126" s="14" t="n">
        <v>1555</v>
      </c>
      <c r="G1126" s="14" t="n">
        <v>8053.5</v>
      </c>
      <c r="H1126" s="13" t="inlineStr">
        <is>
          <t>Car#1125</t>
        </is>
      </c>
      <c r="I1126" s="14">
        <f>E1126-E1125</f>
        <v/>
      </c>
      <c r="J1126" s="14">
        <f>I1126-58</f>
        <v/>
      </c>
      <c r="K1126" s="14">
        <f>MAX(0,J1126)</f>
        <v/>
      </c>
      <c r="L1126" s="14">
        <f>MAX(0,-J1126)</f>
        <v/>
      </c>
      <c r="M1126" s="14">
        <f>M1125+I1126</f>
        <v/>
      </c>
      <c r="N1126" s="14">
        <f>D1126+F1126-E1126</f>
        <v/>
      </c>
      <c r="O1126" s="13" t="inlineStr">
        <is>
          <t>能力超目标：四轮定位上、下、ARHUD+慢充</t>
        </is>
      </c>
      <c r="P1126" s="13" t="inlineStr">
        <is>
          <t>ST1 引取(开:73056.0s 加:56.0s 等前:7922.0s 等后:25.5s) | ST2 集约(开:73137.5s 加:111.0s 等前:0.0s 等后:32.5s) | ST3 空气悬挂+快充(开:73281.0s 加:108.5s 等前:0.0s 等后:35.0s) | ST4 四轮定位上、下(开:73424.5s 加:120.5s 等前:0.0s 等后:0.0s) | ST5 ADAS(开:73545.0s 加:107.0s 等前:0.0s 等后:30.5s) | ST6 ARHUD+慢充(开:73682.5s 加:143.5s 等前:0.0s 等后:0.0s) | ST7 转毂(开:73826.0s 加:114.5s 等前:0.0s 等后:0.0s) | ST8 制动(开:73940.5s 加:114.0s 等前:0.0s 等后:0.0s) | ST9 EG漏液/底盘漏液(开:74054.5s 加:112.5s 等前:0.0s 等后:0.0s) | ST10 全景/空调检查(开:74167.0s 加:0.0s 等前:0.0s 等后:0.0s) | ST11 气囊安装+绝缘(开:74167.0s 加:116.0s 等前:0.0s 等后:0.0s) | ST12 L2++(开:74283.0s 加:88.0s 等前:0.0s 等后:0.0s) | ST13 电检1(开:74371.0s 加:84.5s 等前:0.0s 等后:0.0s) | ST14 电检2(开:74455.5s 加:97.5s 等前:0.0s 等后:8.0s) | ST15 小跑道(开:74561.0s 加:50.0s 等前:0.0s 等后:0.0s)</t>
        </is>
      </c>
    </row>
    <row r="1127">
      <c r="A1127" s="15" t="n">
        <v>1126</v>
      </c>
      <c r="B1127" s="15" t="inlineStr">
        <is>
          <t>Car#1127</t>
        </is>
      </c>
      <c r="C1127" s="15" t="inlineStr">
        <is>
          <t>B</t>
        </is>
      </c>
      <c r="D1127" s="16" t="n">
        <v>73281</v>
      </c>
      <c r="E1127" s="16" t="n">
        <v>74677</v>
      </c>
      <c r="F1127" s="16" t="n">
        <v>1396</v>
      </c>
      <c r="G1127" s="16" t="n">
        <v>8037.5</v>
      </c>
      <c r="H1127" s="15" t="inlineStr">
        <is>
          <t>Car#1124</t>
        </is>
      </c>
      <c r="I1127" s="16">
        <f>E1127-E1126</f>
        <v/>
      </c>
      <c r="J1127" s="16">
        <f>I1127-58</f>
        <v/>
      </c>
      <c r="K1127" s="16">
        <f>MAX(0,J1127)</f>
        <v/>
      </c>
      <c r="L1127" s="16">
        <f>MAX(0,-J1127)</f>
        <v/>
      </c>
      <c r="M1127" s="16">
        <f>M1126+I1127</f>
        <v/>
      </c>
      <c r="N1127" s="16">
        <f>D1127+F1127-E1127</f>
        <v/>
      </c>
      <c r="O1127" s="15" t="inlineStr">
        <is>
          <t>能力超目标：四轮定位上、下</t>
        </is>
      </c>
      <c r="P1127" s="15" t="inlineStr">
        <is>
          <t>ST1 引取(开:73281.0s 加:56.0s 等前:7973.0s 等后:0.0s) | ST2 集约(开:73337.0s 加:111.0s 等前:0.0s 等后:0.0s) | ST3 空气悬挂+快充(开:73448.0s 加:108.5s 等前:0.0s 等后:0.0s) | ST4 四轮定位上、下(开:73556.5s 加:120.5s 等前:0.0s 等后:0.0s) | ST5 ADAS(开:73677.0s 加:107.0s 等前:0.0s 等后:0.0s) | ST6 ARHUD+慢充(开:73784.0s 加:51.5s 等前:0.0s 等后:63.0s) | ST7 转毂(开:73898.5s 加:114.5s 等前:0.0s 等后:0.0s) | ST8 制动(开:74013.0s 加:114.0s 等前:0.0s 等后:0.0s) | ST9 EG漏液/底盘漏液(开:74127.0s 加:112.5s 等前:0.0s 等后:0.0s) | ST10 全景/空调检查(开:74239.5s 加:0.0s 等前:0.0s 等后:1.5s) | ST11 气囊安装+绝缘(开:74241.0s 加:116.0s 等前:0.0s 等后:0.0s) | ST12 L2++(开:74357.0s 加:88.0s 等前:0.0s 等后:0.0s) | ST13 电检1(开:74445.0s 加:84.5s 等前:0.0s 等后:0.0s) | ST14 电检2(开:74529.5s 加:97.5s 等前:0.0s 等后:0.0s) | ST15 小跑道(开:74627.0s 加:50.0s 等前:0.0s 等后:0.0s)</t>
        </is>
      </c>
    </row>
    <row r="1128">
      <c r="A1128" s="13" t="n">
        <v>1127</v>
      </c>
      <c r="B1128" s="13" t="inlineStr">
        <is>
          <t>Car#1126</t>
        </is>
      </c>
      <c r="C1128" s="13" t="inlineStr">
        <is>
          <t>B</t>
        </is>
      </c>
      <c r="D1128" s="14" t="n">
        <v>73193.5</v>
      </c>
      <c r="E1128" s="14" t="n">
        <v>74727</v>
      </c>
      <c r="F1128" s="14" t="n">
        <v>1533.5</v>
      </c>
      <c r="G1128" s="14" t="n">
        <v>8145.5</v>
      </c>
      <c r="H1128" s="13" t="inlineStr">
        <is>
          <t>Car#1127</t>
        </is>
      </c>
      <c r="I1128" s="14">
        <f>E1128-E1127</f>
        <v/>
      </c>
      <c r="J1128" s="14">
        <f>I1128-58</f>
        <v/>
      </c>
      <c r="K1128" s="14">
        <f>MAX(0,J1128)</f>
        <v/>
      </c>
      <c r="L1128" s="14">
        <f>MAX(0,-J1128)</f>
        <v/>
      </c>
      <c r="M1128" s="14">
        <f>M1127+I1128</f>
        <v/>
      </c>
      <c r="N1128" s="14">
        <f>D1128+F1128-E1128</f>
        <v/>
      </c>
      <c r="O1128" s="13" t="inlineStr">
        <is>
          <t>能力超目标：四轮定位上、下</t>
        </is>
      </c>
      <c r="P1128" s="13" t="inlineStr">
        <is>
          <t>ST1 引取(开:73193.5s 加:56.0s 等前:7943.5s 等后:31.5s) | ST2 集约(开:73281.0s 加:111.0s 等前:0.0s 等后:32.5s) | ST3 空气悬挂+快充(开:73424.5s 加:108.5s 等前:0.0s 等后:12.0s) | ST4 四轮定位上、下(开:73545.0s 加:120.5s 等前:0.0s 等后:17.0s) | ST5 ADAS(开:73682.5s 加:107.0s 等前:0.0s 等后:36.5s) | ST6 ARHUD+慢充(开:73826.0s 加:51.5s 等前:0.0s 等后:63.0s) | ST7 转毂(开:73940.5s 加:114.5s 等前:0.0s 等后:0.0s) | ST8 制动(开:74055.0s 加:114.0s 等前:0.0s 等后:0.0s) | ST9 EG漏液/底盘漏液(开:74169.0s 加:112.5s 等前:0.0s 等后:0.0s) | ST10 全景/空调检查(开:74281.5s 加:0.0s 等前:0.0s 等后:1.5s) | ST11 气囊安装+绝缘(开:74283.0s 加:116.0s 等前:0.0s 等后:0.0s) | ST12 L2++(开:74399.0s 加:88.0s 等前:0.0s 等后:0.0s) | ST13 电检1(开:74487.0s 加:84.5s 等前:0.0s 等后:0.0s) | ST14 电检2(开:74571.5s 加:97.5s 等前:0.0s 等后:8.0s) | ST15 小跑道(开:74677.0s 加:50.0s 等前:0.0s 等后:0.0s)</t>
        </is>
      </c>
    </row>
    <row r="1129">
      <c r="A1129" s="15" t="n">
        <v>1128</v>
      </c>
      <c r="B1129" s="15" t="inlineStr">
        <is>
          <t>Car#1129</t>
        </is>
      </c>
      <c r="C1129" s="15" t="inlineStr">
        <is>
          <t>C</t>
        </is>
      </c>
      <c r="D1129" s="16" t="n">
        <v>73424.5</v>
      </c>
      <c r="E1129" s="16" t="n">
        <v>74848</v>
      </c>
      <c r="F1129" s="16" t="n">
        <v>1423.5</v>
      </c>
      <c r="G1129" s="16" t="n">
        <v>8000.5</v>
      </c>
      <c r="H1129" s="15" t="inlineStr">
        <is>
          <t>Car#1126</t>
        </is>
      </c>
      <c r="I1129" s="16">
        <f>E1129-E1128</f>
        <v/>
      </c>
      <c r="J1129" s="16">
        <f>I1129-58</f>
        <v/>
      </c>
      <c r="K1129" s="16">
        <f>MAX(0,J1129)</f>
        <v/>
      </c>
      <c r="L1129" s="16">
        <f>MAX(0,-J1129)</f>
        <v/>
      </c>
      <c r="M1129" s="16">
        <f>M1128+I1129</f>
        <v/>
      </c>
      <c r="N1129" s="16">
        <f>D1129+F1129-E1129</f>
        <v/>
      </c>
      <c r="O1129" s="15" t="inlineStr">
        <is>
          <t>能力超目标：四轮定位上、下、ARHUD+慢充</t>
        </is>
      </c>
      <c r="P1129" s="15" t="inlineStr">
        <is>
          <t>ST1 引取(开:73424.5s 加:56.0s 等前:8000.5s 等后:0.0s) | ST2 集约(开:73480.5s 加:111.0s 等前:0.0s 等后:0.0s) | ST3 空气悬挂+快充(开:73591.5s 加:108.5s 等前:0.0s 等后:0.0s) | ST4 四轮定位上、下(开:73700.0s 加:120.5s 等前:0.0s 等后:0.0s) | ST5 ADAS(开:73820.5s 加:107.0s 等前:0.0s 等后:0.0s) | ST6 ARHUD+慢充(开:73927.5s 加:143.5s 等前:0.0s 等后:0.0s) | ST7 转毂(开:74071.0s 加:114.5s 等前:0.0s 等后:0.0s) | ST8 制动(开:74185.5s 加:114.0s 等前:0.0s 等后:0.0s) | ST9 EG漏液/底盘漏液(开:74299.5s 加:112.5s 等前:0.0s 等后:0.0s) | ST10 全景/空调检查(开:74412.0s 加:0.0s 等前:0.0s 等后:0.0s) | ST11 气囊安装+绝缘(开:74412.0s 加:116.0s 等前:0.0s 等后:0.0s) | ST12 L2++(开:74528.0s 加:88.0s 等前:0.0s 等后:0.0s) | ST13 电检1(开:74616.0s 加:84.5s 等前:0.0s 等后:0.0s) | ST14 电检2(开:74700.5s 加:97.5s 等前:0.0s 等后:0.0s) | ST15 小跑道(开:74798.0s 加:50.0s 等前:0.0s 等后:0.0s)</t>
        </is>
      </c>
    </row>
    <row r="1130">
      <c r="A1130" s="13" t="n">
        <v>1129</v>
      </c>
      <c r="B1130" s="13" t="inlineStr">
        <is>
          <t>Car#1128</t>
        </is>
      </c>
      <c r="C1130" s="13" t="inlineStr">
        <is>
          <t>C</t>
        </is>
      </c>
      <c r="D1130" s="14" t="n">
        <v>73337</v>
      </c>
      <c r="E1130" s="14" t="n">
        <v>74898</v>
      </c>
      <c r="F1130" s="14" t="n">
        <v>1561</v>
      </c>
      <c r="G1130" s="14" t="n">
        <v>8108.5</v>
      </c>
      <c r="H1130" s="13" t="inlineStr">
        <is>
          <t>Car#1129</t>
        </is>
      </c>
      <c r="I1130" s="14">
        <f>E1130-E1129</f>
        <v/>
      </c>
      <c r="J1130" s="14">
        <f>I1130-58</f>
        <v/>
      </c>
      <c r="K1130" s="14">
        <f>MAX(0,J1130)</f>
        <v/>
      </c>
      <c r="L1130" s="14">
        <f>MAX(0,-J1130)</f>
        <v/>
      </c>
      <c r="M1130" s="14">
        <f>M1129+I1130</f>
        <v/>
      </c>
      <c r="N1130" s="14">
        <f>D1130+F1130-E1130</f>
        <v/>
      </c>
      <c r="O1130" s="13" t="inlineStr">
        <is>
          <t>能力超目标：四轮定位上、下、ARHUD+慢充</t>
        </is>
      </c>
      <c r="P1130" s="13" t="inlineStr">
        <is>
          <t>ST1 引取(开:73337.0s 加:56.0s 等前:7971.0s 等后:31.5s) | ST2 集约(开:73424.5s 加:111.0s 等前:0.0s 等后:9.5s) | ST3 空气悬挂+快充(开:73545.0s 加:108.5s 等前:0.0s 等后:29.0s) | ST4 四轮定位上、下(开:73682.5s 加:120.5s 等前:0.0s 等后:23.0s) | ST5 ADAS(开:73826.0s 加:107.0s 等前:0.0s 等后:7.5s) | ST6 ARHUD+慢充(开:73940.5s 加:143.5s 等前:0.0s 等后:0.0s) | ST7 转毂(开:74084.0s 加:114.5s 等前:0.0s 等后:0.0s) | ST8 制动(开:74198.5s 加:114.0s 等前:0.0s 等后:0.0s) | ST9 EG漏液/底盘漏液(开:74312.5s 加:112.5s 等前:0.0s 等后:0.0s) | ST10 全景/空调检查(开:74425.0s 加:0.0s 等前:0.0s 等后:0.0s) | ST11 气囊安装+绝缘(开:74425.0s 加:116.0s 等前:0.0s 等后:0.0s) | ST12 L2++(开:74541.0s 加:88.0s 等前:0.0s 等后:0.0s) | ST13 电检1(开:74629.0s 加:84.5s 等前:0.0s 等后:0.0s) | ST14 电检2(开:74713.5s 加:97.5s 等前:0.0s 等后:37.0s) | ST15 小跑道(开:74848.0s 加:50.0s 等前:0.0s 等后:0.0s)</t>
        </is>
      </c>
    </row>
    <row r="1131">
      <c r="A1131" s="15" t="n">
        <v>1130</v>
      </c>
      <c r="B1131" s="15" t="inlineStr">
        <is>
          <t>Car#1131</t>
        </is>
      </c>
      <c r="C1131" s="15" t="inlineStr">
        <is>
          <t>C</t>
        </is>
      </c>
      <c r="D1131" s="16" t="n">
        <v>73545</v>
      </c>
      <c r="E1131" s="16" t="n">
        <v>74991.5</v>
      </c>
      <c r="F1131" s="16" t="n">
        <v>1446.5</v>
      </c>
      <c r="G1131" s="16" t="n">
        <v>8028</v>
      </c>
      <c r="H1131" s="15" t="inlineStr">
        <is>
          <t>Car#1128</t>
        </is>
      </c>
      <c r="I1131" s="16">
        <f>E1131-E1130</f>
        <v/>
      </c>
      <c r="J1131" s="16">
        <f>I1131-58</f>
        <v/>
      </c>
      <c r="K1131" s="16">
        <f>MAX(0,J1131)</f>
        <v/>
      </c>
      <c r="L1131" s="16">
        <f>MAX(0,-J1131)</f>
        <v/>
      </c>
      <c r="M1131" s="16">
        <f>M1130+I1131</f>
        <v/>
      </c>
      <c r="N1131" s="16">
        <f>D1131+F1131-E1131</f>
        <v/>
      </c>
      <c r="O1131" s="15" t="inlineStr">
        <is>
          <t>能力超目标：四轮定位上、下、ARHUD+慢充</t>
        </is>
      </c>
      <c r="P1131" s="15" t="inlineStr">
        <is>
          <t>ST1 引取(开:73545.0s 加:56.0s 等前:8005.0s 等后:0.0s) | ST2 集约(开:73601.0s 加:111.0s 等前:0.0s 等后:0.0s) | ST3 空气悬挂+快充(开:73712.0s 加:108.5s 等前:0.0s 等后:0.0s) | ST4 四轮定位上、下(开:73820.5s 加:120.5s 等前:0.0s 等后:0.0s) | ST5 ADAS(开:73941.0s 加:107.0s 等前:0.0s 等后:23.0s) | ST6 ARHUD+慢充(开:74071.0s 加:143.5s 等前:0.0s 等后:0.0s) | ST7 转毂(开:74214.5s 加:114.5s 等前:0.0s 等后:0.0s) | ST8 制动(开:74329.0s 加:114.0s 等前:0.0s 等后:0.0s) | ST9 EG漏液/底盘漏液(开:74443.0s 加:112.5s 等前:0.0s 等后:0.0s) | ST10 全景/空调检查(开:74555.5s 加:0.0s 等前:0.0s 等后:0.0s) | ST11 气囊安装+绝缘(开:74555.5s 加:116.0s 等前:0.0s 等后:0.0s) | ST12 L2++(开:74671.5s 加:88.0s 等前:0.0s 等后:0.0s) | ST13 电检1(开:74759.5s 加:84.5s 等前:0.0s 等后:0.0s) | ST14 电检2(开:74844.0s 加:97.5s 等前:0.0s 等后:0.0s) | ST15 小跑道(开:74941.5s 加:50.0s 等前:0.0s 等后:0.0s)</t>
        </is>
      </c>
    </row>
    <row r="1132">
      <c r="A1132" s="13" t="n">
        <v>1131</v>
      </c>
      <c r="B1132" s="13" t="inlineStr">
        <is>
          <t>Car#1130</t>
        </is>
      </c>
      <c r="C1132" s="13" t="inlineStr">
        <is>
          <t>C</t>
        </is>
      </c>
      <c r="D1132" s="14" t="n">
        <v>73480.5</v>
      </c>
      <c r="E1132" s="14" t="n">
        <v>75041.5</v>
      </c>
      <c r="F1132" s="14" t="n">
        <v>1561</v>
      </c>
      <c r="G1132" s="14" t="n">
        <v>8136</v>
      </c>
      <c r="H1132" s="13" t="inlineStr">
        <is>
          <t>Car#1131</t>
        </is>
      </c>
      <c r="I1132" s="14">
        <f>E1132-E1131</f>
        <v/>
      </c>
      <c r="J1132" s="14">
        <f>I1132-58</f>
        <v/>
      </c>
      <c r="K1132" s="14">
        <f>MAX(0,J1132)</f>
        <v/>
      </c>
      <c r="L1132" s="14">
        <f>MAX(0,-J1132)</f>
        <v/>
      </c>
      <c r="M1132" s="14">
        <f>M1131+I1132</f>
        <v/>
      </c>
      <c r="N1132" s="14">
        <f>D1132+F1132-E1132</f>
        <v/>
      </c>
      <c r="O1132" s="13" t="inlineStr">
        <is>
          <t>能力超目标：四轮定位上、下、ARHUD+慢充</t>
        </is>
      </c>
      <c r="P1132" s="13" t="inlineStr">
        <is>
          <t>ST1 引取(开:73480.5s 加:56.0s 等前:7998.5s 等后:8.5s) | ST2 集约(开:73545.0s 加:111.0s 等前:0.0s 等后:26.5s) | ST3 空气悬挂+快充(开:73682.5s 加:108.5s 等前:0.0s 等后:35.0s) | ST4 四轮定位上、下(开:73826.0s 加:120.5s 等前:0.0s 等后:0.0s) | ST5 ADAS(开:73946.5s 加:107.0s 等前:0.0s 等后:30.5s) | ST6 ARHUD+慢充(开:74084.0s 加:143.5s 等前:0.0s 等后:0.0s) | ST7 转毂(开:74227.5s 加:114.5s 等前:0.0s 等后:0.0s) | ST8 制动(开:74342.0s 加:114.0s 等前:0.0s 等后:0.0s) | ST9 EG漏液/底盘漏液(开:74456.0s 加:112.5s 等前:0.0s 等后:0.0s) | ST10 全景/空调检查(开:74568.5s 加:0.0s 等前:0.0s 等后:0.0s) | ST11 气囊安装+绝缘(开:74568.5s 加:116.0s 等前:0.0s 等后:0.0s) | ST12 L2++(开:74684.5s 加:88.0s 等前:0.0s 等后:0.0s) | ST13 电检1(开:74772.5s 加:84.5s 等前:0.0s 等后:0.0s) | ST14 电检2(开:74857.0s 加:97.5s 等前:0.0s 等后:37.0s) | ST15 小跑道(开:74991.5s 加:50.0s 等前:0.0s 等后:0.0s)</t>
        </is>
      </c>
    </row>
    <row r="1133">
      <c r="A1133" s="15" t="n">
        <v>1132</v>
      </c>
      <c r="B1133" s="15" t="inlineStr">
        <is>
          <t>Car#1132</t>
        </is>
      </c>
      <c r="C1133" s="15" t="inlineStr">
        <is>
          <t>A</t>
        </is>
      </c>
      <c r="D1133" s="16" t="n">
        <v>73601</v>
      </c>
      <c r="E1133" s="16" t="n">
        <v>75092.5</v>
      </c>
      <c r="F1133" s="16" t="n">
        <v>1491.5</v>
      </c>
      <c r="G1133" s="16" t="n">
        <v>8633.5</v>
      </c>
      <c r="H1133" s="15" t="inlineStr">
        <is>
          <t>Car#1130</t>
        </is>
      </c>
      <c r="I1133" s="16">
        <f>E1133-E1132</f>
        <v/>
      </c>
      <c r="J1133" s="16">
        <f>I1133-58</f>
        <v/>
      </c>
      <c r="K1133" s="16">
        <f>MAX(0,J1133)</f>
        <v/>
      </c>
      <c r="L1133" s="16">
        <f>MAX(0,-J1133)</f>
        <v/>
      </c>
      <c r="M1133" s="16">
        <f>M1132+I1133</f>
        <v/>
      </c>
      <c r="N1133" s="16">
        <f>D1133+F1133-E1133</f>
        <v/>
      </c>
      <c r="O1133" s="15" t="inlineStr">
        <is>
          <t>能力满足</t>
        </is>
      </c>
      <c r="P1133" s="15" t="inlineStr">
        <is>
          <t>ST1 引取(开:73601.0s 加:55.0s 等前:8003.0s 等后:26.5s) | ST2 集约(开:73682.5s 加:106.0s 等前:0.0s 等后:37.5s) | ST3 空气悬挂+快充(开:73826.0s 加:0.0s 等前:0.0s 等后:120.5s) | ST4 四轮定位上、下(开:73946.5s 加:115.0s 等前:0.0s 等后:22.5s) | ST5 ADAS(开:74084.0s 加:97.0s 等前:0.0s 等后:46.5s) | ST6 ARHUD+慢充(开:74227.5s 加:0.0s 等前:0.0s 等后:114.5s) | ST7 转毂(开:74342.0s 加:116.0s 等前:0.0s 等后:0.0s) | ST8 制动(开:74458.0s 加:108.0s 等前:0.0s 等后:2.5s) | ST9 EG漏液/底盘漏液(开:74568.5s 加:115.0s 等前:0.0s 等后:0.0s) | ST10 全景/空调检查(开:74683.5s 加:98.0s 等前:0.0s 等后:0.0s) | ST11 气囊安装+绝缘(开:74781.5s 加:0.0s 等前:0.0s 等后:0.0s) | ST12 L2++(开:74781.5s 加:0.0s 等前:0.0s 等后:75.5s) | ST13 电检1(开:74857.0s 加:0.0s 等前:0.0s 等后:134.5s) | ST14 电检2(开:74991.5s 加:0.0s 等前:0.0s 等后:50.0s) | ST15 小跑道(开:75041.5s 加:51.0s 等前:0.0s 等后:0.0s)</t>
        </is>
      </c>
    </row>
    <row r="1134">
      <c r="A1134" s="13" t="n">
        <v>1133</v>
      </c>
      <c r="B1134" s="13" t="inlineStr">
        <is>
          <t>Car#1133</t>
        </is>
      </c>
      <c r="C1134" s="13" t="inlineStr">
        <is>
          <t>B</t>
        </is>
      </c>
      <c r="D1134" s="14" t="n">
        <v>73682.5</v>
      </c>
      <c r="E1134" s="14" t="n">
        <v>75142.5</v>
      </c>
      <c r="F1134" s="14" t="n">
        <v>1460</v>
      </c>
      <c r="G1134" s="14" t="n">
        <v>8155</v>
      </c>
      <c r="H1134" s="13" t="inlineStr">
        <is>
          <t>Car#1132</t>
        </is>
      </c>
      <c r="I1134" s="14">
        <f>E1134-E1133</f>
        <v/>
      </c>
      <c r="J1134" s="14">
        <f>I1134-58</f>
        <v/>
      </c>
      <c r="K1134" s="14">
        <f>MAX(0,J1134)</f>
        <v/>
      </c>
      <c r="L1134" s="14">
        <f>MAX(0,-J1134)</f>
        <v/>
      </c>
      <c r="M1134" s="14">
        <f>M1133+I1134</f>
        <v/>
      </c>
      <c r="N1134" s="14">
        <f>D1134+F1134-E1134</f>
        <v/>
      </c>
      <c r="O1134" s="13" t="inlineStr">
        <is>
          <t>能力超目标：四轮定位上、下</t>
        </is>
      </c>
      <c r="P1134" s="13" t="inlineStr">
        <is>
          <t>ST1 引取(开:73682.5s 加:56.0s 等前:8026.5s 等后:0.0s) | ST2 集约(开:73738.5s 加:111.0s 等前:0.0s 等后:0.0s) | ST3 空气悬挂+快充(开:73849.5s 加:108.5s 等前:0.0s 等后:0.0s) | ST4 四轮定位上、下(开:73958.0s 加:120.5s 等前:0.0s 等后:0.0s) | ST5 ADAS(开:74078.5s 加:107.0s 等前:0.0s 等后:29.0s) | ST6 ARHUD+慢充(开:74214.5s 加:51.5s 等前:0.0s 等后:63.0s) | ST7 转毂(开:74329.0s 加:114.5s 等前:0.0s 等后:0.0s) | ST8 制动(开:74443.5s 加:114.0s 等前:0.0s 等后:0.0s) | ST9 EG漏液/底盘漏液(开:74557.5s 加:112.5s 等前:0.0s 等后:0.0s) | ST10 全景/空调检查(开:74670.0s 加:0.0s 等前:0.0s 等后:1.5s) | ST11 气囊安装+绝缘(开:74671.5s 加:116.0s 等前:0.0s 等后:0.0s) | ST12 L2++(开:74787.5s 加:88.0s 等前:0.0s 等后:0.0s) | ST13 电检1(开:74875.5s 加:84.5s 等前:0.0s 等后:0.0s) | ST14 电检2(开:74960.0s 加:97.5s 等前:0.0s 等后:35.0s) | ST15 小跑道(开:75092.5s 加:50.0s 等前:0.0s 等后:0.0s)</t>
        </is>
      </c>
    </row>
    <row r="1135">
      <c r="A1135" s="15" t="n">
        <v>1134</v>
      </c>
      <c r="B1135" s="15" t="inlineStr">
        <is>
          <t>Car#1134</t>
        </is>
      </c>
      <c r="C1135" s="15" t="inlineStr">
        <is>
          <t>B</t>
        </is>
      </c>
      <c r="D1135" s="16" t="n">
        <v>73738.5</v>
      </c>
      <c r="E1135" s="16" t="n">
        <v>75235</v>
      </c>
      <c r="F1135" s="16" t="n">
        <v>1496.5</v>
      </c>
      <c r="G1135" s="16" t="n">
        <v>8189.5</v>
      </c>
      <c r="H1135" s="15" t="inlineStr">
        <is>
          <t>Car#1133</t>
        </is>
      </c>
      <c r="I1135" s="16">
        <f>E1135-E1134</f>
        <v/>
      </c>
      <c r="J1135" s="16">
        <f>I1135-58</f>
        <v/>
      </c>
      <c r="K1135" s="16">
        <f>MAX(0,J1135)</f>
        <v/>
      </c>
      <c r="L1135" s="16">
        <f>MAX(0,-J1135)</f>
        <v/>
      </c>
      <c r="M1135" s="16">
        <f>M1134+I1135</f>
        <v/>
      </c>
      <c r="N1135" s="16">
        <f>D1135+F1135-E1135</f>
        <v/>
      </c>
      <c r="O1135" s="15" t="inlineStr">
        <is>
          <t>能力超目标：四轮定位上、下</t>
        </is>
      </c>
      <c r="P1135" s="15" t="inlineStr">
        <is>
          <t>ST1 引取(开:73738.5s 加:56.0s 等前:8024.5s 等后:31.5s) | ST2 集约(开:73826.0s 加:111.0s 等前:0.0s 等后:9.5s) | ST3 空气悬挂+快充(开:73946.5s 加:108.5s 等前:0.0s 等后:29.0s) | ST4 四轮定位上、下(开:74084.0s 加:120.5s 等前:0.0s 等后:23.0s) | ST5 ADAS(开:74227.5s 加:107.0s 等前:0.0s 等后:7.5s) | ST6 ARHUD+慢充(开:74342.0s 加:51.5s 等前:0.0s 等后:64.5s) | ST7 转毂(开:74458.0s 加:114.5s 等前:0.0s 等后:0.0s) | ST8 制动(开:74572.5s 加:114.0s 等前:0.0s 等后:0.0s) | ST9 EG漏液/底盘漏液(开:74686.5s 加:112.5s 等前:0.0s 等后:0.0s) | ST10 全景/空调检查(开:74799.0s 加:0.0s 等前:0.0s 等后:0.0s) | ST11 气囊安装+绝缘(开:74799.0s 加:116.0s 等前:0.0s 等后:0.0s) | ST12 L2++(开:74915.0s 加:88.0s 等前:0.0s 等后:0.0s) | ST13 电检1(开:75003.0s 加:84.5s 等前:0.0s 等后:0.0s) | ST14 电检2(开:75087.5s 加:97.5s 等前:0.0s 等后:0.0s) | ST15 小跑道(开:75185.0s 加:50.0s 等前:0.0s 等后:0.0s)</t>
        </is>
      </c>
    </row>
    <row r="1136">
      <c r="A1136" s="13" t="n">
        <v>1135</v>
      </c>
      <c r="B1136" s="13" t="inlineStr">
        <is>
          <t>Car#1136</t>
        </is>
      </c>
      <c r="C1136" s="13" t="inlineStr">
        <is>
          <t>A</t>
        </is>
      </c>
      <c r="D1136" s="14" t="n">
        <v>73882</v>
      </c>
      <c r="E1136" s="14" t="n">
        <v>75286</v>
      </c>
      <c r="F1136" s="14" t="n">
        <v>1404</v>
      </c>
      <c r="G1136" s="14" t="n">
        <v>8595</v>
      </c>
      <c r="H1136" s="13" t="inlineStr">
        <is>
          <t>Car#1134</t>
        </is>
      </c>
      <c r="I1136" s="14">
        <f>E1136-E1135</f>
        <v/>
      </c>
      <c r="J1136" s="14">
        <f>I1136-58</f>
        <v/>
      </c>
      <c r="K1136" s="14">
        <f>MAX(0,J1136)</f>
        <v/>
      </c>
      <c r="L1136" s="14">
        <f>MAX(0,-J1136)</f>
        <v/>
      </c>
      <c r="M1136" s="14">
        <f>M1135+I1136</f>
        <v/>
      </c>
      <c r="N1136" s="14">
        <f>D1136+F1136-E1136</f>
        <v/>
      </c>
      <c r="O1136" s="13" t="inlineStr">
        <is>
          <t>能力满足</t>
        </is>
      </c>
      <c r="P1136" s="13" t="inlineStr">
        <is>
          <t>ST1 引取(开:73882.0s 加:55.0s 等前:8052.0s 等后:9.5s) | ST2 集约(开:73946.5s 加:106.0s 等前:0.0s 等后:31.5s) | ST3 空气悬挂+快充(开:74084.0s 加:0.0s 等前:0.0s 等后:143.5s) | ST4 四轮定位上、下(开:74227.5s 加:115.0s 等前:0.0s 等后:0.0s) | ST5 ADAS(开:74342.5s 加:97.0s 等前:0.0s 等后:18.5s) | ST6 ARHUD+慢充(开:74458.0s 加:0.0s 等前:0.0s 等后:114.5s) | ST7 转毂(开:74572.5s 加:116.0s 等前:0.0s 等后:0.0s) | ST8 制动(开:74688.5s 加:108.0s 等前:0.0s 等后:2.5s) | ST9 EG漏液/底盘漏液(开:74799.0s 加:115.0s 等前:0.0s 等后:0.0s) | ST10 全景/空调检查(开:74914.0s 加:98.0s 等前:0.0s 等后:0.0s) | ST11 气囊安装+绝缘(开:75012.0s 加:0.0s 等前:0.0s 等后:0.0s) | ST12 L2++(开:75012.0s 加:0.0s 等前:0.0s 等后:75.5s) | ST13 电检1(开:75087.5s 加:0.0s 等前:0.0s 等后:97.5s) | ST14 电检2(开:75185.0s 加:0.0s 等前:0.0s 等后:50.0s) | ST15 小跑道(开:75235.0s 加:51.0s 等前:0.0s 等后:0.0s)</t>
        </is>
      </c>
    </row>
    <row r="1137">
      <c r="A1137" s="15" t="n">
        <v>1136</v>
      </c>
      <c r="B1137" s="15" t="inlineStr">
        <is>
          <t>Car#1135</t>
        </is>
      </c>
      <c r="C1137" s="15" t="inlineStr">
        <is>
          <t>B</t>
        </is>
      </c>
      <c r="D1137" s="16" t="n">
        <v>73826</v>
      </c>
      <c r="E1137" s="16" t="n">
        <v>75336</v>
      </c>
      <c r="F1137" s="16" t="n">
        <v>1510</v>
      </c>
      <c r="G1137" s="16" t="n">
        <v>8232.5</v>
      </c>
      <c r="H1137" s="15" t="inlineStr">
        <is>
          <t>Car#1136</t>
        </is>
      </c>
      <c r="I1137" s="16">
        <f>E1137-E1136</f>
        <v/>
      </c>
      <c r="J1137" s="16">
        <f>I1137-58</f>
        <v/>
      </c>
      <c r="K1137" s="16">
        <f>MAX(0,J1137)</f>
        <v/>
      </c>
      <c r="L1137" s="16">
        <f>MAX(0,-J1137)</f>
        <v/>
      </c>
      <c r="M1137" s="16">
        <f>M1136+I1137</f>
        <v/>
      </c>
      <c r="N1137" s="16">
        <f>D1137+F1137-E1137</f>
        <v/>
      </c>
      <c r="O1137" s="15" t="inlineStr">
        <is>
          <t>能力超目标：四轮定位上、下</t>
        </is>
      </c>
      <c r="P1137" s="15" t="inlineStr">
        <is>
          <t>ST1 引取(开:73826.0s 加:56.0s 等前:8054.0s 等后:0.0s) | ST2 集约(开:73882.0s 加:111.0s 等前:0.0s 等后:0.0s) | ST3 空气悬挂+快充(开:73993.0s 加:108.5s 等前:0.0s 等后:0.0s) | ST4 四轮定位上、下(开:74101.5s 加:120.5s 等前:0.0s 等后:0.0s) | ST5 ADAS(开:74222.0s 加:107.0s 等前:0.0s 等后:0.0s) | ST6 ARHUD+慢充(开:74329.0s 加:51.5s 等前:0.0s 等后:63.0s) | ST7 转毂(开:74443.5s 加:114.5s 等前:0.0s 等后:0.0s) | ST8 制动(开:74558.0s 加:114.0s 等前:0.0s 等后:0.0s) | ST9 EG漏液/底盘漏液(开:74672.0s 加:112.5s 等前:0.0s 等后:0.0s) | ST10 全景/空调检查(开:74784.5s 加:0.0s 等前:0.0s 等后:3.0s) | ST11 气囊安装+绝缘(开:74787.5s 加:116.0s 等前:0.0s 等后:0.0s) | ST12 L2++(开:74903.5s 加:88.0s 等前:0.0s 等后:0.0s) | ST13 电检1(开:74991.5s 加:84.5s 等前:0.0s 等后:16.5s) | ST14 电检2(开:75092.5s 加:97.5s 等前:0.0s 等后:96.0s) | ST15 小跑道(开:75286.0s 加:50.0s 等前:0.0s 等后:0.0s)</t>
        </is>
      </c>
    </row>
    <row r="1138">
      <c r="A1138" s="13" t="n">
        <v>1137</v>
      </c>
      <c r="B1138" s="13" t="inlineStr">
        <is>
          <t>Car#1137</t>
        </is>
      </c>
      <c r="C1138" s="13" t="inlineStr">
        <is>
          <t>C</t>
        </is>
      </c>
      <c r="D1138" s="14" t="n">
        <v>73946.5</v>
      </c>
      <c r="E1138" s="14" t="n">
        <v>75433.5</v>
      </c>
      <c r="F1138" s="14" t="n">
        <v>1487</v>
      </c>
      <c r="G1138" s="14" t="n">
        <v>8122</v>
      </c>
      <c r="H1138" s="13" t="inlineStr">
        <is>
          <t>Car#1135</t>
        </is>
      </c>
      <c r="I1138" s="14">
        <f>E1138-E1137</f>
        <v/>
      </c>
      <c r="J1138" s="14">
        <f>I1138-58</f>
        <v/>
      </c>
      <c r="K1138" s="14">
        <f>MAX(0,J1138)</f>
        <v/>
      </c>
      <c r="L1138" s="14">
        <f>MAX(0,-J1138)</f>
        <v/>
      </c>
      <c r="M1138" s="14">
        <f>M1137+I1138</f>
        <v/>
      </c>
      <c r="N1138" s="14">
        <f>D1138+F1138-E1138</f>
        <v/>
      </c>
      <c r="O1138" s="13" t="inlineStr">
        <is>
          <t>能力超目标：四轮定位上、下、ARHUD+慢充</t>
        </is>
      </c>
      <c r="P1138" s="13" t="inlineStr">
        <is>
          <t>ST1 引取(开:73946.5s 加:56.0s 等前:8058.5s 等后:0.0s) | ST2 集约(开:74002.5s 加:111.0s 等前:0.0s 等后:0.0s) | ST3 空气悬挂+快充(开:74113.5s 加:108.5s 等前:0.0s 等后:0.0s) | ST4 四轮定位上、下(开:74222.0s 加:120.5s 等前:0.0s 等后:0.0s) | ST5 ADAS(开:74342.5s 加:107.0s 等前:0.0s 等后:0.0s) | ST6 ARHUD+慢充(开:74449.5s 加:143.5s 等前:0.0s 等后:0.0s) | ST7 转毂(开:74593.0s 加:114.5s 等前:0.0s 等后:0.0s) | ST8 制动(开:74707.5s 加:114.0s 等前:0.0s 等后:0.0s) | ST9 EG漏液/底盘漏液(开:74821.5s 加:112.5s 等前:0.0s 等后:0.0s) | ST10 全景/空调检查(开:74934.0s 加:0.0s 等前:0.0s 等后:0.0s) | ST11 气囊安装+绝缘(开:74934.0s 加:116.0s 等前:0.0s 等后:0.0s) | ST12 L2++(开:75050.0s 加:88.0s 等前:0.0s 等后:0.0s) | ST13 电检1(开:75138.0s 加:84.5s 等前:0.0s 等后:63.5s) | ST14 电检2(开:75286.0s 加:97.5s 等前:0.0s 等后:0.0s) | ST15 小跑道(开:75383.5s 加:50.0s 等前:0.0s 等后:0.0s)</t>
        </is>
      </c>
    </row>
    <row r="1139">
      <c r="A1139" s="15" t="n">
        <v>1138</v>
      </c>
      <c r="B1139" s="15" t="inlineStr">
        <is>
          <t>Car#1138</t>
        </is>
      </c>
      <c r="C1139" s="15" t="inlineStr">
        <is>
          <t>C</t>
        </is>
      </c>
      <c r="D1139" s="16" t="n">
        <v>74002.5</v>
      </c>
      <c r="E1139" s="16" t="n">
        <v>75493</v>
      </c>
      <c r="F1139" s="16" t="n">
        <v>1490.5</v>
      </c>
      <c r="G1139" s="16" t="n">
        <v>8123.5</v>
      </c>
      <c r="H1139" s="15" t="inlineStr">
        <is>
          <t>Car#1137</t>
        </is>
      </c>
      <c r="I1139" s="16">
        <f>E1139-E1138</f>
        <v/>
      </c>
      <c r="J1139" s="16">
        <f>I1139-58</f>
        <v/>
      </c>
      <c r="K1139" s="16">
        <f>MAX(0,J1139)</f>
        <v/>
      </c>
      <c r="L1139" s="16">
        <f>MAX(0,-J1139)</f>
        <v/>
      </c>
      <c r="M1139" s="16">
        <f>M1138+I1139</f>
        <v/>
      </c>
      <c r="N1139" s="16">
        <f>D1139+F1139-E1139</f>
        <v/>
      </c>
      <c r="O1139" s="15" t="inlineStr">
        <is>
          <t>能力超目标：四轮定位上、下、ARHUD+慢充</t>
        </is>
      </c>
      <c r="P1139" s="15" t="inlineStr">
        <is>
          <t>ST1 引取(开:74002.5s 加:56.0s 等前:8056.5s 等后:25.5s) | ST2 集约(开:74084.0s 加:111.0s 等前:0.0s 等后:32.5s) | ST3 空气悬挂+快充(开:74227.5s 加:108.5s 等前:0.0s 等后:6.5s) | ST4 四轮定位上、下(开:74342.5s 加:120.5s 等前:0.0s 等后:0.0s) | ST5 ADAS(开:74463.0s 加:107.0s 等前:0.0s 等后:2.5s) | ST6 ARHUD+慢充(开:74572.5s 加:143.5s 等前:0.0s 等后:0.0s) | ST7 转毂(开:74716.0s 加:114.5s 等前:0.0s 等后:0.0s) | ST8 制动(开:74830.5s 加:114.0s 等前:0.0s 等后:0.0s) | ST9 EG漏液/底盘漏液(开:74944.5s 加:112.5s 等前:0.0s 等后:0.0s) | ST10 全景/空调检查(开:75057.0s 加:0.0s 等前:0.0s 等后:0.0s) | ST11 气囊安装+绝缘(开:75057.0s 加:116.0s 等前:0.0s 等后:0.0s) | ST12 L2++(开:75173.0s 加:88.0s 等前:0.0s 等后:0.0s) | ST13 电检1(开:75261.0s 加:84.5s 等前:0.0s 等后:0.0s) | ST14 电检2(开:75345.5s 加:97.5s 等前:0.0s 等后:0.0s) | ST15 小跑道(开:75443.0s 加:50.0s 等前:0.0s 等后:0.0s)</t>
        </is>
      </c>
    </row>
    <row r="1140">
      <c r="A1140" s="13" t="n">
        <v>1139</v>
      </c>
      <c r="B1140" s="13" t="inlineStr">
        <is>
          <t>Car#1140</t>
        </is>
      </c>
      <c r="C1140" s="13" t="inlineStr">
        <is>
          <t>A</t>
        </is>
      </c>
      <c r="D1140" s="14" t="n">
        <v>74140</v>
      </c>
      <c r="E1140" s="14" t="n">
        <v>75544</v>
      </c>
      <c r="F1140" s="14" t="n">
        <v>1404</v>
      </c>
      <c r="G1140" s="14" t="n">
        <v>8621</v>
      </c>
      <c r="H1140" s="13" t="inlineStr">
        <is>
          <t>Car#1138</t>
        </is>
      </c>
      <c r="I1140" s="14">
        <f>E1140-E1139</f>
        <v/>
      </c>
      <c r="J1140" s="14">
        <f>I1140-58</f>
        <v/>
      </c>
      <c r="K1140" s="14">
        <f>MAX(0,J1140)</f>
        <v/>
      </c>
      <c r="L1140" s="14">
        <f>MAX(0,-J1140)</f>
        <v/>
      </c>
      <c r="M1140" s="14">
        <f>M1139+I1140</f>
        <v/>
      </c>
      <c r="N1140" s="14">
        <f>D1140+F1140-E1140</f>
        <v/>
      </c>
      <c r="O1140" s="13" t="inlineStr">
        <is>
          <t>能力满足</t>
        </is>
      </c>
      <c r="P1140" s="13" t="inlineStr">
        <is>
          <t>ST1 引取(开:74140.0s 加:55.0s 等前:8078.0s 等后:32.5s) | ST2 集约(开:74227.5s 加:106.0s 等前:0.0s 等后:9.0s) | ST3 空气悬挂+快充(开:74342.5s 加:0.0s 等前:0.0s 等后:120.5s) | ST4 四轮定位上、下(开:74463.0s 加:115.0s 等前:0.0s 等后:0.0s) | ST5 ADAS(开:74578.0s 加:97.0s 等前:0.0s 等后:41.0s) | ST6 ARHUD+慢充(开:74716.0s 加:0.0s 等前:0.0s 等后:114.5s) | ST7 转毂(开:74830.5s 加:116.0s 等前:0.0s 等后:0.0s) | ST8 制动(开:74946.5s 加:108.0s 等前:0.0s 等后:2.5s) | ST9 EG漏液/底盘漏液(开:75057.0s 加:115.0s 等前:0.0s 等后:0.0s) | ST10 全景/空调检查(开:75172.0s 加:98.0s 等前:0.0s 等后:0.0s) | ST11 气囊安装+绝缘(开:75270.0s 加:0.0s 等前:0.0s 等后:0.0s) | ST12 L2++(开:75270.0s 加:0.0s 等前:0.0s 等后:75.5s) | ST13 电检1(开:75345.5s 加:0.0s 等前:0.0s 等后:97.5s) | ST14 电检2(开:75443.0s 加:0.0s 等前:0.0s 等后:50.0s) | ST15 小跑道(开:75493.0s 加:51.0s 等前:0.0s 等后:0.0s)</t>
        </is>
      </c>
    </row>
    <row r="1141">
      <c r="A1141" s="15" t="n">
        <v>1140</v>
      </c>
      <c r="B1141" s="15" t="inlineStr">
        <is>
          <t>Car#1139</t>
        </is>
      </c>
      <c r="C1141" s="15" t="inlineStr">
        <is>
          <t>C</t>
        </is>
      </c>
      <c r="D1141" s="16" t="n">
        <v>74084</v>
      </c>
      <c r="E1141" s="16" t="n">
        <v>75594</v>
      </c>
      <c r="F1141" s="16" t="n">
        <v>1510</v>
      </c>
      <c r="G1141" s="16" t="n">
        <v>8166.5</v>
      </c>
      <c r="H1141" s="15" t="inlineStr">
        <is>
          <t>Car#1140</t>
        </is>
      </c>
      <c r="I1141" s="16">
        <f>E1141-E1140</f>
        <v/>
      </c>
      <c r="J1141" s="16">
        <f>I1141-58</f>
        <v/>
      </c>
      <c r="K1141" s="16">
        <f>MAX(0,J1141)</f>
        <v/>
      </c>
      <c r="L1141" s="16">
        <f>MAX(0,-J1141)</f>
        <v/>
      </c>
      <c r="M1141" s="16">
        <f>M1140+I1141</f>
        <v/>
      </c>
      <c r="N1141" s="16">
        <f>D1141+F1141-E1141</f>
        <v/>
      </c>
      <c r="O1141" s="15" t="inlineStr">
        <is>
          <t>能力超目标：四轮定位上、下、ARHUD+慢充</t>
        </is>
      </c>
      <c r="P1141" s="15" t="inlineStr">
        <is>
          <t>ST1 引取(开:74084.0s 加:56.0s 等前:8080.0s 等后:0.0s) | ST2 集约(开:74140.0s 加:111.0s 等前:0.0s 等后:0.0s) | ST3 空气悬挂+快充(开:74251.0s 加:108.5s 等前:0.0s 等后:0.0s) | ST4 四轮定位上、下(开:74359.5s 加:120.5s 等前:0.0s 等后:0.0s) | ST5 ADAS(开:74480.0s 加:107.0s 等前:0.0s 等后:6.0s) | ST6 ARHUD+慢充(开:74593.0s 加:143.5s 等前:0.0s 等后:0.0s) | ST7 转毂(开:74736.5s 加:114.5s 等前:0.0s 等后:0.0s) | ST8 制动(开:74851.0s 加:114.0s 等前:0.0s 等后:0.0s) | ST9 EG漏液/底盘漏液(开:74965.0s 加:112.5s 等前:0.0s 等后:0.0s) | ST10 全景/空调检查(开:75077.5s 加:0.0s 等前:0.0s 等后:0.0s) | ST11 气囊安装+绝缘(开:75077.5s 加:116.0s 等前:0.0s 等后:0.0s) | ST12 L2++(开:75193.5s 加:88.0s 等前:0.0s 等后:4.5s) | ST13 电检1(开:75286.0s 加:84.5s 等前:0.0s 等后:13.0s) | ST14 电检2(开:75383.5s 加:97.5s 等前:0.0s 等后:63.0s) | ST15 小跑道(开:75544.0s 加:50.0s 等前:0.0s 等后:0.0s)</t>
        </is>
      </c>
    </row>
    <row r="1142">
      <c r="A1142" s="13" t="n">
        <v>1141</v>
      </c>
      <c r="B1142" s="13" t="inlineStr">
        <is>
          <t>Car#1141</t>
        </is>
      </c>
      <c r="C1142" s="13" t="inlineStr">
        <is>
          <t>A</t>
        </is>
      </c>
      <c r="D1142" s="14" t="n">
        <v>74227.5</v>
      </c>
      <c r="E1142" s="14" t="n">
        <v>75645</v>
      </c>
      <c r="F1142" s="14" t="n">
        <v>1417.5</v>
      </c>
      <c r="G1142" s="14" t="n">
        <v>8664</v>
      </c>
      <c r="H1142" s="13" t="inlineStr">
        <is>
          <t>Car#1139</t>
        </is>
      </c>
      <c r="I1142" s="14">
        <f>E1142-E1141</f>
        <v/>
      </c>
      <c r="J1142" s="14">
        <f>I1142-58</f>
        <v/>
      </c>
      <c r="K1142" s="14">
        <f>MAX(0,J1142)</f>
        <v/>
      </c>
      <c r="L1142" s="14">
        <f>MAX(0,-J1142)</f>
        <v/>
      </c>
      <c r="M1142" s="14">
        <f>M1141+I1142</f>
        <v/>
      </c>
      <c r="N1142" s="14">
        <f>D1142+F1142-E1142</f>
        <v/>
      </c>
      <c r="O1142" s="13" t="inlineStr">
        <is>
          <t>能力满足</t>
        </is>
      </c>
      <c r="P1142" s="13" t="inlineStr">
        <is>
          <t>ST1 引取(开:74227.5s 加:55.0s 等前:8107.5s 等后:0.0s) | ST2 集约(开:74282.5s 加:106.0s 等前:0.0s 等后:0.0s) | ST3 空气悬挂+快充(开:74388.5s 加:0.0s 等前:0.0s 等后:91.5s) | ST4 四轮定位上、下(开:74480.0s 加:115.0s 等前:0.0s 等后:0.0s) | ST5 ADAS(开:74595.0s 加:97.0s 等前:0.0s 等后:44.5s) | ST6 ARHUD+慢充(开:74736.5s 加:0.0s 等前:0.0s 等后:114.5s) | ST7 转毂(开:74851.0s 加:116.0s 等前:0.0s 等后:0.0s) | ST8 制动(开:74967.0s 加:108.0s 等前:0.0s 等后:2.5s) | ST9 EG漏液/底盘漏液(开:75077.5s 加:115.0s 等前:0.0s 等后:0.0s) | ST10 全景/空调检查(开:75192.5s 加:98.0s 等前:0.0s 等后:0.0s) | ST11 气囊安装+绝缘(开:75290.5s 加:0.0s 等前:0.0s 等后:0.0s) | ST12 L2++(开:75290.5s 加:0.0s 等前:0.0s 等后:93.0s) | ST13 电检1(开:75383.5s 加:0.0s 等前:0.0s 等后:160.5s) | ST14 电检2(开:75544.0s 加:0.0s 等前:0.0s 等后:50.0s) | ST15 小跑道(开:75594.0s 加:51.0s 等前:0.0s 等后:0.0s)</t>
        </is>
      </c>
    </row>
    <row r="1143">
      <c r="A1143" s="15" t="n">
        <v>1142</v>
      </c>
      <c r="B1143" s="15" t="inlineStr">
        <is>
          <t>Car#1142</t>
        </is>
      </c>
      <c r="C1143" s="15" t="inlineStr">
        <is>
          <t>C</t>
        </is>
      </c>
      <c r="D1143" s="16" t="n">
        <v>74282.5</v>
      </c>
      <c r="E1143" s="16" t="n">
        <v>75751</v>
      </c>
      <c r="F1143" s="16" t="n">
        <v>1468.5</v>
      </c>
      <c r="G1143" s="16" t="n">
        <v>8149.5</v>
      </c>
      <c r="H1143" s="15" t="inlineStr">
        <is>
          <t>Car#1141</t>
        </is>
      </c>
      <c r="I1143" s="16">
        <f>E1143-E1142</f>
        <v/>
      </c>
      <c r="J1143" s="16">
        <f>I1143-58</f>
        <v/>
      </c>
      <c r="K1143" s="16">
        <f>MAX(0,J1143)</f>
        <v/>
      </c>
      <c r="L1143" s="16">
        <f>MAX(0,-J1143)</f>
        <v/>
      </c>
      <c r="M1143" s="16">
        <f>M1142+I1143</f>
        <v/>
      </c>
      <c r="N1143" s="16">
        <f>D1143+F1143-E1143</f>
        <v/>
      </c>
      <c r="O1143" s="15" t="inlineStr">
        <is>
          <t>能力超目标：四轮定位上、下、ARHUD+慢充</t>
        </is>
      </c>
      <c r="P1143" s="15" t="inlineStr">
        <is>
          <t>ST1 引取(开:74282.5s 加:56.0s 等前:8104.5s 等后:4.0s) | ST2 集约(开:74342.5s 加:111.0s 等前:0.0s 等后:9.5s) | ST3 空气悬挂+快充(开:74463.0s 加:108.5s 等前:0.0s 等后:6.5s) | ST4 四轮定位上、下(开:74578.0s 加:120.5s 等前:0.0s 等后:17.5s) | ST5 ADAS(开:74716.0s 加:107.0s 等前:0.0s 等后:7.5s) | ST6 ARHUD+慢充(开:74830.5s 加:143.5s 等前:0.0s 等后:0.0s) | ST7 转毂(开:74974.0s 加:114.5s 等前:0.0s 等后:0.0s) | ST8 制动(开:75088.5s 加:114.0s 等前:0.0s 等后:0.0s) | ST9 EG漏液/底盘漏液(开:75202.5s 加:112.5s 等前:0.0s 等后:0.0s) | ST10 全景/空调检查(开:75315.0s 加:0.0s 等前:0.0s 等后:0.0s) | ST11 气囊安装+绝缘(开:75315.0s 加:116.0s 等前:0.0s 等后:0.0s) | ST12 L2++(开:75431.0s 加:88.0s 等前:0.0s 等后:0.0s) | ST13 电检1(开:75519.0s 加:84.5s 等前:0.0s 等后:0.0s) | ST14 电检2(开:75603.5s 加:97.5s 等前:0.0s 等后:0.0s) | ST15 小跑道(开:75701.0s 加:50.0s 等前:0.0s 等后:0.0s)</t>
        </is>
      </c>
    </row>
    <row r="1144">
      <c r="A1144" s="13" t="n">
        <v>1143</v>
      </c>
      <c r="B1144" s="13" t="inlineStr">
        <is>
          <t>Car#1143</t>
        </is>
      </c>
      <c r="C1144" s="13" t="inlineStr">
        <is>
          <t>C</t>
        </is>
      </c>
      <c r="D1144" s="14" t="n">
        <v>74342.5</v>
      </c>
      <c r="E1144" s="14" t="n">
        <v>75801</v>
      </c>
      <c r="F1144" s="14" t="n">
        <v>1458.5</v>
      </c>
      <c r="G1144" s="14" t="n">
        <v>8141.5</v>
      </c>
      <c r="H1144" s="13" t="inlineStr">
        <is>
          <t>Car#1142</t>
        </is>
      </c>
      <c r="I1144" s="14">
        <f>E1144-E1143</f>
        <v/>
      </c>
      <c r="J1144" s="14">
        <f>I1144-58</f>
        <v/>
      </c>
      <c r="K1144" s="14">
        <f>MAX(0,J1144)</f>
        <v/>
      </c>
      <c r="L1144" s="14">
        <f>MAX(0,-J1144)</f>
        <v/>
      </c>
      <c r="M1144" s="14">
        <f>M1143+I1144</f>
        <v/>
      </c>
      <c r="N1144" s="14">
        <f>D1144+F1144-E1144</f>
        <v/>
      </c>
      <c r="O1144" s="13" t="inlineStr">
        <is>
          <t>能力超目标：四轮定位上、下、ARHUD+慢充</t>
        </is>
      </c>
      <c r="P1144" s="13" t="inlineStr">
        <is>
          <t>ST1 引取(开:74342.5s 加:56.0s 等前:8106.5s 等后:0.0s) | ST2 集约(开:74398.5s 加:111.0s 等前:0.0s 等后:0.0s) | ST3 空气悬挂+快充(开:74509.5s 加:108.5s 等前:0.0s 等后:0.0s) | ST4 四轮定位上、下(开:74618.0s 加:120.5s 等前:0.0s 等后:0.0s) | ST5 ADAS(开:74738.5s 加:107.0s 等前:0.0s 等后:5.5s) | ST6 ARHUD+慢充(开:74851.0s 加:143.5s 等前:0.0s 等后:0.0s) | ST7 转毂(开:74994.5s 加:114.5s 等前:0.0s 等后:0.0s) | ST8 制动(开:75109.0s 加:114.0s 等前:0.0s 等后:0.0s) | ST9 EG漏液/底盘漏液(开:75223.0s 加:112.5s 等前:0.0s 等后:0.0s) | ST10 全景/空调检查(开:75335.5s 加:0.0s 等前:0.0s 等后:0.0s) | ST11 气囊安装+绝缘(开:75335.5s 加:116.0s 等前:0.0s 等后:0.0s) | ST12 L2++(开:75451.5s 加:88.0s 等前:0.0s 等后:4.5s) | ST13 电检1(开:75544.0s 加:84.5s 等前:0.0s 等后:0.0s) | ST14 电检2(开:75628.5s 加:97.5s 等前:0.0s 等后:25.0s) | ST15 小跑道(开:75751.0s 加:50.0s 等前:0.0s 等后:0.0s)</t>
        </is>
      </c>
    </row>
    <row r="1145">
      <c r="A1145" s="15" t="n">
        <v>1144</v>
      </c>
      <c r="B1145" s="15" t="inlineStr">
        <is>
          <t>Car#1144</t>
        </is>
      </c>
      <c r="C1145" s="15" t="inlineStr">
        <is>
          <t>C</t>
        </is>
      </c>
      <c r="D1145" s="16" t="n">
        <v>74398.5</v>
      </c>
      <c r="E1145" s="16" t="n">
        <v>75894.5</v>
      </c>
      <c r="F1145" s="16" t="n">
        <v>1496</v>
      </c>
      <c r="G1145" s="16" t="n">
        <v>8177</v>
      </c>
      <c r="H1145" s="15" t="inlineStr">
        <is>
          <t>Car#1143</t>
        </is>
      </c>
      <c r="I1145" s="16">
        <f>E1145-E1144</f>
        <v/>
      </c>
      <c r="J1145" s="16">
        <f>I1145-58</f>
        <v/>
      </c>
      <c r="K1145" s="16">
        <f>MAX(0,J1145)</f>
        <v/>
      </c>
      <c r="L1145" s="16">
        <f>MAX(0,-J1145)</f>
        <v/>
      </c>
      <c r="M1145" s="16">
        <f>M1144+I1145</f>
        <v/>
      </c>
      <c r="N1145" s="16">
        <f>D1145+F1145-E1145</f>
        <v/>
      </c>
      <c r="O1145" s="15" t="inlineStr">
        <is>
          <t>能力超目标：四轮定位上、下、ARHUD+慢充</t>
        </is>
      </c>
      <c r="P1145" s="15" t="inlineStr">
        <is>
          <t>ST1 引取(开:74398.5s 加:56.0s 等前:8104.5s 等后:8.5s) | ST2 集约(开:74463.0s 加:111.0s 等前:0.0s 等后:4.0s) | ST3 空气悬挂+快充(开:74578.0s 加:108.5s 等前:0.0s 等后:29.5s) | ST4 四轮定位上、下(开:74716.0s 加:120.5s 等前:0.0s 等后:0.0s) | ST5 ADAS(开:74836.5s 加:107.0s 等前:0.0s 等后:30.5s) | ST6 ARHUD+慢充(开:74974.0s 加:143.5s 等前:0.0s 等后:0.0s) | ST7 转毂(开:75117.5s 加:114.5s 等前:0.0s 等后:0.0s) | ST8 制动(开:75232.0s 加:114.0s 等前:0.0s 等后:0.0s) | ST9 EG漏液/底盘漏液(开:75346.0s 加:112.5s 等前:0.0s 等后:0.0s) | ST10 全景/空调检查(开:75458.5s 加:0.0s 等前:0.0s 等后:0.0s) | ST11 气囊安装+绝缘(开:75458.5s 加:116.0s 等前:0.0s 等后:0.0s) | ST12 L2++(开:75574.5s 加:88.0s 等前:0.0s 等后:0.0s) | ST13 电检1(开:75662.5s 加:84.5s 等前:0.0s 等后:0.0s) | ST14 电检2(开:75747.0s 加:97.5s 等前:0.0s 等后:0.0s) | ST15 小跑道(开:75844.5s 加:50.0s 等前:0.0s 等后:0.0s)</t>
        </is>
      </c>
    </row>
    <row r="1146">
      <c r="A1146" s="13" t="n">
        <v>1145</v>
      </c>
      <c r="B1146" s="13" t="inlineStr">
        <is>
          <t>Car#1145</t>
        </is>
      </c>
      <c r="C1146" s="13" t="inlineStr">
        <is>
          <t>B</t>
        </is>
      </c>
      <c r="D1146" s="14" t="n">
        <v>74463</v>
      </c>
      <c r="E1146" s="14" t="n">
        <v>75944.5</v>
      </c>
      <c r="F1146" s="14" t="n">
        <v>1481.5</v>
      </c>
      <c r="G1146" s="14" t="n">
        <v>8261</v>
      </c>
      <c r="H1146" s="13" t="inlineStr">
        <is>
          <t>Car#1144</t>
        </is>
      </c>
      <c r="I1146" s="14">
        <f>E1146-E1145</f>
        <v/>
      </c>
      <c r="J1146" s="14">
        <f>I1146-58</f>
        <v/>
      </c>
      <c r="K1146" s="14">
        <f>MAX(0,J1146)</f>
        <v/>
      </c>
      <c r="L1146" s="14">
        <f>MAX(0,-J1146)</f>
        <v/>
      </c>
      <c r="M1146" s="14">
        <f>M1145+I1146</f>
        <v/>
      </c>
      <c r="N1146" s="14">
        <f>D1146+F1146-E1146</f>
        <v/>
      </c>
      <c r="O1146" s="13" t="inlineStr">
        <is>
          <t>能力超目标：四轮定位上、下</t>
        </is>
      </c>
      <c r="P1146" s="13" t="inlineStr">
        <is>
          <t>ST1 引取(开:74463.0s 加:56.0s 等前:8111.0s 等后:0.0s) | ST2 集约(开:74519.0s 加:111.0s 等前:0.0s 等后:0.0s) | ST3 空气悬挂+快充(开:74630.0s 加:108.5s 等前:0.0s 等后:0.0s) | ST4 四轮定位上、下(开:74738.5s 加:120.5s 等前:0.0s 等后:0.0s) | ST5 ADAS(开:74859.0s 加:107.0s 等前:0.0s 等后:28.5s) | ST6 ARHUD+慢充(开:74994.5s 加:51.5s 等前:0.0s 等后:63.0s) | ST7 转毂(开:75109.0s 加:114.5s 等前:0.0s 等后:0.0s) | ST8 制动(开:75223.5s 加:114.0s 等前:0.0s 等后:0.0s) | ST9 EG漏液/底盘漏液(开:75337.5s 加:112.5s 等前:0.0s 等后:0.0s) | ST10 全景/空调检查(开:75450.0s 加:0.0s 等前:0.0s 等后:1.5s) | ST11 气囊安装+绝缘(开:75451.5s 加:116.0s 等前:0.0s 等后:0.0s) | ST12 L2++(开:75567.5s 加:88.0s 等前:0.0s 等后:0.0s) | ST13 电检1(开:75655.5s 加:84.5s 等前:0.0s 等后:11.0s) | ST14 电检2(开:75751.0s 加:97.5s 等前:0.0s 等后:46.0s) | ST15 小跑道(开:75894.5s 加:50.0s 等前:0.0s 等后:0.0s)</t>
        </is>
      </c>
    </row>
    <row r="1147">
      <c r="A1147" s="15" t="n">
        <v>1146</v>
      </c>
      <c r="B1147" s="15" t="inlineStr">
        <is>
          <t>Car#1147</t>
        </is>
      </c>
      <c r="C1147" s="15" t="inlineStr">
        <is>
          <t>A</t>
        </is>
      </c>
      <c r="D1147" s="16" t="n">
        <v>74578</v>
      </c>
      <c r="E1147" s="16" t="n">
        <v>75995.5</v>
      </c>
      <c r="F1147" s="16" t="n">
        <v>1417.5</v>
      </c>
      <c r="G1147" s="16" t="n">
        <v>8666.5</v>
      </c>
      <c r="H1147" s="15" t="inlineStr">
        <is>
          <t>Car#1145</t>
        </is>
      </c>
      <c r="I1147" s="16">
        <f>E1147-E1146</f>
        <v/>
      </c>
      <c r="J1147" s="16">
        <f>I1147-58</f>
        <v/>
      </c>
      <c r="K1147" s="16">
        <f>MAX(0,J1147)</f>
        <v/>
      </c>
      <c r="L1147" s="16">
        <f>MAX(0,-J1147)</f>
        <v/>
      </c>
      <c r="M1147" s="16">
        <f>M1146+I1147</f>
        <v/>
      </c>
      <c r="N1147" s="16">
        <f>D1147+F1147-E1147</f>
        <v/>
      </c>
      <c r="O1147" s="15" t="inlineStr">
        <is>
          <t>能力满足</t>
        </is>
      </c>
      <c r="P1147" s="15" t="inlineStr">
        <is>
          <t>ST1 引取(开:74578.0s 加:55.0s 等前:8110.0s 等后:0.0s) | ST2 集约(开:74633.0s 加:106.0s 等前:0.0s 等后:0.0s) | ST3 空气悬挂+快充(开:74739.0s 加:0.0s 等前:0.0s 等后:120.0s) | ST4 四轮定位上、下(开:74859.0s 加:115.0s 等前:0.0s 等后:20.5s) | ST5 ADAS(开:74994.5s 加:97.0s 等前:0.0s 等后:17.5s) | ST6 ARHUD+慢充(开:75109.0s 加:0.0s 等前:0.0s 等后:114.5s) | ST7 转毂(开:75223.5s 加:116.0s 等前:0.0s 等后:0.0s) | ST8 制动(开:75339.5s 加:108.0s 等前:0.0s 等后:2.5s) | ST9 EG漏液/底盘漏液(开:75450.0s 加:115.0s 等前:0.0s 等后:0.0s) | ST10 全景/空调检查(开:75565.0s 加:98.0s 等前:0.0s 等后:0.0s) | ST11 气囊安装+绝缘(开:75663.0s 加:0.0s 等前:0.0s 等后:0.0s) | ST12 L2++(开:75663.0s 加:0.0s 等前:0.0s 等后:88.0s) | ST13 电检1(开:75751.0s 加:0.0s 等前:0.0s 等后:143.5s) | ST14 电检2(开:75894.5s 加:0.0s 等前:0.0s 等后:50.0s) | ST15 小跑道(开:75944.5s 加:51.0s 等前:0.0s 等后:0.0s)</t>
        </is>
      </c>
    </row>
    <row r="1148">
      <c r="A1148" s="13" t="n">
        <v>1147</v>
      </c>
      <c r="B1148" s="13" t="inlineStr">
        <is>
          <t>Car#1146</t>
        </is>
      </c>
      <c r="C1148" s="13" t="inlineStr">
        <is>
          <t>B</t>
        </is>
      </c>
      <c r="D1148" s="14" t="n">
        <v>74519</v>
      </c>
      <c r="E1148" s="14" t="n">
        <v>76045.5</v>
      </c>
      <c r="F1148" s="14" t="n">
        <v>1526.5</v>
      </c>
      <c r="G1148" s="14" t="n">
        <v>8304</v>
      </c>
      <c r="H1148" s="13" t="inlineStr">
        <is>
          <t>Car#1147</t>
        </is>
      </c>
      <c r="I1148" s="14">
        <f>E1148-E1147</f>
        <v/>
      </c>
      <c r="J1148" s="14">
        <f>I1148-58</f>
        <v/>
      </c>
      <c r="K1148" s="14">
        <f>MAX(0,J1148)</f>
        <v/>
      </c>
      <c r="L1148" s="14">
        <f>MAX(0,-J1148)</f>
        <v/>
      </c>
      <c r="M1148" s="14">
        <f>M1147+I1148</f>
        <v/>
      </c>
      <c r="N1148" s="14">
        <f>D1148+F1148-E1148</f>
        <v/>
      </c>
      <c r="O1148" s="13" t="inlineStr">
        <is>
          <t>能力超目标：四轮定位上、下</t>
        </is>
      </c>
      <c r="P1148" s="13" t="inlineStr">
        <is>
          <t>ST1 引取(开:74519.0s 加:56.0s 等前:8109.0s 等后:3.0s) | ST2 集约(开:74578.0s 加:111.0s 等前:0.0s 等后:27.0s) | ST3 空气悬挂+快充(开:74716.0s 加:108.5s 等前:0.0s 等后:12.0s) | ST4 四轮定位上、下(开:74836.5s 加:120.5s 等前:0.0s 等后:17.0s) | ST5 ADAS(开:74974.0s 加:107.0s 等前:0.0s 等后:36.5s) | ST6 ARHUD+慢充(开:75117.5s 加:51.5s 等前:0.0s 等后:63.0s) | ST7 转毂(开:75232.0s 加:114.5s 等前:0.0s 等后:0.0s) | ST8 制动(开:75346.5s 加:114.0s 等前:0.0s 等后:0.0s) | ST9 EG漏液/底盘漏液(开:75460.5s 加:112.5s 等前:0.0s 等后:0.0s) | ST10 全景/空调检查(开:75573.0s 加:0.0s 等前:0.0s 等后:1.5s) | ST11 气囊安装+绝缘(开:75574.5s 加:116.0s 等前:0.0s 等后:0.0s) | ST12 L2++(开:75690.5s 加:88.0s 等前:0.0s 等后:0.0s) | ST13 电检1(开:75778.5s 加:84.5s 等前:0.0s 等后:0.0s) | ST14 电检2(开:75863.0s 加:97.5s 等前:0.0s 等后:35.0s) | ST15 小跑道(开:75995.5s 加:50.0s 等前:0.0s 等后:0.0s)</t>
        </is>
      </c>
    </row>
    <row r="1149">
      <c r="A1149" s="15" t="n">
        <v>1148</v>
      </c>
      <c r="B1149" s="15" t="inlineStr">
        <is>
          <t>Car#1148</t>
        </is>
      </c>
      <c r="C1149" s="15" t="inlineStr">
        <is>
          <t>C</t>
        </is>
      </c>
      <c r="D1149" s="16" t="n">
        <v>74633</v>
      </c>
      <c r="E1149" s="16" t="n">
        <v>76152.5</v>
      </c>
      <c r="F1149" s="16" t="n">
        <v>1519.5</v>
      </c>
      <c r="G1149" s="16" t="n">
        <v>8203</v>
      </c>
      <c r="H1149" s="15" t="inlineStr">
        <is>
          <t>Car#1146</t>
        </is>
      </c>
      <c r="I1149" s="16">
        <f>E1149-E1148</f>
        <v/>
      </c>
      <c r="J1149" s="16">
        <f>I1149-58</f>
        <v/>
      </c>
      <c r="K1149" s="16">
        <f>MAX(0,J1149)</f>
        <v/>
      </c>
      <c r="L1149" s="16">
        <f>MAX(0,-J1149)</f>
        <v/>
      </c>
      <c r="M1149" s="16">
        <f>M1148+I1149</f>
        <v/>
      </c>
      <c r="N1149" s="16">
        <f>D1149+F1149-E1149</f>
        <v/>
      </c>
      <c r="O1149" s="15" t="inlineStr">
        <is>
          <t>能力超目标：四轮定位上、下、ARHUD+慢充</t>
        </is>
      </c>
      <c r="P1149" s="15" t="inlineStr">
        <is>
          <t>ST1 引取(开:74633.0s 加:56.0s 等前:8107.0s 等后:27.0s) | ST2 集约(开:74716.0s 加:111.0s 等前:0.0s 等后:9.5s) | ST3 空气悬挂+快充(开:74836.5s 加:108.5s 等前:0.0s 等后:29.0s) | ST4 四轮定位上、下(开:74974.0s 加:120.5s 等前:0.0s 等后:23.0s) | ST5 ADAS(开:75117.5s 加:107.0s 等前:0.0s 等后:7.5s) | ST6 ARHUD+慢充(开:75232.0s 加:143.5s 等前:0.0s 等后:0.0s) | ST7 转毂(开:75375.5s 加:114.5s 等前:0.0s 等后:0.0s) | ST8 制动(开:75490.0s 加:114.0s 等前:0.0s 等后:0.0s) | ST9 EG漏液/底盘漏液(开:75604.0s 加:112.5s 等前:0.0s 等后:0.0s) | ST10 全景/空调检查(开:75716.5s 加:0.0s 等前:0.0s 等后:0.0s) | ST11 气囊安装+绝缘(开:75716.5s 加:116.0s 等前:0.0s 等后:0.0s) | ST12 L2++(开:75832.5s 加:88.0s 等前:0.0s 等后:0.0s) | ST13 电检1(开:75920.5s 加:84.5s 等前:0.0s 等后:0.0s) | ST14 电检2(开:76005.0s 加:97.5s 等前:0.0s 等后:0.0s) | ST15 小跑道(开:76102.5s 加:50.0s 等前:0.0s 等后:0.0s)</t>
        </is>
      </c>
    </row>
  </sheetData>
  <autoFilter ref="A1:P1149"/>
  <conditionalFormatting sqref="N2:N1149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62" customWidth="1" min="3" max="3"/>
  </cols>
  <sheetData>
    <row r="1">
      <c r="A1" s="17" t="inlineStr">
        <is>
          <t>计算口径说明</t>
        </is>
      </c>
      <c r="B1" s="2" t="n"/>
      <c r="C1" s="2" t="n"/>
    </row>
    <row r="2">
      <c r="A2" s="3" t="inlineStr">
        <is>
          <t>原则</t>
        </is>
      </c>
      <c r="B2" s="18" t="inlineStr">
        <is>
          <t>汇总结果必须能从“车辆时间明细”逐行复算；本页只解释口径，不产生新的排程结果。</t>
        </is>
      </c>
      <c r="C2" s="5" t="n"/>
    </row>
    <row r="4">
      <c r="A4" s="19" t="inlineStr">
        <is>
          <t>名称</t>
        </is>
      </c>
      <c r="B4" s="19" t="inlineStr">
        <is>
          <t>大白话解释</t>
        </is>
      </c>
      <c r="C4" s="19" t="inlineStr">
        <is>
          <t>核对方法 / 注意事项</t>
        </is>
      </c>
    </row>
    <row r="5" ht="40" customHeight="1">
      <c r="A5" s="8" t="inlineStr">
        <is>
          <t>批次总完成时刻</t>
        </is>
      </c>
      <c r="B5" s="4" t="inlineStr">
        <is>
          <t>目标批次全部车辆中最晚的下线时间。</t>
        </is>
      </c>
      <c r="C5" s="4" t="inlineStr">
        <is>
          <t>取目标批次全部OUT的最大值。</t>
        </is>
      </c>
    </row>
    <row r="6" ht="40" customHeight="1">
      <c r="A6" s="8" t="inlineStr">
        <is>
          <t>单车贯通时间</t>
        </is>
      </c>
      <c r="B6" s="9" t="inlineStr">
        <is>
          <t>一台车从投车到下线经历的总时间。</t>
        </is>
      </c>
      <c r="C6" s="9" t="inlineStr">
        <is>
          <t>投车时间 + 单车贯通时间 = 下线时间。</t>
        </is>
      </c>
    </row>
    <row r="7" ht="40" customHeight="1">
      <c r="A7" s="8" t="inlineStr">
        <is>
          <t>相邻下线间隔</t>
        </is>
      </c>
      <c r="B7" s="4" t="inlineStr">
        <is>
          <t>按实际下线先后，本车与前一台车下线时间的差。</t>
        </is>
      </c>
      <c r="C7" s="4" t="inlineStr">
        <is>
          <t>本车OUT - 前车OUT；第一台显示“-”。</t>
        </is>
      </c>
    </row>
    <row r="8" ht="40" customHeight="1">
      <c r="A8" s="8" t="inlineStr">
        <is>
          <t>整体节拍</t>
        </is>
      </c>
      <c r="B8" s="9" t="inlineStr">
        <is>
          <t>第一台至最后一台之间的平均下线间隔。</t>
        </is>
      </c>
      <c r="C8" s="9" t="inlineStr">
        <is>
          <t>（最晚OUT - 第一台OUT）÷（下线车辆数-1）。</t>
        </is>
      </c>
    </row>
    <row r="9" ht="40" customHeight="1">
      <c r="A9" s="8" t="inlineStr">
        <is>
          <t>车辆总等待 WAIT</t>
        </is>
      </c>
      <c r="B9" s="4" t="inlineStr">
        <is>
          <t>包含投车前等待和加工完成后等待。</t>
        </is>
      </c>
      <c r="C9" s="4" t="inlineStr">
        <is>
          <t>不等同于模型结果中的累计实际等待。</t>
        </is>
      </c>
    </row>
    <row r="10" ht="40" customHeight="1">
      <c r="A10" s="8" t="inlineStr">
        <is>
          <t>累计实际等待</t>
        </is>
      </c>
      <c r="B10" s="9" t="inlineStr">
        <is>
          <t>加工完成后，因下一工程暂时不能接收而停留的累计时间。</t>
        </is>
      </c>
      <c r="C10" s="9" t="inlineStr">
        <is>
          <t>已体现在下线时间中，不能再次加入总完成时间。</t>
        </is>
      </c>
    </row>
    <row r="11" ht="40" customHeight="1">
      <c r="A11" s="8" t="inlineStr">
        <is>
          <t>累计节拍外等待</t>
        </is>
      </c>
      <c r="B11" s="4" t="inlineStr">
        <is>
          <t>实际等待中超过工程可接纳上限的部分。</t>
        </is>
      </c>
      <c r="C11" s="4" t="inlineStr">
        <is>
          <t>用于定位等待压力，不是总完成时间加项。</t>
        </is>
      </c>
    </row>
    <row r="12" ht="40" customHeight="1">
      <c r="A12" s="8" t="inlineStr">
        <is>
          <t>延误增量 / 提前补偿</t>
        </is>
      </c>
      <c r="B12" s="9" t="inlineStr">
        <is>
          <t>相邻间隔比目标节拍多出的部分 / 少于目标节拍的部分。</t>
        </is>
      </c>
      <c r="C12" s="9" t="inlineStr">
        <is>
          <t>两者相减得到整批节奏净差值。</t>
        </is>
      </c>
    </row>
    <row r="13" ht="40" customHeight="1">
      <c r="A13" s="8" t="inlineStr">
        <is>
          <t>SEGMENTS</t>
        </is>
      </c>
      <c r="B13" s="4" t="inlineStr">
        <is>
          <t>每台车逐工程的开始、加工和等待记录。</t>
        </is>
      </c>
      <c r="C13" s="4" t="inlineStr">
        <is>
          <t>时间核对异常时回查具体车辆和工程。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2026-06-15T01:07:22Z</dcterms:created>
  <dcterms:modified xmlns:dcterms="http://purl.org/dc/terms/" xmlns:xsi="http://www.w3.org/2001/XMLSchema-instance" xsi:type="dcterms:W3CDTF">2026-06-15T01:08:03Z</dcterms:modified>
</cp:coreProperties>
</file>